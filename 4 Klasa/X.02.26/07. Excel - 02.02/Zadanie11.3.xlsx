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eko\Nextcloud7\Wewnetrzny\Szkola\Repos\Informatyka-python\4 Klasa\X.02.26\07. Excel - 02.02\"/>
    </mc:Choice>
  </mc:AlternateContent>
  <xr:revisionPtr revIDLastSave="0" documentId="8_{496E1AB0-5B82-44EC-B987-20C0E08E4764}" xr6:coauthVersionLast="47" xr6:coauthVersionMax="47" xr10:uidLastSave="{00000000-0000-0000-0000-000000000000}"/>
  <bookViews>
    <workbookView xWindow="-120" yWindow="-120" windowWidth="29040" windowHeight="15720" xr2:uid="{061EEC6F-8523-4E0B-8306-A77E25422E04}"/>
  </bookViews>
  <sheets>
    <sheet name="gaz" sheetId="2" r:id="rId1"/>
    <sheet name="Arkusz1" sheetId="1" r:id="rId2"/>
  </sheets>
  <definedNames>
    <definedName name="ExternalData_1" localSheetId="0" hidden="1">gaz!$A$1:$B$205</definedName>
    <definedName name="ExternalData_2" localSheetId="0" hidden="1">gaz!$H$1:$I$19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F2" i="2"/>
  <c r="G10" i="2"/>
  <c r="G11" i="2"/>
  <c r="G12" i="2"/>
  <c r="G13" i="2"/>
  <c r="G22" i="2"/>
  <c r="G23" i="2"/>
  <c r="G24" i="2"/>
  <c r="G25" i="2"/>
  <c r="G34" i="2"/>
  <c r="G35" i="2"/>
  <c r="G36" i="2"/>
  <c r="G37" i="2"/>
  <c r="G46" i="2"/>
  <c r="G47" i="2"/>
  <c r="G48" i="2"/>
  <c r="G49" i="2"/>
  <c r="G58" i="2"/>
  <c r="G59" i="2"/>
  <c r="G60" i="2"/>
  <c r="G61" i="2"/>
  <c r="G70" i="2"/>
  <c r="G71" i="2"/>
  <c r="G72" i="2"/>
  <c r="G73" i="2"/>
  <c r="G82" i="2"/>
  <c r="G83" i="2"/>
  <c r="G84" i="2"/>
  <c r="G85" i="2"/>
  <c r="G94" i="2"/>
  <c r="G95" i="2"/>
  <c r="G96" i="2"/>
  <c r="G97" i="2"/>
  <c r="G106" i="2"/>
  <c r="G107" i="2"/>
  <c r="G108" i="2"/>
  <c r="G118" i="2"/>
  <c r="G119" i="2"/>
  <c r="G120" i="2"/>
  <c r="G121" i="2"/>
  <c r="G130" i="2"/>
  <c r="G131" i="2"/>
  <c r="G132" i="2"/>
  <c r="G133" i="2"/>
  <c r="G142" i="2"/>
  <c r="G143" i="2"/>
  <c r="G144" i="2"/>
  <c r="G145" i="2"/>
  <c r="G154" i="2"/>
  <c r="G155" i="2"/>
  <c r="G156" i="2"/>
  <c r="G157" i="2"/>
  <c r="G166" i="2"/>
  <c r="G167" i="2"/>
  <c r="G168" i="2"/>
  <c r="G169" i="2"/>
  <c r="G178" i="2"/>
  <c r="G179" i="2"/>
  <c r="G180" i="2"/>
  <c r="G181" i="2"/>
  <c r="G190" i="2"/>
  <c r="G191" i="2"/>
  <c r="G192" i="2"/>
  <c r="G193" i="2"/>
  <c r="G202" i="2"/>
  <c r="G203" i="2"/>
  <c r="G204" i="2"/>
  <c r="G205" i="2"/>
  <c r="F19" i="2"/>
  <c r="F20" i="2"/>
  <c r="F21" i="2"/>
  <c r="F22" i="2"/>
  <c r="F43" i="2"/>
  <c r="F44" i="2"/>
  <c r="F55" i="2"/>
  <c r="F56" i="2"/>
  <c r="F57" i="2"/>
  <c r="F58" i="2"/>
  <c r="F59" i="2"/>
  <c r="F60" i="2"/>
  <c r="F61" i="2"/>
  <c r="F79" i="2"/>
  <c r="F80" i="2"/>
  <c r="F81" i="2"/>
  <c r="F82" i="2"/>
  <c r="F83" i="2"/>
  <c r="F103" i="2"/>
  <c r="F104" i="2"/>
  <c r="F105" i="2"/>
  <c r="F127" i="2"/>
  <c r="F139" i="2"/>
  <c r="F140" i="2"/>
  <c r="F141" i="2"/>
  <c r="F142" i="2"/>
  <c r="F143" i="2"/>
  <c r="F144" i="2"/>
  <c r="F163" i="2"/>
  <c r="F164" i="2"/>
  <c r="F165" i="2"/>
  <c r="F166" i="2"/>
  <c r="F187" i="2"/>
  <c r="F188" i="2"/>
  <c r="F198" i="2"/>
  <c r="F199" i="2"/>
  <c r="F200" i="2"/>
  <c r="F201" i="2"/>
  <c r="F202" i="2"/>
  <c r="F203" i="2"/>
  <c r="F204" i="2"/>
  <c r="E25" i="2"/>
  <c r="E37" i="2"/>
  <c r="E49" i="2"/>
  <c r="E61" i="2"/>
  <c r="E73" i="2"/>
  <c r="E85" i="2"/>
  <c r="E109" i="2"/>
  <c r="G109" i="2" s="1"/>
  <c r="E121" i="2"/>
  <c r="E145" i="2"/>
  <c r="E157" i="2"/>
  <c r="E181" i="2"/>
  <c r="D2" i="2"/>
  <c r="D3" i="2"/>
  <c r="E3" i="2" s="1"/>
  <c r="D4" i="2"/>
  <c r="E4" i="2" s="1"/>
  <c r="G4" i="2" s="1"/>
  <c r="D5" i="2"/>
  <c r="E5" i="2" s="1"/>
  <c r="G5" i="2" s="1"/>
  <c r="D6" i="2"/>
  <c r="E6" i="2" s="1"/>
  <c r="G6" i="2" s="1"/>
  <c r="D7" i="2"/>
  <c r="E7" i="2" s="1"/>
  <c r="G7" i="2" s="1"/>
  <c r="D8" i="2"/>
  <c r="E8" i="2" s="1"/>
  <c r="G8" i="2" s="1"/>
  <c r="D9" i="2"/>
  <c r="E9" i="2" s="1"/>
  <c r="G9" i="2" s="1"/>
  <c r="D10" i="2"/>
  <c r="E10" i="2" s="1"/>
  <c r="D11" i="2"/>
  <c r="E11" i="2" s="1"/>
  <c r="D12" i="2"/>
  <c r="E12" i="2" s="1"/>
  <c r="D13" i="2"/>
  <c r="E13" i="2" s="1"/>
  <c r="D14" i="2"/>
  <c r="E14" i="2" s="1"/>
  <c r="G14" i="2" s="1"/>
  <c r="D15" i="2"/>
  <c r="E15" i="2" s="1"/>
  <c r="G15" i="2" s="1"/>
  <c r="D16" i="2"/>
  <c r="E16" i="2" s="1"/>
  <c r="G16" i="2" s="1"/>
  <c r="D17" i="2"/>
  <c r="E17" i="2" s="1"/>
  <c r="G17" i="2" s="1"/>
  <c r="D18" i="2"/>
  <c r="E18" i="2" s="1"/>
  <c r="G18" i="2" s="1"/>
  <c r="D19" i="2"/>
  <c r="E19" i="2" s="1"/>
  <c r="G19" i="2" s="1"/>
  <c r="D20" i="2"/>
  <c r="E20" i="2" s="1"/>
  <c r="G20" i="2" s="1"/>
  <c r="D21" i="2"/>
  <c r="E21" i="2" s="1"/>
  <c r="G21" i="2" s="1"/>
  <c r="D22" i="2"/>
  <c r="E22" i="2" s="1"/>
  <c r="D23" i="2"/>
  <c r="E23" i="2" s="1"/>
  <c r="D24" i="2"/>
  <c r="E24" i="2" s="1"/>
  <c r="D25" i="2"/>
  <c r="D26" i="2"/>
  <c r="E26" i="2" s="1"/>
  <c r="G26" i="2" s="1"/>
  <c r="D27" i="2"/>
  <c r="E27" i="2" s="1"/>
  <c r="G27" i="2" s="1"/>
  <c r="D28" i="2"/>
  <c r="E28" i="2" s="1"/>
  <c r="G28" i="2" s="1"/>
  <c r="D29" i="2"/>
  <c r="E29" i="2" s="1"/>
  <c r="G29" i="2" s="1"/>
  <c r="D30" i="2"/>
  <c r="E30" i="2" s="1"/>
  <c r="G30" i="2" s="1"/>
  <c r="D31" i="2"/>
  <c r="E31" i="2" s="1"/>
  <c r="G31" i="2" s="1"/>
  <c r="D32" i="2"/>
  <c r="E32" i="2" s="1"/>
  <c r="G32" i="2" s="1"/>
  <c r="D33" i="2"/>
  <c r="E33" i="2" s="1"/>
  <c r="G33" i="2" s="1"/>
  <c r="D34" i="2"/>
  <c r="E34" i="2" s="1"/>
  <c r="D35" i="2"/>
  <c r="E35" i="2" s="1"/>
  <c r="D36" i="2"/>
  <c r="E36" i="2" s="1"/>
  <c r="D37" i="2"/>
  <c r="D38" i="2"/>
  <c r="E38" i="2" s="1"/>
  <c r="G38" i="2" s="1"/>
  <c r="D39" i="2"/>
  <c r="E39" i="2" s="1"/>
  <c r="G39" i="2" s="1"/>
  <c r="D40" i="2"/>
  <c r="E40" i="2" s="1"/>
  <c r="G40" i="2" s="1"/>
  <c r="D41" i="2"/>
  <c r="E41" i="2" s="1"/>
  <c r="G41" i="2" s="1"/>
  <c r="D42" i="2"/>
  <c r="E42" i="2" s="1"/>
  <c r="G42" i="2" s="1"/>
  <c r="D43" i="2"/>
  <c r="E43" i="2" s="1"/>
  <c r="G43" i="2" s="1"/>
  <c r="D44" i="2"/>
  <c r="E44" i="2" s="1"/>
  <c r="G44" i="2" s="1"/>
  <c r="D45" i="2"/>
  <c r="E45" i="2" s="1"/>
  <c r="G45" i="2" s="1"/>
  <c r="D46" i="2"/>
  <c r="E46" i="2" s="1"/>
  <c r="D47" i="2"/>
  <c r="E47" i="2" s="1"/>
  <c r="D48" i="2"/>
  <c r="E48" i="2" s="1"/>
  <c r="D49" i="2"/>
  <c r="D50" i="2"/>
  <c r="E50" i="2" s="1"/>
  <c r="G50" i="2" s="1"/>
  <c r="D51" i="2"/>
  <c r="E51" i="2" s="1"/>
  <c r="G51" i="2" s="1"/>
  <c r="D52" i="2"/>
  <c r="E52" i="2" s="1"/>
  <c r="G52" i="2" s="1"/>
  <c r="D53" i="2"/>
  <c r="E53" i="2" s="1"/>
  <c r="G53" i="2" s="1"/>
  <c r="D54" i="2"/>
  <c r="E54" i="2" s="1"/>
  <c r="G54" i="2" s="1"/>
  <c r="D55" i="2"/>
  <c r="E55" i="2" s="1"/>
  <c r="G55" i="2" s="1"/>
  <c r="D56" i="2"/>
  <c r="E56" i="2" s="1"/>
  <c r="G56" i="2" s="1"/>
  <c r="D57" i="2"/>
  <c r="E57" i="2" s="1"/>
  <c r="G57" i="2" s="1"/>
  <c r="D58" i="2"/>
  <c r="E58" i="2" s="1"/>
  <c r="D59" i="2"/>
  <c r="E59" i="2" s="1"/>
  <c r="D60" i="2"/>
  <c r="E60" i="2" s="1"/>
  <c r="D61" i="2"/>
  <c r="D62" i="2"/>
  <c r="E62" i="2" s="1"/>
  <c r="G62" i="2" s="1"/>
  <c r="D63" i="2"/>
  <c r="E63" i="2" s="1"/>
  <c r="G63" i="2" s="1"/>
  <c r="D64" i="2"/>
  <c r="E64" i="2" s="1"/>
  <c r="G64" i="2" s="1"/>
  <c r="D65" i="2"/>
  <c r="E65" i="2" s="1"/>
  <c r="G65" i="2" s="1"/>
  <c r="D66" i="2"/>
  <c r="E66" i="2" s="1"/>
  <c r="G66" i="2" s="1"/>
  <c r="D67" i="2"/>
  <c r="E67" i="2" s="1"/>
  <c r="G67" i="2" s="1"/>
  <c r="D68" i="2"/>
  <c r="E68" i="2" s="1"/>
  <c r="G68" i="2" s="1"/>
  <c r="D69" i="2"/>
  <c r="E69" i="2" s="1"/>
  <c r="G69" i="2" s="1"/>
  <c r="D70" i="2"/>
  <c r="E70" i="2" s="1"/>
  <c r="D71" i="2"/>
  <c r="E71" i="2" s="1"/>
  <c r="D72" i="2"/>
  <c r="E72" i="2" s="1"/>
  <c r="D73" i="2"/>
  <c r="D74" i="2"/>
  <c r="E74" i="2" s="1"/>
  <c r="G74" i="2" s="1"/>
  <c r="D75" i="2"/>
  <c r="E75" i="2" s="1"/>
  <c r="G75" i="2" s="1"/>
  <c r="D76" i="2"/>
  <c r="E76" i="2" s="1"/>
  <c r="G76" i="2" s="1"/>
  <c r="D77" i="2"/>
  <c r="E77" i="2" s="1"/>
  <c r="G77" i="2" s="1"/>
  <c r="D78" i="2"/>
  <c r="E78" i="2" s="1"/>
  <c r="G78" i="2" s="1"/>
  <c r="D79" i="2"/>
  <c r="E79" i="2" s="1"/>
  <c r="G79" i="2" s="1"/>
  <c r="D80" i="2"/>
  <c r="E80" i="2" s="1"/>
  <c r="G80" i="2" s="1"/>
  <c r="D81" i="2"/>
  <c r="E81" i="2" s="1"/>
  <c r="G81" i="2" s="1"/>
  <c r="D82" i="2"/>
  <c r="E82" i="2" s="1"/>
  <c r="D83" i="2"/>
  <c r="E83" i="2" s="1"/>
  <c r="D84" i="2"/>
  <c r="E84" i="2" s="1"/>
  <c r="D85" i="2"/>
  <c r="D86" i="2"/>
  <c r="E86" i="2" s="1"/>
  <c r="G86" i="2" s="1"/>
  <c r="D87" i="2"/>
  <c r="E87" i="2" s="1"/>
  <c r="G87" i="2" s="1"/>
  <c r="D88" i="2"/>
  <c r="E88" i="2" s="1"/>
  <c r="G88" i="2" s="1"/>
  <c r="D89" i="2"/>
  <c r="E89" i="2" s="1"/>
  <c r="G89" i="2" s="1"/>
  <c r="D90" i="2"/>
  <c r="E90" i="2" s="1"/>
  <c r="G90" i="2" s="1"/>
  <c r="D91" i="2"/>
  <c r="E91" i="2" s="1"/>
  <c r="G91" i="2" s="1"/>
  <c r="D92" i="2"/>
  <c r="E92" i="2" s="1"/>
  <c r="G92" i="2" s="1"/>
  <c r="D93" i="2"/>
  <c r="E93" i="2" s="1"/>
  <c r="G93" i="2" s="1"/>
  <c r="D94" i="2"/>
  <c r="E94" i="2" s="1"/>
  <c r="D95" i="2"/>
  <c r="E95" i="2" s="1"/>
  <c r="D96" i="2"/>
  <c r="E96" i="2" s="1"/>
  <c r="D97" i="2"/>
  <c r="E97" i="2" s="1"/>
  <c r="D98" i="2"/>
  <c r="E98" i="2" s="1"/>
  <c r="G98" i="2" s="1"/>
  <c r="D99" i="2"/>
  <c r="E99" i="2" s="1"/>
  <c r="G99" i="2" s="1"/>
  <c r="D100" i="2"/>
  <c r="E100" i="2" s="1"/>
  <c r="G100" i="2" s="1"/>
  <c r="D101" i="2"/>
  <c r="E101" i="2" s="1"/>
  <c r="G101" i="2" s="1"/>
  <c r="D102" i="2"/>
  <c r="E102" i="2" s="1"/>
  <c r="G102" i="2" s="1"/>
  <c r="D103" i="2"/>
  <c r="E103" i="2" s="1"/>
  <c r="G103" i="2" s="1"/>
  <c r="D104" i="2"/>
  <c r="E104" i="2" s="1"/>
  <c r="G104" i="2" s="1"/>
  <c r="D105" i="2"/>
  <c r="E105" i="2" s="1"/>
  <c r="G105" i="2" s="1"/>
  <c r="D106" i="2"/>
  <c r="E106" i="2" s="1"/>
  <c r="D107" i="2"/>
  <c r="E107" i="2" s="1"/>
  <c r="D108" i="2"/>
  <c r="E108" i="2" s="1"/>
  <c r="D109" i="2"/>
  <c r="D110" i="2"/>
  <c r="E110" i="2" s="1"/>
  <c r="G110" i="2" s="1"/>
  <c r="D111" i="2"/>
  <c r="E111" i="2" s="1"/>
  <c r="G111" i="2" s="1"/>
  <c r="D112" i="2"/>
  <c r="E112" i="2" s="1"/>
  <c r="G112" i="2" s="1"/>
  <c r="D113" i="2"/>
  <c r="E113" i="2" s="1"/>
  <c r="G113" i="2" s="1"/>
  <c r="D114" i="2"/>
  <c r="E114" i="2" s="1"/>
  <c r="G114" i="2" s="1"/>
  <c r="D115" i="2"/>
  <c r="E115" i="2" s="1"/>
  <c r="G115" i="2" s="1"/>
  <c r="D116" i="2"/>
  <c r="E116" i="2" s="1"/>
  <c r="G116" i="2" s="1"/>
  <c r="D117" i="2"/>
  <c r="E117" i="2" s="1"/>
  <c r="G117" i="2" s="1"/>
  <c r="D118" i="2"/>
  <c r="E118" i="2" s="1"/>
  <c r="D119" i="2"/>
  <c r="E119" i="2" s="1"/>
  <c r="D120" i="2"/>
  <c r="E120" i="2" s="1"/>
  <c r="D121" i="2"/>
  <c r="D122" i="2"/>
  <c r="E122" i="2" s="1"/>
  <c r="G122" i="2" s="1"/>
  <c r="D123" i="2"/>
  <c r="E123" i="2" s="1"/>
  <c r="G123" i="2" s="1"/>
  <c r="D124" i="2"/>
  <c r="E124" i="2" s="1"/>
  <c r="G124" i="2" s="1"/>
  <c r="D125" i="2"/>
  <c r="E125" i="2" s="1"/>
  <c r="G125" i="2" s="1"/>
  <c r="D126" i="2"/>
  <c r="E126" i="2" s="1"/>
  <c r="G126" i="2" s="1"/>
  <c r="D127" i="2"/>
  <c r="E127" i="2" s="1"/>
  <c r="G127" i="2" s="1"/>
  <c r="D128" i="2"/>
  <c r="E128" i="2" s="1"/>
  <c r="G128" i="2" s="1"/>
  <c r="D129" i="2"/>
  <c r="E129" i="2" s="1"/>
  <c r="G129" i="2" s="1"/>
  <c r="D130" i="2"/>
  <c r="E130" i="2" s="1"/>
  <c r="D131" i="2"/>
  <c r="E131" i="2" s="1"/>
  <c r="D132" i="2"/>
  <c r="E132" i="2" s="1"/>
  <c r="D133" i="2"/>
  <c r="E133" i="2" s="1"/>
  <c r="D134" i="2"/>
  <c r="E134" i="2" s="1"/>
  <c r="G134" i="2" s="1"/>
  <c r="D135" i="2"/>
  <c r="E135" i="2" s="1"/>
  <c r="G135" i="2" s="1"/>
  <c r="D136" i="2"/>
  <c r="E136" i="2" s="1"/>
  <c r="G136" i="2" s="1"/>
  <c r="D137" i="2"/>
  <c r="E137" i="2" s="1"/>
  <c r="G137" i="2" s="1"/>
  <c r="D138" i="2"/>
  <c r="E138" i="2" s="1"/>
  <c r="G138" i="2" s="1"/>
  <c r="D139" i="2"/>
  <c r="E139" i="2" s="1"/>
  <c r="G139" i="2" s="1"/>
  <c r="D140" i="2"/>
  <c r="E140" i="2" s="1"/>
  <c r="G140" i="2" s="1"/>
  <c r="D141" i="2"/>
  <c r="E141" i="2" s="1"/>
  <c r="G141" i="2" s="1"/>
  <c r="D142" i="2"/>
  <c r="E142" i="2" s="1"/>
  <c r="D143" i="2"/>
  <c r="E143" i="2" s="1"/>
  <c r="D144" i="2"/>
  <c r="E144" i="2" s="1"/>
  <c r="D145" i="2"/>
  <c r="D146" i="2"/>
  <c r="E146" i="2" s="1"/>
  <c r="G146" i="2" s="1"/>
  <c r="D147" i="2"/>
  <c r="E147" i="2" s="1"/>
  <c r="G147" i="2" s="1"/>
  <c r="D148" i="2"/>
  <c r="E148" i="2" s="1"/>
  <c r="G148" i="2" s="1"/>
  <c r="D149" i="2"/>
  <c r="E149" i="2" s="1"/>
  <c r="G149" i="2" s="1"/>
  <c r="D150" i="2"/>
  <c r="E150" i="2" s="1"/>
  <c r="G150" i="2" s="1"/>
  <c r="D151" i="2"/>
  <c r="E151" i="2" s="1"/>
  <c r="G151" i="2" s="1"/>
  <c r="D152" i="2"/>
  <c r="E152" i="2" s="1"/>
  <c r="G152" i="2" s="1"/>
  <c r="D153" i="2"/>
  <c r="E153" i="2" s="1"/>
  <c r="G153" i="2" s="1"/>
  <c r="D154" i="2"/>
  <c r="E154" i="2" s="1"/>
  <c r="D155" i="2"/>
  <c r="E155" i="2" s="1"/>
  <c r="D156" i="2"/>
  <c r="E156" i="2" s="1"/>
  <c r="D157" i="2"/>
  <c r="D158" i="2"/>
  <c r="E158" i="2" s="1"/>
  <c r="G158" i="2" s="1"/>
  <c r="D159" i="2"/>
  <c r="E159" i="2" s="1"/>
  <c r="G159" i="2" s="1"/>
  <c r="D160" i="2"/>
  <c r="E160" i="2" s="1"/>
  <c r="G160" i="2" s="1"/>
  <c r="D161" i="2"/>
  <c r="E161" i="2" s="1"/>
  <c r="G161" i="2" s="1"/>
  <c r="D162" i="2"/>
  <c r="E162" i="2" s="1"/>
  <c r="G162" i="2" s="1"/>
  <c r="D163" i="2"/>
  <c r="E163" i="2" s="1"/>
  <c r="G163" i="2" s="1"/>
  <c r="D164" i="2"/>
  <c r="E164" i="2" s="1"/>
  <c r="G164" i="2" s="1"/>
  <c r="D165" i="2"/>
  <c r="E165" i="2" s="1"/>
  <c r="G165" i="2" s="1"/>
  <c r="D166" i="2"/>
  <c r="E166" i="2" s="1"/>
  <c r="D167" i="2"/>
  <c r="E167" i="2" s="1"/>
  <c r="D168" i="2"/>
  <c r="E168" i="2" s="1"/>
  <c r="D169" i="2"/>
  <c r="E169" i="2" s="1"/>
  <c r="D170" i="2"/>
  <c r="E170" i="2" s="1"/>
  <c r="G170" i="2" s="1"/>
  <c r="D171" i="2"/>
  <c r="E171" i="2" s="1"/>
  <c r="G171" i="2" s="1"/>
  <c r="D172" i="2"/>
  <c r="E172" i="2" s="1"/>
  <c r="G172" i="2" s="1"/>
  <c r="D173" i="2"/>
  <c r="E173" i="2" s="1"/>
  <c r="G173" i="2" s="1"/>
  <c r="D174" i="2"/>
  <c r="E174" i="2" s="1"/>
  <c r="G174" i="2" s="1"/>
  <c r="D175" i="2"/>
  <c r="E175" i="2" s="1"/>
  <c r="G175" i="2" s="1"/>
  <c r="D176" i="2"/>
  <c r="E176" i="2" s="1"/>
  <c r="G176" i="2" s="1"/>
  <c r="D177" i="2"/>
  <c r="E177" i="2" s="1"/>
  <c r="G177" i="2" s="1"/>
  <c r="D178" i="2"/>
  <c r="E178" i="2" s="1"/>
  <c r="D179" i="2"/>
  <c r="E179" i="2" s="1"/>
  <c r="D180" i="2"/>
  <c r="E180" i="2" s="1"/>
  <c r="D181" i="2"/>
  <c r="D182" i="2"/>
  <c r="E182" i="2" s="1"/>
  <c r="G182" i="2" s="1"/>
  <c r="D183" i="2"/>
  <c r="E183" i="2" s="1"/>
  <c r="G183" i="2" s="1"/>
  <c r="D184" i="2"/>
  <c r="E184" i="2" s="1"/>
  <c r="G184" i="2" s="1"/>
  <c r="D185" i="2"/>
  <c r="E185" i="2" s="1"/>
  <c r="G185" i="2" s="1"/>
  <c r="D186" i="2"/>
  <c r="E186" i="2" s="1"/>
  <c r="G186" i="2" s="1"/>
  <c r="D187" i="2"/>
  <c r="E187" i="2" s="1"/>
  <c r="G187" i="2" s="1"/>
  <c r="D188" i="2"/>
  <c r="E188" i="2" s="1"/>
  <c r="G188" i="2" s="1"/>
  <c r="D189" i="2"/>
  <c r="E189" i="2" s="1"/>
  <c r="G189" i="2" s="1"/>
  <c r="D190" i="2"/>
  <c r="E190" i="2" s="1"/>
  <c r="D191" i="2"/>
  <c r="E191" i="2" s="1"/>
  <c r="D192" i="2"/>
  <c r="E192" i="2" s="1"/>
  <c r="D193" i="2"/>
  <c r="E193" i="2" s="1"/>
  <c r="D194" i="2"/>
  <c r="E194" i="2" s="1"/>
  <c r="G194" i="2" s="1"/>
  <c r="D195" i="2"/>
  <c r="E195" i="2" s="1"/>
  <c r="G195" i="2" s="1"/>
  <c r="D196" i="2"/>
  <c r="E196" i="2" s="1"/>
  <c r="G196" i="2" s="1"/>
  <c r="D197" i="2"/>
  <c r="E197" i="2" s="1"/>
  <c r="G197" i="2" s="1"/>
  <c r="D198" i="2"/>
  <c r="E198" i="2" s="1"/>
  <c r="G198" i="2" s="1"/>
  <c r="D199" i="2"/>
  <c r="E199" i="2" s="1"/>
  <c r="G199" i="2" s="1"/>
  <c r="D200" i="2"/>
  <c r="E200" i="2" s="1"/>
  <c r="G200" i="2" s="1"/>
  <c r="D201" i="2"/>
  <c r="E201" i="2" s="1"/>
  <c r="G201" i="2" s="1"/>
  <c r="D202" i="2"/>
  <c r="E202" i="2" s="1"/>
  <c r="D203" i="2"/>
  <c r="E203" i="2" s="1"/>
  <c r="D204" i="2"/>
  <c r="E204" i="2" s="1"/>
  <c r="D205" i="2"/>
  <c r="E205" i="2" s="1"/>
  <c r="C3" i="2"/>
  <c r="F3" i="2" s="1"/>
  <c r="C4" i="2"/>
  <c r="F4" i="2" s="1"/>
  <c r="C5" i="2"/>
  <c r="F5" i="2" s="1"/>
  <c r="C6" i="2"/>
  <c r="F6" i="2" s="1"/>
  <c r="C7" i="2"/>
  <c r="F7" i="2" s="1"/>
  <c r="C8" i="2"/>
  <c r="F8" i="2" s="1"/>
  <c r="C9" i="2"/>
  <c r="F9" i="2" s="1"/>
  <c r="C10" i="2"/>
  <c r="F10" i="2" s="1"/>
  <c r="C11" i="2"/>
  <c r="F11" i="2" s="1"/>
  <c r="C12" i="2"/>
  <c r="F12" i="2" s="1"/>
  <c r="C13" i="2"/>
  <c r="F13" i="2" s="1"/>
  <c r="C14" i="2"/>
  <c r="F14" i="2" s="1"/>
  <c r="C15" i="2"/>
  <c r="F15" i="2" s="1"/>
  <c r="C16" i="2"/>
  <c r="F16" i="2" s="1"/>
  <c r="C17" i="2"/>
  <c r="F17" i="2" s="1"/>
  <c r="C18" i="2"/>
  <c r="F18" i="2" s="1"/>
  <c r="C19" i="2"/>
  <c r="C20" i="2"/>
  <c r="C21" i="2"/>
  <c r="C22" i="2"/>
  <c r="C23" i="2"/>
  <c r="F23" i="2" s="1"/>
  <c r="C24" i="2"/>
  <c r="F24" i="2" s="1"/>
  <c r="C25" i="2"/>
  <c r="F25" i="2" s="1"/>
  <c r="C26" i="2"/>
  <c r="F26" i="2" s="1"/>
  <c r="C27" i="2"/>
  <c r="F27" i="2" s="1"/>
  <c r="C28" i="2"/>
  <c r="F28" i="2" s="1"/>
  <c r="C29" i="2"/>
  <c r="F29" i="2" s="1"/>
  <c r="C30" i="2"/>
  <c r="F30" i="2" s="1"/>
  <c r="C31" i="2"/>
  <c r="F31" i="2" s="1"/>
  <c r="C32" i="2"/>
  <c r="F32" i="2" s="1"/>
  <c r="C33" i="2"/>
  <c r="F33" i="2" s="1"/>
  <c r="C34" i="2"/>
  <c r="F34" i="2" s="1"/>
  <c r="C35" i="2"/>
  <c r="F35" i="2" s="1"/>
  <c r="C36" i="2"/>
  <c r="F36" i="2" s="1"/>
  <c r="C37" i="2"/>
  <c r="F37" i="2" s="1"/>
  <c r="C38" i="2"/>
  <c r="F38" i="2" s="1"/>
  <c r="C39" i="2"/>
  <c r="F39" i="2" s="1"/>
  <c r="C40" i="2"/>
  <c r="F40" i="2" s="1"/>
  <c r="C41" i="2"/>
  <c r="F41" i="2" s="1"/>
  <c r="C42" i="2"/>
  <c r="F42" i="2" s="1"/>
  <c r="C43" i="2"/>
  <c r="C44" i="2"/>
  <c r="C45" i="2"/>
  <c r="F45" i="2" s="1"/>
  <c r="C46" i="2"/>
  <c r="F46" i="2" s="1"/>
  <c r="C47" i="2"/>
  <c r="F47" i="2" s="1"/>
  <c r="C48" i="2"/>
  <c r="F48" i="2" s="1"/>
  <c r="C49" i="2"/>
  <c r="F49" i="2" s="1"/>
  <c r="C50" i="2"/>
  <c r="F50" i="2" s="1"/>
  <c r="C51" i="2"/>
  <c r="F51" i="2" s="1"/>
  <c r="C52" i="2"/>
  <c r="F52" i="2" s="1"/>
  <c r="C53" i="2"/>
  <c r="F53" i="2" s="1"/>
  <c r="C54" i="2"/>
  <c r="F54" i="2" s="1"/>
  <c r="C55" i="2"/>
  <c r="C56" i="2"/>
  <c r="C57" i="2"/>
  <c r="C58" i="2"/>
  <c r="C59" i="2"/>
  <c r="C60" i="2"/>
  <c r="C61" i="2"/>
  <c r="C62" i="2"/>
  <c r="F62" i="2" s="1"/>
  <c r="C63" i="2"/>
  <c r="F63" i="2" s="1"/>
  <c r="C64" i="2"/>
  <c r="F64" i="2" s="1"/>
  <c r="C65" i="2"/>
  <c r="F65" i="2" s="1"/>
  <c r="C66" i="2"/>
  <c r="F66" i="2" s="1"/>
  <c r="C67" i="2"/>
  <c r="F67" i="2" s="1"/>
  <c r="C68" i="2"/>
  <c r="F68" i="2" s="1"/>
  <c r="C69" i="2"/>
  <c r="F69" i="2" s="1"/>
  <c r="C70" i="2"/>
  <c r="F70" i="2" s="1"/>
  <c r="C71" i="2"/>
  <c r="F71" i="2" s="1"/>
  <c r="C72" i="2"/>
  <c r="F72" i="2" s="1"/>
  <c r="C73" i="2"/>
  <c r="F73" i="2" s="1"/>
  <c r="C74" i="2"/>
  <c r="F74" i="2" s="1"/>
  <c r="C75" i="2"/>
  <c r="F75" i="2" s="1"/>
  <c r="C76" i="2"/>
  <c r="F76" i="2" s="1"/>
  <c r="C77" i="2"/>
  <c r="F77" i="2" s="1"/>
  <c r="C78" i="2"/>
  <c r="F78" i="2" s="1"/>
  <c r="C79" i="2"/>
  <c r="C80" i="2"/>
  <c r="C81" i="2"/>
  <c r="C82" i="2"/>
  <c r="C83" i="2"/>
  <c r="C84" i="2"/>
  <c r="F84" i="2" s="1"/>
  <c r="C85" i="2"/>
  <c r="F85" i="2" s="1"/>
  <c r="C86" i="2"/>
  <c r="F86" i="2" s="1"/>
  <c r="C87" i="2"/>
  <c r="F87" i="2" s="1"/>
  <c r="C88" i="2"/>
  <c r="F88" i="2" s="1"/>
  <c r="C89" i="2"/>
  <c r="F89" i="2" s="1"/>
  <c r="C90" i="2"/>
  <c r="F90" i="2" s="1"/>
  <c r="C91" i="2"/>
  <c r="F91" i="2" s="1"/>
  <c r="C92" i="2"/>
  <c r="F92" i="2" s="1"/>
  <c r="C93" i="2"/>
  <c r="F93" i="2" s="1"/>
  <c r="C94" i="2"/>
  <c r="F94" i="2" s="1"/>
  <c r="C95" i="2"/>
  <c r="F95" i="2" s="1"/>
  <c r="C96" i="2"/>
  <c r="F96" i="2" s="1"/>
  <c r="C97" i="2"/>
  <c r="F97" i="2" s="1"/>
  <c r="C98" i="2"/>
  <c r="F98" i="2" s="1"/>
  <c r="C99" i="2"/>
  <c r="F99" i="2" s="1"/>
  <c r="C100" i="2"/>
  <c r="F100" i="2" s="1"/>
  <c r="C101" i="2"/>
  <c r="F101" i="2" s="1"/>
  <c r="C102" i="2"/>
  <c r="F102" i="2" s="1"/>
  <c r="C103" i="2"/>
  <c r="C104" i="2"/>
  <c r="C105" i="2"/>
  <c r="C106" i="2"/>
  <c r="F106" i="2" s="1"/>
  <c r="C107" i="2"/>
  <c r="F107" i="2" s="1"/>
  <c r="C108" i="2"/>
  <c r="F108" i="2" s="1"/>
  <c r="C109" i="2"/>
  <c r="F109" i="2" s="1"/>
  <c r="C110" i="2"/>
  <c r="F110" i="2" s="1"/>
  <c r="C111" i="2"/>
  <c r="F111" i="2" s="1"/>
  <c r="C112" i="2"/>
  <c r="F112" i="2" s="1"/>
  <c r="C113" i="2"/>
  <c r="F113" i="2" s="1"/>
  <c r="C114" i="2"/>
  <c r="F114" i="2" s="1"/>
  <c r="C115" i="2"/>
  <c r="F115" i="2" s="1"/>
  <c r="C116" i="2"/>
  <c r="F116" i="2" s="1"/>
  <c r="C117" i="2"/>
  <c r="F117" i="2" s="1"/>
  <c r="C118" i="2"/>
  <c r="F118" i="2" s="1"/>
  <c r="C119" i="2"/>
  <c r="F119" i="2" s="1"/>
  <c r="C120" i="2"/>
  <c r="F120" i="2" s="1"/>
  <c r="C121" i="2"/>
  <c r="F121" i="2" s="1"/>
  <c r="C122" i="2"/>
  <c r="F122" i="2" s="1"/>
  <c r="C123" i="2"/>
  <c r="F123" i="2" s="1"/>
  <c r="C124" i="2"/>
  <c r="F124" i="2" s="1"/>
  <c r="C125" i="2"/>
  <c r="F125" i="2" s="1"/>
  <c r="C126" i="2"/>
  <c r="F126" i="2" s="1"/>
  <c r="C127" i="2"/>
  <c r="C128" i="2"/>
  <c r="F128" i="2" s="1"/>
  <c r="C129" i="2"/>
  <c r="F129" i="2" s="1"/>
  <c r="C130" i="2"/>
  <c r="F130" i="2" s="1"/>
  <c r="C131" i="2"/>
  <c r="F131" i="2" s="1"/>
  <c r="C132" i="2"/>
  <c r="F132" i="2" s="1"/>
  <c r="C133" i="2"/>
  <c r="F133" i="2" s="1"/>
  <c r="C134" i="2"/>
  <c r="F134" i="2" s="1"/>
  <c r="C135" i="2"/>
  <c r="F135" i="2" s="1"/>
  <c r="C136" i="2"/>
  <c r="F136" i="2" s="1"/>
  <c r="C137" i="2"/>
  <c r="F137" i="2" s="1"/>
  <c r="C138" i="2"/>
  <c r="F138" i="2" s="1"/>
  <c r="C139" i="2"/>
  <c r="C140" i="2"/>
  <c r="C141" i="2"/>
  <c r="C142" i="2"/>
  <c r="C143" i="2"/>
  <c r="C144" i="2"/>
  <c r="C145" i="2"/>
  <c r="F145" i="2" s="1"/>
  <c r="C146" i="2"/>
  <c r="F146" i="2" s="1"/>
  <c r="C147" i="2"/>
  <c r="F147" i="2" s="1"/>
  <c r="C148" i="2"/>
  <c r="F148" i="2" s="1"/>
  <c r="C149" i="2"/>
  <c r="F149" i="2" s="1"/>
  <c r="C150" i="2"/>
  <c r="F150" i="2" s="1"/>
  <c r="C151" i="2"/>
  <c r="F151" i="2" s="1"/>
  <c r="C152" i="2"/>
  <c r="F152" i="2" s="1"/>
  <c r="C153" i="2"/>
  <c r="F153" i="2" s="1"/>
  <c r="C154" i="2"/>
  <c r="F154" i="2" s="1"/>
  <c r="C155" i="2"/>
  <c r="F155" i="2" s="1"/>
  <c r="C156" i="2"/>
  <c r="F156" i="2" s="1"/>
  <c r="C157" i="2"/>
  <c r="F157" i="2" s="1"/>
  <c r="C158" i="2"/>
  <c r="F158" i="2" s="1"/>
  <c r="C159" i="2"/>
  <c r="F159" i="2" s="1"/>
  <c r="C160" i="2"/>
  <c r="F160" i="2" s="1"/>
  <c r="C161" i="2"/>
  <c r="F161" i="2" s="1"/>
  <c r="C162" i="2"/>
  <c r="F162" i="2" s="1"/>
  <c r="C163" i="2"/>
  <c r="C164" i="2"/>
  <c r="C165" i="2"/>
  <c r="C166" i="2"/>
  <c r="C167" i="2"/>
  <c r="F167" i="2" s="1"/>
  <c r="C168" i="2"/>
  <c r="F168" i="2" s="1"/>
  <c r="C169" i="2"/>
  <c r="F169" i="2" s="1"/>
  <c r="C170" i="2"/>
  <c r="F170" i="2" s="1"/>
  <c r="C171" i="2"/>
  <c r="F171" i="2" s="1"/>
  <c r="C172" i="2"/>
  <c r="F172" i="2" s="1"/>
  <c r="C173" i="2"/>
  <c r="F173" i="2" s="1"/>
  <c r="C174" i="2"/>
  <c r="F174" i="2" s="1"/>
  <c r="C175" i="2"/>
  <c r="F175" i="2" s="1"/>
  <c r="C176" i="2"/>
  <c r="F176" i="2" s="1"/>
  <c r="C177" i="2"/>
  <c r="F177" i="2" s="1"/>
  <c r="C178" i="2"/>
  <c r="F178" i="2" s="1"/>
  <c r="C179" i="2"/>
  <c r="F179" i="2" s="1"/>
  <c r="C180" i="2"/>
  <c r="F180" i="2" s="1"/>
  <c r="C181" i="2"/>
  <c r="F181" i="2" s="1"/>
  <c r="C182" i="2"/>
  <c r="F182" i="2" s="1"/>
  <c r="C183" i="2"/>
  <c r="F183" i="2" s="1"/>
  <c r="C184" i="2"/>
  <c r="F184" i="2" s="1"/>
  <c r="C185" i="2"/>
  <c r="F185" i="2" s="1"/>
  <c r="C186" i="2"/>
  <c r="F186" i="2" s="1"/>
  <c r="C187" i="2"/>
  <c r="C188" i="2"/>
  <c r="C189" i="2"/>
  <c r="F189" i="2" s="1"/>
  <c r="C190" i="2"/>
  <c r="F190" i="2" s="1"/>
  <c r="C191" i="2"/>
  <c r="F191" i="2" s="1"/>
  <c r="C192" i="2"/>
  <c r="F192" i="2" s="1"/>
  <c r="C193" i="2"/>
  <c r="F193" i="2" s="1"/>
  <c r="C194" i="2"/>
  <c r="F194" i="2" s="1"/>
  <c r="C195" i="2"/>
  <c r="F195" i="2" s="1"/>
  <c r="C196" i="2"/>
  <c r="F196" i="2" s="1"/>
  <c r="C197" i="2"/>
  <c r="F197" i="2" s="1"/>
  <c r="C198" i="2"/>
  <c r="C199" i="2"/>
  <c r="C200" i="2"/>
  <c r="C201" i="2"/>
  <c r="C202" i="2"/>
  <c r="C203" i="2"/>
  <c r="C204" i="2"/>
  <c r="C205" i="2"/>
  <c r="F205" i="2" s="1"/>
  <c r="G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0B9C6E-A28F-4511-B93C-4E6D8C2784E0}" keepAlive="1" name="Zapytanie — cena_gazu" description="Połączenie z zapytaniem „cena_gazu” w skoroszycie." type="5" refreshedVersion="0" background="1">
    <dbPr connection="Provider=Microsoft.Mashup.OleDb.1;Data Source=$Workbook$;Location=cena_gazu;Extended Properties=&quot;&quot;" command="SELECT * FROM [cena_gazu]"/>
  </connection>
  <connection id="2" xr16:uid="{CD5D3798-B36A-44EF-9532-BB6E1165AF84}" keepAlive="1" name="Zapytanie — cena_gazu (2)" description="Połączenie z zapytaniem „cena_gazu (2)” w skoroszycie." type="5" refreshedVersion="8" background="1" saveData="1">
    <dbPr connection="Provider=Microsoft.Mashup.OleDb.1;Data Source=$Workbook$;Location=&quot;cena_gazu (2)&quot;;Extended Properties=&quot;&quot;" command="SELECT * FROM [cena_gazu (2)]"/>
  </connection>
  <connection id="3" xr16:uid="{59577933-8A1E-412E-B401-83DFFE07AC8F}" keepAlive="1" name="Zapytanie — gaz" description="Połączenie z zapytaniem „gaz” w skoroszycie." type="5" refreshedVersion="8" background="1" saveData="1">
    <dbPr connection="Provider=Microsoft.Mashup.OleDb.1;Data Source=$Workbook$;Location=gaz;Extended Properties=&quot;&quot;" command="SELECT * FROM [gaz]"/>
  </connection>
</connections>
</file>

<file path=xl/sharedStrings.xml><?xml version="1.0" encoding="utf-8"?>
<sst xmlns="http://schemas.openxmlformats.org/spreadsheetml/2006/main" count="26" uniqueCount="21">
  <si>
    <t>Data odczytu</t>
  </si>
  <si>
    <t>Odczyt licznika</t>
  </si>
  <si>
    <t>rok</t>
  </si>
  <si>
    <t>cena</t>
  </si>
  <si>
    <t>Zuzycie</t>
  </si>
  <si>
    <t>Rok</t>
  </si>
  <si>
    <t>Cena</t>
  </si>
  <si>
    <t>0,97</t>
  </si>
  <si>
    <t>0,99</t>
  </si>
  <si>
    <t>0,98</t>
  </si>
  <si>
    <t>1,02</t>
  </si>
  <si>
    <t>1,04</t>
  </si>
  <si>
    <t>1,05</t>
  </si>
  <si>
    <t>1,07</t>
  </si>
  <si>
    <t>1,11</t>
  </si>
  <si>
    <t>1,18</t>
  </si>
  <si>
    <t>1,23</t>
  </si>
  <si>
    <t>1,2</t>
  </si>
  <si>
    <t>1,21</t>
  </si>
  <si>
    <t>Taryfa</t>
  </si>
  <si>
    <t>Oplata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</si>
</sst>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</cellXfs>
  <cellStyles count="1">
    <cellStyle name="Normalny" xfId="0" builtinId="0"/>
  </cellStyles>
  <dxfs count="7">
    <dxf>
      <numFmt numFmtId="4" formatCode="#,##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010B130-3768-4857-B444-675A783A7D0C}" autoFormatId="16" applyNumberFormats="0" applyBorderFormats="0" applyFontFormats="0" applyPatternFormats="0" applyAlignmentFormats="0" applyWidthHeightFormats="0">
  <queryTableRefresh nextId="8" unboundColumnsRight="5">
    <queryTableFields count="7">
      <queryTableField id="1" name="Data odczytu" tableColumnId="1"/>
      <queryTableField id="2" name="Odczyt licznika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09B5D57-345A-4616-9946-0644F0640636}" autoFormatId="16" applyNumberFormats="0" applyBorderFormats="0" applyFontFormats="0" applyPatternFormats="0" applyAlignmentFormats="0" applyWidthHeightFormats="0">
  <queryTableRefresh nextId="3">
    <queryTableFields count="2">
      <queryTableField id="1" name="rok" tableColumnId="1"/>
      <queryTableField id="2" name="cena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9FBFF2-7333-4492-A648-B736CE79C920}" name="gaz" displayName="gaz" ref="A1:G205" tableType="queryTable" totalsRowShown="0">
  <autoFilter ref="A1:G205" xr:uid="{859FBFF2-7333-4492-A648-B736CE79C920}"/>
  <tableColumns count="7">
    <tableColumn id="1" xr3:uid="{ACEC4126-67DA-4546-86A2-F6606F99B7F6}" uniqueName="1" name="Data odczytu" queryTableFieldId="1" dataDxfId="6"/>
    <tableColumn id="2" xr3:uid="{1C672690-5FA8-4D2A-B860-9830DA7DB27A}" uniqueName="2" name="Odczyt licznika" queryTableFieldId="2"/>
    <tableColumn id="3" xr3:uid="{FC07DC2D-8FE8-45AD-8CA1-31E3E32F93FC}" uniqueName="3" name="Zuzycie" queryTableFieldId="3" dataDxfId="5">
      <calculatedColumnFormula>gaz[[#This Row],[Odczyt licznika]]-B1</calculatedColumnFormula>
    </tableColumn>
    <tableColumn id="4" xr3:uid="{F4109827-0851-4C5F-9532-1ED50451A2E6}" uniqueName="4" name="Rok" queryTableFieldId="4" dataDxfId="4">
      <calculatedColumnFormula>YEAR(gaz[[#This Row],[Data odczytu]])</calculatedColumnFormula>
    </tableColumn>
    <tableColumn id="5" xr3:uid="{F09B5FB2-3FDB-4EC8-A340-E730EBA79790}" uniqueName="5" name="Cena" queryTableFieldId="5" dataDxfId="3">
      <calculatedColumnFormula>VLOOKUP(gaz[[#This Row],[Rok]],cena_gazu__2[],2)</calculatedColumnFormula>
    </tableColumn>
    <tableColumn id="6" xr3:uid="{8F6A8F53-A23C-4291-ACCD-1E8C5CA27AAB}" uniqueName="6" name="Taryfa" queryTableFieldId="6" dataDxfId="2">
      <calculatedColumnFormula>IF(gaz[[#This Row],[Zuzycie]]&lt;100,70,IF(AND(gaz[[#This Row],[Zuzycie]]&gt;=100,gaz[[#This Row],[Zuzycie]]&lt;=200),90,120))</calculatedColumnFormula>
    </tableColumn>
    <tableColumn id="7" xr3:uid="{823F2054-2252-4187-A6AD-BA446CF679C0}" uniqueName="7" name="Oplata" queryTableFieldId="7" dataDxfId="1">
      <calculatedColumnFormula>gaz[[#This Row],[Cena]]+gaz[[#This Row],[Taryfa]]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315C74-7E5E-48A0-84A2-728CAF694ABE}" name="cena_gazu__2" displayName="cena_gazu__2" ref="H1:I19" tableType="queryTable" totalsRowShown="0">
  <autoFilter ref="H1:I19" xr:uid="{31315C74-7E5E-48A0-84A2-728CAF694ABE}"/>
  <tableColumns count="2">
    <tableColumn id="1" xr3:uid="{E342BF6B-E899-43B4-9149-06C6E454B730}" uniqueName="1" name="rok" queryTableFieldId="1"/>
    <tableColumn id="2" xr3:uid="{7616F652-771C-449A-94BC-16ACE78B7231}" uniqueName="2" name="cena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3A9C-EFC6-434D-AA69-8993368B6FD0}">
  <dimension ref="A1:I205"/>
  <sheetViews>
    <sheetView tabSelected="1" zoomScale="93" zoomScaleNormal="93" workbookViewId="0">
      <selection activeCell="I24" sqref="I24"/>
    </sheetView>
  </sheetViews>
  <sheetFormatPr defaultRowHeight="15" x14ac:dyDescent="0.25"/>
  <cols>
    <col min="1" max="1" width="14.5703125" bestFit="1" customWidth="1"/>
    <col min="2" max="2" width="7.85546875" customWidth="1"/>
    <col min="3" max="3" width="6.140625" customWidth="1"/>
    <col min="4" max="4" width="7.42578125" bestFit="1" customWidth="1"/>
    <col min="5" max="5" width="9.85546875" bestFit="1" customWidth="1"/>
    <col min="6" max="6" width="9.140625" style="2"/>
  </cols>
  <sheetData>
    <row r="1" spans="1:9" x14ac:dyDescent="0.25">
      <c r="A1" t="s">
        <v>0</v>
      </c>
      <c r="B1" t="s">
        <v>1</v>
      </c>
      <c r="C1" s="2" t="s">
        <v>4</v>
      </c>
      <c r="D1" t="s">
        <v>5</v>
      </c>
      <c r="E1" t="s">
        <v>6</v>
      </c>
      <c r="F1" s="2" t="s">
        <v>19</v>
      </c>
      <c r="G1" t="s">
        <v>20</v>
      </c>
      <c r="H1" t="s">
        <v>2</v>
      </c>
      <c r="I1" s="3" t="s">
        <v>3</v>
      </c>
    </row>
    <row r="2" spans="1:9" x14ac:dyDescent="0.25">
      <c r="A2" s="1">
        <v>37287</v>
      </c>
      <c r="B2">
        <v>2283</v>
      </c>
      <c r="C2">
        <v>200</v>
      </c>
      <c r="D2">
        <f>YEAR(gaz[[#This Row],[Data odczytu]])</f>
        <v>2002</v>
      </c>
      <c r="E2" t="str">
        <f>VLOOKUP(gaz[[#This Row],[Rok]],cena_gazu__2[],2)</f>
        <v>0,99</v>
      </c>
      <c r="F2" s="2">
        <f>IF(gaz[[#This Row],[Zuzycie]]&lt;100,70,IF(AND(gaz[[#This Row],[Zuzycie]]&gt;=100,gaz[[#This Row],[Zuzycie]]&lt;=200),90,120))</f>
        <v>90</v>
      </c>
      <c r="G2" s="2" t="e">
        <f>gaz[[#This Row],[Cena]]+gaz[[#This Row],[Taryfa]]</f>
        <v>#VALUE!</v>
      </c>
      <c r="H2">
        <v>2001</v>
      </c>
      <c r="I2" s="3" t="s">
        <v>7</v>
      </c>
    </row>
    <row r="3" spans="1:9" x14ac:dyDescent="0.25">
      <c r="A3" s="1">
        <v>37315</v>
      </c>
      <c r="B3">
        <v>2518</v>
      </c>
      <c r="C3">
        <f>gaz[[#This Row],[Odczyt licznika]]-B2</f>
        <v>235</v>
      </c>
      <c r="D3">
        <f>YEAR(gaz[[#This Row],[Data odczytu]])</f>
        <v>2002</v>
      </c>
      <c r="E3" t="str">
        <f>VLOOKUP(gaz[[#This Row],[Rok]],cena_gazu__2[],2)</f>
        <v>0,99</v>
      </c>
      <c r="F3" s="2">
        <f>IF(gaz[[#This Row],[Zuzycie]]&lt;100,70,IF(AND(gaz[[#This Row],[Zuzycie]]&gt;=100,gaz[[#This Row],[Zuzycie]]&lt;=200),90,120))</f>
        <v>120</v>
      </c>
      <c r="G3" s="2"/>
      <c r="H3">
        <v>2002</v>
      </c>
      <c r="I3" s="3" t="s">
        <v>8</v>
      </c>
    </row>
    <row r="4" spans="1:9" x14ac:dyDescent="0.25">
      <c r="A4" s="1">
        <v>37346</v>
      </c>
      <c r="B4">
        <v>2696</v>
      </c>
      <c r="C4">
        <f>gaz[[#This Row],[Odczyt licznika]]-B3</f>
        <v>178</v>
      </c>
      <c r="D4">
        <f>YEAR(gaz[[#This Row],[Data odczytu]])</f>
        <v>2002</v>
      </c>
      <c r="E4" t="str">
        <f>VLOOKUP(gaz[[#This Row],[Rok]],cena_gazu__2[],2)</f>
        <v>0,99</v>
      </c>
      <c r="F4" s="2">
        <f>IF(gaz[[#This Row],[Zuzycie]]&lt;100,70,IF(AND(gaz[[#This Row],[Zuzycie]]&gt;=100,gaz[[#This Row],[Zuzycie]]&lt;=200),90,120))</f>
        <v>90</v>
      </c>
      <c r="G4" s="2" t="e">
        <f>gaz[[#This Row],[Cena]]+gaz[[#This Row],[Taryfa]]</f>
        <v>#VALUE!</v>
      </c>
      <c r="H4">
        <v>2003</v>
      </c>
      <c r="I4" s="3" t="s">
        <v>8</v>
      </c>
    </row>
    <row r="5" spans="1:9" x14ac:dyDescent="0.25">
      <c r="A5" s="1">
        <v>37376</v>
      </c>
      <c r="B5">
        <v>2857</v>
      </c>
      <c r="C5">
        <f>gaz[[#This Row],[Odczyt licznika]]-B4</f>
        <v>161</v>
      </c>
      <c r="D5">
        <f>YEAR(gaz[[#This Row],[Data odczytu]])</f>
        <v>2002</v>
      </c>
      <c r="E5" t="str">
        <f>VLOOKUP(gaz[[#This Row],[Rok]],cena_gazu__2[],2)</f>
        <v>0,99</v>
      </c>
      <c r="F5" s="2">
        <f>IF(gaz[[#This Row],[Zuzycie]]&lt;100,70,IF(AND(gaz[[#This Row],[Zuzycie]]&gt;=100,gaz[[#This Row],[Zuzycie]]&lt;=200),90,120))</f>
        <v>90</v>
      </c>
      <c r="G5" s="2" t="e">
        <f>gaz[[#This Row],[Cena]]+gaz[[#This Row],[Taryfa]]</f>
        <v>#VALUE!</v>
      </c>
      <c r="H5">
        <v>2004</v>
      </c>
      <c r="I5" s="3" t="s">
        <v>9</v>
      </c>
    </row>
    <row r="6" spans="1:9" x14ac:dyDescent="0.25">
      <c r="A6" s="1">
        <v>37407</v>
      </c>
      <c r="B6">
        <v>2917</v>
      </c>
      <c r="C6">
        <f>gaz[[#This Row],[Odczyt licznika]]-B5</f>
        <v>60</v>
      </c>
      <c r="D6">
        <f>YEAR(gaz[[#This Row],[Data odczytu]])</f>
        <v>2002</v>
      </c>
      <c r="E6" t="str">
        <f>VLOOKUP(gaz[[#This Row],[Rok]],cena_gazu__2[],2)</f>
        <v>0,99</v>
      </c>
      <c r="F6" s="2">
        <f>IF(gaz[[#This Row],[Zuzycie]]&lt;100,70,IF(AND(gaz[[#This Row],[Zuzycie]]&gt;=100,gaz[[#This Row],[Zuzycie]]&lt;=200),90,120))</f>
        <v>70</v>
      </c>
      <c r="G6" s="2" t="e">
        <f>gaz[[#This Row],[Cena]]+gaz[[#This Row],[Taryfa]]</f>
        <v>#VALUE!</v>
      </c>
      <c r="H6">
        <v>2005</v>
      </c>
      <c r="I6" s="3" t="s">
        <v>10</v>
      </c>
    </row>
    <row r="7" spans="1:9" x14ac:dyDescent="0.25">
      <c r="A7" s="1">
        <v>37437</v>
      </c>
      <c r="B7">
        <v>2952</v>
      </c>
      <c r="C7">
        <f>gaz[[#This Row],[Odczyt licznika]]-B6</f>
        <v>35</v>
      </c>
      <c r="D7">
        <f>YEAR(gaz[[#This Row],[Data odczytu]])</f>
        <v>2002</v>
      </c>
      <c r="E7" t="str">
        <f>VLOOKUP(gaz[[#This Row],[Rok]],cena_gazu__2[],2)</f>
        <v>0,99</v>
      </c>
      <c r="F7" s="2">
        <f>IF(gaz[[#This Row],[Zuzycie]]&lt;100,70,IF(AND(gaz[[#This Row],[Zuzycie]]&gt;=100,gaz[[#This Row],[Zuzycie]]&lt;=200),90,120))</f>
        <v>70</v>
      </c>
      <c r="G7" s="2" t="e">
        <f>gaz[[#This Row],[Cena]]+gaz[[#This Row],[Taryfa]]</f>
        <v>#VALUE!</v>
      </c>
      <c r="H7">
        <v>2006</v>
      </c>
      <c r="I7" s="3" t="s">
        <v>10</v>
      </c>
    </row>
    <row r="8" spans="1:9" x14ac:dyDescent="0.25">
      <c r="A8" s="1">
        <v>37468</v>
      </c>
      <c r="B8">
        <v>2979</v>
      </c>
      <c r="C8">
        <f>gaz[[#This Row],[Odczyt licznika]]-B7</f>
        <v>27</v>
      </c>
      <c r="D8">
        <f>YEAR(gaz[[#This Row],[Data odczytu]])</f>
        <v>2002</v>
      </c>
      <c r="E8" t="str">
        <f>VLOOKUP(gaz[[#This Row],[Rok]],cena_gazu__2[],2)</f>
        <v>0,99</v>
      </c>
      <c r="F8" s="2">
        <f>IF(gaz[[#This Row],[Zuzycie]]&lt;100,70,IF(AND(gaz[[#This Row],[Zuzycie]]&gt;=100,gaz[[#This Row],[Zuzycie]]&lt;=200),90,120))</f>
        <v>70</v>
      </c>
      <c r="G8" s="2" t="e">
        <f>gaz[[#This Row],[Cena]]+gaz[[#This Row],[Taryfa]]</f>
        <v>#VALUE!</v>
      </c>
      <c r="H8">
        <v>2007</v>
      </c>
      <c r="I8" s="3" t="s">
        <v>11</v>
      </c>
    </row>
    <row r="9" spans="1:9" x14ac:dyDescent="0.25">
      <c r="A9" s="1">
        <v>37499</v>
      </c>
      <c r="B9">
        <v>3009</v>
      </c>
      <c r="C9">
        <f>gaz[[#This Row],[Odczyt licznika]]-B8</f>
        <v>30</v>
      </c>
      <c r="D9">
        <f>YEAR(gaz[[#This Row],[Data odczytu]])</f>
        <v>2002</v>
      </c>
      <c r="E9" t="str">
        <f>VLOOKUP(gaz[[#This Row],[Rok]],cena_gazu__2[],2)</f>
        <v>0,99</v>
      </c>
      <c r="F9" s="2">
        <f>IF(gaz[[#This Row],[Zuzycie]]&lt;100,70,IF(AND(gaz[[#This Row],[Zuzycie]]&gt;=100,gaz[[#This Row],[Zuzycie]]&lt;=200),90,120))</f>
        <v>70</v>
      </c>
      <c r="G9" s="2" t="e">
        <f>gaz[[#This Row],[Cena]]+gaz[[#This Row],[Taryfa]]</f>
        <v>#VALUE!</v>
      </c>
      <c r="H9">
        <v>2008</v>
      </c>
      <c r="I9" s="3" t="s">
        <v>12</v>
      </c>
    </row>
    <row r="10" spans="1:9" x14ac:dyDescent="0.25">
      <c r="A10" s="1">
        <v>37529</v>
      </c>
      <c r="B10">
        <v>3040</v>
      </c>
      <c r="C10">
        <f>gaz[[#This Row],[Odczyt licznika]]-B9</f>
        <v>31</v>
      </c>
      <c r="D10">
        <f>YEAR(gaz[[#This Row],[Data odczytu]])</f>
        <v>2002</v>
      </c>
      <c r="E10" t="str">
        <f>VLOOKUP(gaz[[#This Row],[Rok]],cena_gazu__2[],2)</f>
        <v>0,99</v>
      </c>
      <c r="F10" s="2">
        <f>IF(gaz[[#This Row],[Zuzycie]]&lt;100,70,IF(AND(gaz[[#This Row],[Zuzycie]]&gt;=100,gaz[[#This Row],[Zuzycie]]&lt;=200),90,120))</f>
        <v>70</v>
      </c>
      <c r="G10" s="2" t="e">
        <f>gaz[[#This Row],[Cena]]+gaz[[#This Row],[Taryfa]]</f>
        <v>#VALUE!</v>
      </c>
      <c r="H10">
        <v>2009</v>
      </c>
      <c r="I10" s="3" t="s">
        <v>13</v>
      </c>
    </row>
    <row r="11" spans="1:9" x14ac:dyDescent="0.25">
      <c r="A11" s="1">
        <v>37560</v>
      </c>
      <c r="B11">
        <v>3116</v>
      </c>
      <c r="C11">
        <f>gaz[[#This Row],[Odczyt licznika]]-B10</f>
        <v>76</v>
      </c>
      <c r="D11">
        <f>YEAR(gaz[[#This Row],[Data odczytu]])</f>
        <v>2002</v>
      </c>
      <c r="E11" t="str">
        <f>VLOOKUP(gaz[[#This Row],[Rok]],cena_gazu__2[],2)</f>
        <v>0,99</v>
      </c>
      <c r="F11" s="2">
        <f>IF(gaz[[#This Row],[Zuzycie]]&lt;100,70,IF(AND(gaz[[#This Row],[Zuzycie]]&gt;=100,gaz[[#This Row],[Zuzycie]]&lt;=200),90,120))</f>
        <v>70</v>
      </c>
      <c r="G11" s="2" t="e">
        <f>gaz[[#This Row],[Cena]]+gaz[[#This Row],[Taryfa]]</f>
        <v>#VALUE!</v>
      </c>
      <c r="H11">
        <v>2010</v>
      </c>
      <c r="I11" s="3" t="s">
        <v>14</v>
      </c>
    </row>
    <row r="12" spans="1:9" x14ac:dyDescent="0.25">
      <c r="A12" s="1">
        <v>37590</v>
      </c>
      <c r="B12">
        <v>3222</v>
      </c>
      <c r="C12">
        <f>gaz[[#This Row],[Odczyt licznika]]-B11</f>
        <v>106</v>
      </c>
      <c r="D12">
        <f>YEAR(gaz[[#This Row],[Data odczytu]])</f>
        <v>2002</v>
      </c>
      <c r="E12" t="str">
        <f>VLOOKUP(gaz[[#This Row],[Rok]],cena_gazu__2[],2)</f>
        <v>0,99</v>
      </c>
      <c r="F12" s="2">
        <f>IF(gaz[[#This Row],[Zuzycie]]&lt;100,70,IF(AND(gaz[[#This Row],[Zuzycie]]&gt;=100,gaz[[#This Row],[Zuzycie]]&lt;=200),90,120))</f>
        <v>90</v>
      </c>
      <c r="G12" s="2" t="e">
        <f>gaz[[#This Row],[Cena]]+gaz[[#This Row],[Taryfa]]</f>
        <v>#VALUE!</v>
      </c>
      <c r="H12">
        <v>2011</v>
      </c>
      <c r="I12" s="3" t="s">
        <v>15</v>
      </c>
    </row>
    <row r="13" spans="1:9" x14ac:dyDescent="0.25">
      <c r="A13" s="1">
        <v>37621</v>
      </c>
      <c r="B13">
        <v>3393</v>
      </c>
      <c r="C13">
        <f>gaz[[#This Row],[Odczyt licznika]]-B12</f>
        <v>171</v>
      </c>
      <c r="D13">
        <f>YEAR(gaz[[#This Row],[Data odczytu]])</f>
        <v>2002</v>
      </c>
      <c r="E13" t="str">
        <f>VLOOKUP(gaz[[#This Row],[Rok]],cena_gazu__2[],2)</f>
        <v>0,99</v>
      </c>
      <c r="F13" s="2">
        <f>IF(gaz[[#This Row],[Zuzycie]]&lt;100,70,IF(AND(gaz[[#This Row],[Zuzycie]]&gt;=100,gaz[[#This Row],[Zuzycie]]&lt;=200),90,120))</f>
        <v>90</v>
      </c>
      <c r="G13" s="2" t="e">
        <f>gaz[[#This Row],[Cena]]+gaz[[#This Row],[Taryfa]]</f>
        <v>#VALUE!</v>
      </c>
      <c r="H13">
        <v>2012</v>
      </c>
      <c r="I13" s="3" t="s">
        <v>16</v>
      </c>
    </row>
    <row r="14" spans="1:9" x14ac:dyDescent="0.25">
      <c r="A14" s="1">
        <v>37652</v>
      </c>
      <c r="B14">
        <v>3613</v>
      </c>
      <c r="C14">
        <f>gaz[[#This Row],[Odczyt licznika]]-B13</f>
        <v>220</v>
      </c>
      <c r="D14">
        <f>YEAR(gaz[[#This Row],[Data odczytu]])</f>
        <v>2003</v>
      </c>
      <c r="E14" t="str">
        <f>VLOOKUP(gaz[[#This Row],[Rok]],cena_gazu__2[],2)</f>
        <v>0,99</v>
      </c>
      <c r="F14" s="2">
        <f>IF(gaz[[#This Row],[Zuzycie]]&lt;100,70,IF(AND(gaz[[#This Row],[Zuzycie]]&gt;=100,gaz[[#This Row],[Zuzycie]]&lt;=200),90,120))</f>
        <v>120</v>
      </c>
      <c r="G14" s="2" t="e">
        <f>gaz[[#This Row],[Cena]]+gaz[[#This Row],[Taryfa]]</f>
        <v>#VALUE!</v>
      </c>
      <c r="H14">
        <v>2013</v>
      </c>
      <c r="I14" s="3" t="s">
        <v>16</v>
      </c>
    </row>
    <row r="15" spans="1:9" x14ac:dyDescent="0.25">
      <c r="A15" s="1">
        <v>37680</v>
      </c>
      <c r="B15">
        <v>3891</v>
      </c>
      <c r="C15">
        <f>gaz[[#This Row],[Odczyt licznika]]-B14</f>
        <v>278</v>
      </c>
      <c r="D15">
        <f>YEAR(gaz[[#This Row],[Data odczytu]])</f>
        <v>2003</v>
      </c>
      <c r="E15" t="str">
        <f>VLOOKUP(gaz[[#This Row],[Rok]],cena_gazu__2[],2)</f>
        <v>0,99</v>
      </c>
      <c r="F15" s="2">
        <f>IF(gaz[[#This Row],[Zuzycie]]&lt;100,70,IF(AND(gaz[[#This Row],[Zuzycie]]&gt;=100,gaz[[#This Row],[Zuzycie]]&lt;=200),90,120))</f>
        <v>120</v>
      </c>
      <c r="G15" s="2" t="e">
        <f>gaz[[#This Row],[Cena]]+gaz[[#This Row],[Taryfa]]</f>
        <v>#VALUE!</v>
      </c>
      <c r="H15">
        <v>2014</v>
      </c>
      <c r="I15" s="3" t="s">
        <v>16</v>
      </c>
    </row>
    <row r="16" spans="1:9" x14ac:dyDescent="0.25">
      <c r="A16" s="1">
        <v>37711</v>
      </c>
      <c r="B16">
        <v>4151</v>
      </c>
      <c r="C16">
        <f>gaz[[#This Row],[Odczyt licznika]]-B15</f>
        <v>260</v>
      </c>
      <c r="D16">
        <f>YEAR(gaz[[#This Row],[Data odczytu]])</f>
        <v>2003</v>
      </c>
      <c r="E16" t="str">
        <f>VLOOKUP(gaz[[#This Row],[Rok]],cena_gazu__2[],2)</f>
        <v>0,99</v>
      </c>
      <c r="F16" s="2">
        <f>IF(gaz[[#This Row],[Zuzycie]]&lt;100,70,IF(AND(gaz[[#This Row],[Zuzycie]]&gt;=100,gaz[[#This Row],[Zuzycie]]&lt;=200),90,120))</f>
        <v>120</v>
      </c>
      <c r="G16" s="2" t="e">
        <f>gaz[[#This Row],[Cena]]+gaz[[#This Row],[Taryfa]]</f>
        <v>#VALUE!</v>
      </c>
      <c r="H16">
        <v>2015</v>
      </c>
      <c r="I16" s="3" t="s">
        <v>17</v>
      </c>
    </row>
    <row r="17" spans="1:9" x14ac:dyDescent="0.25">
      <c r="A17" s="1">
        <v>37741</v>
      </c>
      <c r="B17">
        <v>4401</v>
      </c>
      <c r="C17">
        <f>gaz[[#This Row],[Odczyt licznika]]-B16</f>
        <v>250</v>
      </c>
      <c r="D17">
        <f>YEAR(gaz[[#This Row],[Data odczytu]])</f>
        <v>2003</v>
      </c>
      <c r="E17" t="str">
        <f>VLOOKUP(gaz[[#This Row],[Rok]],cena_gazu__2[],2)</f>
        <v>0,99</v>
      </c>
      <c r="F17" s="2">
        <f>IF(gaz[[#This Row],[Zuzycie]]&lt;100,70,IF(AND(gaz[[#This Row],[Zuzycie]]&gt;=100,gaz[[#This Row],[Zuzycie]]&lt;=200),90,120))</f>
        <v>120</v>
      </c>
      <c r="G17" s="2" t="e">
        <f>gaz[[#This Row],[Cena]]+gaz[[#This Row],[Taryfa]]</f>
        <v>#VALUE!</v>
      </c>
      <c r="H17">
        <v>2016</v>
      </c>
      <c r="I17" s="3" t="s">
        <v>18</v>
      </c>
    </row>
    <row r="18" spans="1:9" x14ac:dyDescent="0.25">
      <c r="A18" s="1">
        <v>37772</v>
      </c>
      <c r="B18">
        <v>4553</v>
      </c>
      <c r="C18">
        <f>gaz[[#This Row],[Odczyt licznika]]-B17</f>
        <v>152</v>
      </c>
      <c r="D18">
        <f>YEAR(gaz[[#This Row],[Data odczytu]])</f>
        <v>2003</v>
      </c>
      <c r="E18" t="str">
        <f>VLOOKUP(gaz[[#This Row],[Rok]],cena_gazu__2[],2)</f>
        <v>0,99</v>
      </c>
      <c r="F18" s="2">
        <f>IF(gaz[[#This Row],[Zuzycie]]&lt;100,70,IF(AND(gaz[[#This Row],[Zuzycie]]&gt;=100,gaz[[#This Row],[Zuzycie]]&lt;=200),90,120))</f>
        <v>90</v>
      </c>
      <c r="G18" s="2" t="e">
        <f>gaz[[#This Row],[Cena]]+gaz[[#This Row],[Taryfa]]</f>
        <v>#VALUE!</v>
      </c>
      <c r="H18">
        <v>2017</v>
      </c>
      <c r="I18" s="3" t="s">
        <v>18</v>
      </c>
    </row>
    <row r="19" spans="1:9" x14ac:dyDescent="0.25">
      <c r="A19" s="1">
        <v>37802</v>
      </c>
      <c r="B19">
        <v>4639</v>
      </c>
      <c r="C19">
        <f>gaz[[#This Row],[Odczyt licznika]]-B18</f>
        <v>86</v>
      </c>
      <c r="D19">
        <f>YEAR(gaz[[#This Row],[Data odczytu]])</f>
        <v>2003</v>
      </c>
      <c r="E19" t="str">
        <f>VLOOKUP(gaz[[#This Row],[Rok]],cena_gazu__2[],2)</f>
        <v>0,99</v>
      </c>
      <c r="F19" s="2">
        <f>IF(gaz[[#This Row],[Zuzycie]]&lt;100,70,IF(AND(gaz[[#This Row],[Zuzycie]]&gt;=100,gaz[[#This Row],[Zuzycie]]&lt;=200),90,120))</f>
        <v>70</v>
      </c>
      <c r="G19" s="2" t="e">
        <f>gaz[[#This Row],[Cena]]+gaz[[#This Row],[Taryfa]]</f>
        <v>#VALUE!</v>
      </c>
      <c r="H19">
        <v>2018</v>
      </c>
      <c r="I19" s="3">
        <v>1.22</v>
      </c>
    </row>
    <row r="20" spans="1:9" x14ac:dyDescent="0.25">
      <c r="A20" s="1">
        <v>37833</v>
      </c>
      <c r="B20">
        <v>4654</v>
      </c>
      <c r="C20">
        <f>gaz[[#This Row],[Odczyt licznika]]-B19</f>
        <v>15</v>
      </c>
      <c r="D20">
        <f>YEAR(gaz[[#This Row],[Data odczytu]])</f>
        <v>2003</v>
      </c>
      <c r="E20" t="str">
        <f>VLOOKUP(gaz[[#This Row],[Rok]],cena_gazu__2[],2)</f>
        <v>0,99</v>
      </c>
      <c r="F20" s="2">
        <f>IF(gaz[[#This Row],[Zuzycie]]&lt;100,70,IF(AND(gaz[[#This Row],[Zuzycie]]&gt;=100,gaz[[#This Row],[Zuzycie]]&lt;=200),90,120))</f>
        <v>70</v>
      </c>
      <c r="G20" s="2" t="e">
        <f>gaz[[#This Row],[Cena]]+gaz[[#This Row],[Taryfa]]</f>
        <v>#VALUE!</v>
      </c>
    </row>
    <row r="21" spans="1:9" x14ac:dyDescent="0.25">
      <c r="A21" s="1">
        <v>37864</v>
      </c>
      <c r="B21">
        <v>4669</v>
      </c>
      <c r="C21">
        <f>gaz[[#This Row],[Odczyt licznika]]-B20</f>
        <v>15</v>
      </c>
      <c r="D21">
        <f>YEAR(gaz[[#This Row],[Data odczytu]])</f>
        <v>2003</v>
      </c>
      <c r="E21" t="str">
        <f>VLOOKUP(gaz[[#This Row],[Rok]],cena_gazu__2[],2)</f>
        <v>0,99</v>
      </c>
      <c r="F21" s="2">
        <f>IF(gaz[[#This Row],[Zuzycie]]&lt;100,70,IF(AND(gaz[[#This Row],[Zuzycie]]&gt;=100,gaz[[#This Row],[Zuzycie]]&lt;=200),90,120))</f>
        <v>70</v>
      </c>
      <c r="G21" s="2" t="e">
        <f>gaz[[#This Row],[Cena]]+gaz[[#This Row],[Taryfa]]</f>
        <v>#VALUE!</v>
      </c>
    </row>
    <row r="22" spans="1:9" x14ac:dyDescent="0.25">
      <c r="A22" s="1">
        <v>37894</v>
      </c>
      <c r="B22">
        <v>4819</v>
      </c>
      <c r="C22">
        <f>gaz[[#This Row],[Odczyt licznika]]-B21</f>
        <v>150</v>
      </c>
      <c r="D22">
        <f>YEAR(gaz[[#This Row],[Data odczytu]])</f>
        <v>2003</v>
      </c>
      <c r="E22" t="str">
        <f>VLOOKUP(gaz[[#This Row],[Rok]],cena_gazu__2[],2)</f>
        <v>0,99</v>
      </c>
      <c r="F22" s="2">
        <f>IF(gaz[[#This Row],[Zuzycie]]&lt;100,70,IF(AND(gaz[[#This Row],[Zuzycie]]&gt;=100,gaz[[#This Row],[Zuzycie]]&lt;=200),90,120))</f>
        <v>90</v>
      </c>
      <c r="G22" s="2" t="e">
        <f>gaz[[#This Row],[Cena]]+gaz[[#This Row],[Taryfa]]</f>
        <v>#VALUE!</v>
      </c>
    </row>
    <row r="23" spans="1:9" x14ac:dyDescent="0.25">
      <c r="A23" s="1">
        <v>37925</v>
      </c>
      <c r="B23">
        <v>4976</v>
      </c>
      <c r="C23">
        <f>gaz[[#This Row],[Odczyt licznika]]-B22</f>
        <v>157</v>
      </c>
      <c r="D23">
        <f>YEAR(gaz[[#This Row],[Data odczytu]])</f>
        <v>2003</v>
      </c>
      <c r="E23" t="str">
        <f>VLOOKUP(gaz[[#This Row],[Rok]],cena_gazu__2[],2)</f>
        <v>0,99</v>
      </c>
      <c r="F23" s="2">
        <f>IF(gaz[[#This Row],[Zuzycie]]&lt;100,70,IF(AND(gaz[[#This Row],[Zuzycie]]&gt;=100,gaz[[#This Row],[Zuzycie]]&lt;=200),90,120))</f>
        <v>90</v>
      </c>
      <c r="G23" s="2" t="e">
        <f>gaz[[#This Row],[Cena]]+gaz[[#This Row],[Taryfa]]</f>
        <v>#VALUE!</v>
      </c>
    </row>
    <row r="24" spans="1:9" x14ac:dyDescent="0.25">
      <c r="A24" s="1">
        <v>37955</v>
      </c>
      <c r="B24">
        <v>5078</v>
      </c>
      <c r="C24">
        <f>gaz[[#This Row],[Odczyt licznika]]-B23</f>
        <v>102</v>
      </c>
      <c r="D24">
        <f>YEAR(gaz[[#This Row],[Data odczytu]])</f>
        <v>2003</v>
      </c>
      <c r="E24" t="str">
        <f>VLOOKUP(gaz[[#This Row],[Rok]],cena_gazu__2[],2)</f>
        <v>0,99</v>
      </c>
      <c r="F24" s="2">
        <f>IF(gaz[[#This Row],[Zuzycie]]&lt;100,70,IF(AND(gaz[[#This Row],[Zuzycie]]&gt;=100,gaz[[#This Row],[Zuzycie]]&lt;=200),90,120))</f>
        <v>90</v>
      </c>
      <c r="G24" s="2" t="e">
        <f>gaz[[#This Row],[Cena]]+gaz[[#This Row],[Taryfa]]</f>
        <v>#VALUE!</v>
      </c>
    </row>
    <row r="25" spans="1:9" x14ac:dyDescent="0.25">
      <c r="A25" s="1">
        <v>37986</v>
      </c>
      <c r="B25">
        <v>5260</v>
      </c>
      <c r="C25">
        <f>gaz[[#This Row],[Odczyt licznika]]-B24</f>
        <v>182</v>
      </c>
      <c r="D25">
        <f>YEAR(gaz[[#This Row],[Data odczytu]])</f>
        <v>2003</v>
      </c>
      <c r="E25" t="str">
        <f>VLOOKUP(gaz[[#This Row],[Rok]],cena_gazu__2[],2)</f>
        <v>0,99</v>
      </c>
      <c r="F25" s="2">
        <f>IF(gaz[[#This Row],[Zuzycie]]&lt;100,70,IF(AND(gaz[[#This Row],[Zuzycie]]&gt;=100,gaz[[#This Row],[Zuzycie]]&lt;=200),90,120))</f>
        <v>90</v>
      </c>
      <c r="G25" s="2" t="e">
        <f>gaz[[#This Row],[Cena]]+gaz[[#This Row],[Taryfa]]</f>
        <v>#VALUE!</v>
      </c>
    </row>
    <row r="26" spans="1:9" x14ac:dyDescent="0.25">
      <c r="A26" s="1">
        <v>38017</v>
      </c>
      <c r="B26">
        <v>5508</v>
      </c>
      <c r="C26">
        <f>gaz[[#This Row],[Odczyt licznika]]-B25</f>
        <v>248</v>
      </c>
      <c r="D26">
        <f>YEAR(gaz[[#This Row],[Data odczytu]])</f>
        <v>2004</v>
      </c>
      <c r="E26" t="str">
        <f>VLOOKUP(gaz[[#This Row],[Rok]],cena_gazu__2[],2)</f>
        <v>0,98</v>
      </c>
      <c r="F26" s="2">
        <f>IF(gaz[[#This Row],[Zuzycie]]&lt;100,70,IF(AND(gaz[[#This Row],[Zuzycie]]&gt;=100,gaz[[#This Row],[Zuzycie]]&lt;=200),90,120))</f>
        <v>120</v>
      </c>
      <c r="G26" s="2" t="e">
        <f>gaz[[#This Row],[Cena]]+gaz[[#This Row],[Taryfa]]</f>
        <v>#VALUE!</v>
      </c>
    </row>
    <row r="27" spans="1:9" x14ac:dyDescent="0.25">
      <c r="A27" s="1">
        <v>38045</v>
      </c>
      <c r="B27">
        <v>5754</v>
      </c>
      <c r="C27">
        <f>gaz[[#This Row],[Odczyt licznika]]-B26</f>
        <v>246</v>
      </c>
      <c r="D27">
        <f>YEAR(gaz[[#This Row],[Data odczytu]])</f>
        <v>2004</v>
      </c>
      <c r="E27" t="str">
        <f>VLOOKUP(gaz[[#This Row],[Rok]],cena_gazu__2[],2)</f>
        <v>0,98</v>
      </c>
      <c r="F27" s="2">
        <f>IF(gaz[[#This Row],[Zuzycie]]&lt;100,70,IF(AND(gaz[[#This Row],[Zuzycie]]&gt;=100,gaz[[#This Row],[Zuzycie]]&lt;=200),90,120))</f>
        <v>120</v>
      </c>
      <c r="G27" s="2" t="e">
        <f>gaz[[#This Row],[Cena]]+gaz[[#This Row],[Taryfa]]</f>
        <v>#VALUE!</v>
      </c>
    </row>
    <row r="28" spans="1:9" x14ac:dyDescent="0.25">
      <c r="A28" s="1">
        <v>38077</v>
      </c>
      <c r="B28">
        <v>5945</v>
      </c>
      <c r="C28">
        <f>gaz[[#This Row],[Odczyt licznika]]-B27</f>
        <v>191</v>
      </c>
      <c r="D28">
        <f>YEAR(gaz[[#This Row],[Data odczytu]])</f>
        <v>2004</v>
      </c>
      <c r="E28" t="str">
        <f>VLOOKUP(gaz[[#This Row],[Rok]],cena_gazu__2[],2)</f>
        <v>0,98</v>
      </c>
      <c r="F28" s="2">
        <f>IF(gaz[[#This Row],[Zuzycie]]&lt;100,70,IF(AND(gaz[[#This Row],[Zuzycie]]&gt;=100,gaz[[#This Row],[Zuzycie]]&lt;=200),90,120))</f>
        <v>90</v>
      </c>
      <c r="G28" s="2" t="e">
        <f>gaz[[#This Row],[Cena]]+gaz[[#This Row],[Taryfa]]</f>
        <v>#VALUE!</v>
      </c>
    </row>
    <row r="29" spans="1:9" x14ac:dyDescent="0.25">
      <c r="A29" s="1">
        <v>38107</v>
      </c>
      <c r="B29">
        <v>6050</v>
      </c>
      <c r="C29">
        <f>gaz[[#This Row],[Odczyt licznika]]-B28</f>
        <v>105</v>
      </c>
      <c r="D29">
        <f>YEAR(gaz[[#This Row],[Data odczytu]])</f>
        <v>2004</v>
      </c>
      <c r="E29" t="str">
        <f>VLOOKUP(gaz[[#This Row],[Rok]],cena_gazu__2[],2)</f>
        <v>0,98</v>
      </c>
      <c r="F29" s="2">
        <f>IF(gaz[[#This Row],[Zuzycie]]&lt;100,70,IF(AND(gaz[[#This Row],[Zuzycie]]&gt;=100,gaz[[#This Row],[Zuzycie]]&lt;=200),90,120))</f>
        <v>90</v>
      </c>
      <c r="G29" s="2" t="e">
        <f>gaz[[#This Row],[Cena]]+gaz[[#This Row],[Taryfa]]</f>
        <v>#VALUE!</v>
      </c>
    </row>
    <row r="30" spans="1:9" x14ac:dyDescent="0.25">
      <c r="A30" s="1">
        <v>38138</v>
      </c>
      <c r="B30">
        <v>6146</v>
      </c>
      <c r="C30">
        <f>gaz[[#This Row],[Odczyt licznika]]-B29</f>
        <v>96</v>
      </c>
      <c r="D30">
        <f>YEAR(gaz[[#This Row],[Data odczytu]])</f>
        <v>2004</v>
      </c>
      <c r="E30" t="str">
        <f>VLOOKUP(gaz[[#This Row],[Rok]],cena_gazu__2[],2)</f>
        <v>0,98</v>
      </c>
      <c r="F30" s="2">
        <f>IF(gaz[[#This Row],[Zuzycie]]&lt;100,70,IF(AND(gaz[[#This Row],[Zuzycie]]&gt;=100,gaz[[#This Row],[Zuzycie]]&lt;=200),90,120))</f>
        <v>70</v>
      </c>
      <c r="G30" s="2" t="e">
        <f>gaz[[#This Row],[Cena]]+gaz[[#This Row],[Taryfa]]</f>
        <v>#VALUE!</v>
      </c>
    </row>
    <row r="31" spans="1:9" x14ac:dyDescent="0.25">
      <c r="A31" s="1">
        <v>38168</v>
      </c>
      <c r="B31">
        <v>6173</v>
      </c>
      <c r="C31">
        <f>gaz[[#This Row],[Odczyt licznika]]-B30</f>
        <v>27</v>
      </c>
      <c r="D31">
        <f>YEAR(gaz[[#This Row],[Data odczytu]])</f>
        <v>2004</v>
      </c>
      <c r="E31" t="str">
        <f>VLOOKUP(gaz[[#This Row],[Rok]],cena_gazu__2[],2)</f>
        <v>0,98</v>
      </c>
      <c r="F31" s="2">
        <f>IF(gaz[[#This Row],[Zuzycie]]&lt;100,70,IF(AND(gaz[[#This Row],[Zuzycie]]&gt;=100,gaz[[#This Row],[Zuzycie]]&lt;=200),90,120))</f>
        <v>70</v>
      </c>
      <c r="G31" s="2" t="e">
        <f>gaz[[#This Row],[Cena]]+gaz[[#This Row],[Taryfa]]</f>
        <v>#VALUE!</v>
      </c>
    </row>
    <row r="32" spans="1:9" x14ac:dyDescent="0.25">
      <c r="A32" s="1">
        <v>38199</v>
      </c>
      <c r="B32">
        <v>6183</v>
      </c>
      <c r="C32">
        <f>gaz[[#This Row],[Odczyt licznika]]-B31</f>
        <v>10</v>
      </c>
      <c r="D32">
        <f>YEAR(gaz[[#This Row],[Data odczytu]])</f>
        <v>2004</v>
      </c>
      <c r="E32" t="str">
        <f>VLOOKUP(gaz[[#This Row],[Rok]],cena_gazu__2[],2)</f>
        <v>0,98</v>
      </c>
      <c r="F32" s="2">
        <f>IF(gaz[[#This Row],[Zuzycie]]&lt;100,70,IF(AND(gaz[[#This Row],[Zuzycie]]&gt;=100,gaz[[#This Row],[Zuzycie]]&lt;=200),90,120))</f>
        <v>70</v>
      </c>
      <c r="G32" s="2" t="e">
        <f>gaz[[#This Row],[Cena]]+gaz[[#This Row],[Taryfa]]</f>
        <v>#VALUE!</v>
      </c>
    </row>
    <row r="33" spans="1:7" x14ac:dyDescent="0.25">
      <c r="A33" s="1">
        <v>38230</v>
      </c>
      <c r="B33">
        <v>6195</v>
      </c>
      <c r="C33">
        <f>gaz[[#This Row],[Odczyt licznika]]-B32</f>
        <v>12</v>
      </c>
      <c r="D33">
        <f>YEAR(gaz[[#This Row],[Data odczytu]])</f>
        <v>2004</v>
      </c>
      <c r="E33" t="str">
        <f>VLOOKUP(gaz[[#This Row],[Rok]],cena_gazu__2[],2)</f>
        <v>0,98</v>
      </c>
      <c r="F33" s="2">
        <f>IF(gaz[[#This Row],[Zuzycie]]&lt;100,70,IF(AND(gaz[[#This Row],[Zuzycie]]&gt;=100,gaz[[#This Row],[Zuzycie]]&lt;=200),90,120))</f>
        <v>70</v>
      </c>
      <c r="G33" s="2" t="e">
        <f>gaz[[#This Row],[Cena]]+gaz[[#This Row],[Taryfa]]</f>
        <v>#VALUE!</v>
      </c>
    </row>
    <row r="34" spans="1:7" x14ac:dyDescent="0.25">
      <c r="A34" s="1">
        <v>38260</v>
      </c>
      <c r="B34">
        <v>6304</v>
      </c>
      <c r="C34">
        <f>gaz[[#This Row],[Odczyt licznika]]-B33</f>
        <v>109</v>
      </c>
      <c r="D34">
        <f>YEAR(gaz[[#This Row],[Data odczytu]])</f>
        <v>2004</v>
      </c>
      <c r="E34" t="str">
        <f>VLOOKUP(gaz[[#This Row],[Rok]],cena_gazu__2[],2)</f>
        <v>0,98</v>
      </c>
      <c r="F34" s="2">
        <f>IF(gaz[[#This Row],[Zuzycie]]&lt;100,70,IF(AND(gaz[[#This Row],[Zuzycie]]&gt;=100,gaz[[#This Row],[Zuzycie]]&lt;=200),90,120))</f>
        <v>90</v>
      </c>
      <c r="G34" s="2" t="e">
        <f>gaz[[#This Row],[Cena]]+gaz[[#This Row],[Taryfa]]</f>
        <v>#VALUE!</v>
      </c>
    </row>
    <row r="35" spans="1:7" x14ac:dyDescent="0.25">
      <c r="A35" s="1">
        <v>38291</v>
      </c>
      <c r="B35">
        <v>6459</v>
      </c>
      <c r="C35">
        <f>gaz[[#This Row],[Odczyt licznika]]-B34</f>
        <v>155</v>
      </c>
      <c r="D35">
        <f>YEAR(gaz[[#This Row],[Data odczytu]])</f>
        <v>2004</v>
      </c>
      <c r="E35" t="str">
        <f>VLOOKUP(gaz[[#This Row],[Rok]],cena_gazu__2[],2)</f>
        <v>0,98</v>
      </c>
      <c r="F35" s="2">
        <f>IF(gaz[[#This Row],[Zuzycie]]&lt;100,70,IF(AND(gaz[[#This Row],[Zuzycie]]&gt;=100,gaz[[#This Row],[Zuzycie]]&lt;=200),90,120))</f>
        <v>90</v>
      </c>
      <c r="G35" s="2" t="e">
        <f>gaz[[#This Row],[Cena]]+gaz[[#This Row],[Taryfa]]</f>
        <v>#VALUE!</v>
      </c>
    </row>
    <row r="36" spans="1:7" x14ac:dyDescent="0.25">
      <c r="A36" s="1">
        <v>38321</v>
      </c>
      <c r="B36">
        <v>6737</v>
      </c>
      <c r="C36">
        <f>gaz[[#This Row],[Odczyt licznika]]-B35</f>
        <v>278</v>
      </c>
      <c r="D36">
        <f>YEAR(gaz[[#This Row],[Data odczytu]])</f>
        <v>2004</v>
      </c>
      <c r="E36" t="str">
        <f>VLOOKUP(gaz[[#This Row],[Rok]],cena_gazu__2[],2)</f>
        <v>0,98</v>
      </c>
      <c r="F36" s="2">
        <f>IF(gaz[[#This Row],[Zuzycie]]&lt;100,70,IF(AND(gaz[[#This Row],[Zuzycie]]&gt;=100,gaz[[#This Row],[Zuzycie]]&lt;=200),90,120))</f>
        <v>120</v>
      </c>
      <c r="G36" s="2" t="e">
        <f>gaz[[#This Row],[Cena]]+gaz[[#This Row],[Taryfa]]</f>
        <v>#VALUE!</v>
      </c>
    </row>
    <row r="37" spans="1:7" x14ac:dyDescent="0.25">
      <c r="A37" s="1">
        <v>38352</v>
      </c>
      <c r="B37">
        <v>6997</v>
      </c>
      <c r="C37">
        <f>gaz[[#This Row],[Odczyt licznika]]-B36</f>
        <v>260</v>
      </c>
      <c r="D37">
        <f>YEAR(gaz[[#This Row],[Data odczytu]])</f>
        <v>2004</v>
      </c>
      <c r="E37" t="str">
        <f>VLOOKUP(gaz[[#This Row],[Rok]],cena_gazu__2[],2)</f>
        <v>0,98</v>
      </c>
      <c r="F37" s="2">
        <f>IF(gaz[[#This Row],[Zuzycie]]&lt;100,70,IF(AND(gaz[[#This Row],[Zuzycie]]&gt;=100,gaz[[#This Row],[Zuzycie]]&lt;=200),90,120))</f>
        <v>120</v>
      </c>
      <c r="G37" s="2" t="e">
        <f>gaz[[#This Row],[Cena]]+gaz[[#This Row],[Taryfa]]</f>
        <v>#VALUE!</v>
      </c>
    </row>
    <row r="38" spans="1:7" x14ac:dyDescent="0.25">
      <c r="A38" s="1">
        <v>38383</v>
      </c>
      <c r="B38">
        <v>7247</v>
      </c>
      <c r="C38">
        <f>gaz[[#This Row],[Odczyt licznika]]-B37</f>
        <v>250</v>
      </c>
      <c r="D38">
        <f>YEAR(gaz[[#This Row],[Data odczytu]])</f>
        <v>2005</v>
      </c>
      <c r="E38" t="str">
        <f>VLOOKUP(gaz[[#This Row],[Rok]],cena_gazu__2[],2)</f>
        <v>1,02</v>
      </c>
      <c r="F38" s="2">
        <f>IF(gaz[[#This Row],[Zuzycie]]&lt;100,70,IF(AND(gaz[[#This Row],[Zuzycie]]&gt;=100,gaz[[#This Row],[Zuzycie]]&lt;=200),90,120))</f>
        <v>120</v>
      </c>
      <c r="G38" s="2" t="e">
        <f>gaz[[#This Row],[Cena]]+gaz[[#This Row],[Taryfa]]</f>
        <v>#VALUE!</v>
      </c>
    </row>
    <row r="39" spans="1:7" x14ac:dyDescent="0.25">
      <c r="A39" s="1">
        <v>38411</v>
      </c>
      <c r="B39">
        <v>7399</v>
      </c>
      <c r="C39">
        <f>gaz[[#This Row],[Odczyt licznika]]-B38</f>
        <v>152</v>
      </c>
      <c r="D39">
        <f>YEAR(gaz[[#This Row],[Data odczytu]])</f>
        <v>2005</v>
      </c>
      <c r="E39" t="str">
        <f>VLOOKUP(gaz[[#This Row],[Rok]],cena_gazu__2[],2)</f>
        <v>1,02</v>
      </c>
      <c r="F39" s="2">
        <f>IF(gaz[[#This Row],[Zuzycie]]&lt;100,70,IF(AND(gaz[[#This Row],[Zuzycie]]&gt;=100,gaz[[#This Row],[Zuzycie]]&lt;=200),90,120))</f>
        <v>90</v>
      </c>
      <c r="G39" s="2" t="e">
        <f>gaz[[#This Row],[Cena]]+gaz[[#This Row],[Taryfa]]</f>
        <v>#VALUE!</v>
      </c>
    </row>
    <row r="40" spans="1:7" x14ac:dyDescent="0.25">
      <c r="A40" s="1">
        <v>38442</v>
      </c>
      <c r="B40">
        <v>7584</v>
      </c>
      <c r="C40">
        <f>gaz[[#This Row],[Odczyt licznika]]-B39</f>
        <v>185</v>
      </c>
      <c r="D40">
        <f>YEAR(gaz[[#This Row],[Data odczytu]])</f>
        <v>2005</v>
      </c>
      <c r="E40" t="str">
        <f>VLOOKUP(gaz[[#This Row],[Rok]],cena_gazu__2[],2)</f>
        <v>1,02</v>
      </c>
      <c r="F40" s="2">
        <f>IF(gaz[[#This Row],[Zuzycie]]&lt;100,70,IF(AND(gaz[[#This Row],[Zuzycie]]&gt;=100,gaz[[#This Row],[Zuzycie]]&lt;=200),90,120))</f>
        <v>90</v>
      </c>
      <c r="G40" s="2" t="e">
        <f>gaz[[#This Row],[Cena]]+gaz[[#This Row],[Taryfa]]</f>
        <v>#VALUE!</v>
      </c>
    </row>
    <row r="41" spans="1:7" x14ac:dyDescent="0.25">
      <c r="A41" s="1">
        <v>38472</v>
      </c>
      <c r="B41">
        <v>7745</v>
      </c>
      <c r="C41">
        <f>gaz[[#This Row],[Odczyt licznika]]-B40</f>
        <v>161</v>
      </c>
      <c r="D41">
        <f>YEAR(gaz[[#This Row],[Data odczytu]])</f>
        <v>2005</v>
      </c>
      <c r="E41" t="str">
        <f>VLOOKUP(gaz[[#This Row],[Rok]],cena_gazu__2[],2)</f>
        <v>1,02</v>
      </c>
      <c r="F41" s="2">
        <f>IF(gaz[[#This Row],[Zuzycie]]&lt;100,70,IF(AND(gaz[[#This Row],[Zuzycie]]&gt;=100,gaz[[#This Row],[Zuzycie]]&lt;=200),90,120))</f>
        <v>90</v>
      </c>
      <c r="G41" s="2" t="e">
        <f>gaz[[#This Row],[Cena]]+gaz[[#This Row],[Taryfa]]</f>
        <v>#VALUE!</v>
      </c>
    </row>
    <row r="42" spans="1:7" x14ac:dyDescent="0.25">
      <c r="A42" s="1">
        <v>38503</v>
      </c>
      <c r="B42">
        <v>7935</v>
      </c>
      <c r="C42">
        <f>gaz[[#This Row],[Odczyt licznika]]-B41</f>
        <v>190</v>
      </c>
      <c r="D42">
        <f>YEAR(gaz[[#This Row],[Data odczytu]])</f>
        <v>2005</v>
      </c>
      <c r="E42" t="str">
        <f>VLOOKUP(gaz[[#This Row],[Rok]],cena_gazu__2[],2)</f>
        <v>1,02</v>
      </c>
      <c r="F42" s="2">
        <f>IF(gaz[[#This Row],[Zuzycie]]&lt;100,70,IF(AND(gaz[[#This Row],[Zuzycie]]&gt;=100,gaz[[#This Row],[Zuzycie]]&lt;=200),90,120))</f>
        <v>90</v>
      </c>
      <c r="G42" s="2" t="e">
        <f>gaz[[#This Row],[Cena]]+gaz[[#This Row],[Taryfa]]</f>
        <v>#VALUE!</v>
      </c>
    </row>
    <row r="43" spans="1:7" x14ac:dyDescent="0.25">
      <c r="A43" s="1">
        <v>38533</v>
      </c>
      <c r="B43">
        <v>8043</v>
      </c>
      <c r="C43">
        <f>gaz[[#This Row],[Odczyt licznika]]-B42</f>
        <v>108</v>
      </c>
      <c r="D43">
        <f>YEAR(gaz[[#This Row],[Data odczytu]])</f>
        <v>2005</v>
      </c>
      <c r="E43" t="str">
        <f>VLOOKUP(gaz[[#This Row],[Rok]],cena_gazu__2[],2)</f>
        <v>1,02</v>
      </c>
      <c r="F43" s="2">
        <f>IF(gaz[[#This Row],[Zuzycie]]&lt;100,70,IF(AND(gaz[[#This Row],[Zuzycie]]&gt;=100,gaz[[#This Row],[Zuzycie]]&lt;=200),90,120))</f>
        <v>90</v>
      </c>
      <c r="G43" s="2" t="e">
        <f>gaz[[#This Row],[Cena]]+gaz[[#This Row],[Taryfa]]</f>
        <v>#VALUE!</v>
      </c>
    </row>
    <row r="44" spans="1:7" x14ac:dyDescent="0.25">
      <c r="A44" s="1">
        <v>38564</v>
      </c>
      <c r="B44">
        <v>8062</v>
      </c>
      <c r="C44">
        <f>gaz[[#This Row],[Odczyt licznika]]-B43</f>
        <v>19</v>
      </c>
      <c r="D44">
        <f>YEAR(gaz[[#This Row],[Data odczytu]])</f>
        <v>2005</v>
      </c>
      <c r="E44" t="str">
        <f>VLOOKUP(gaz[[#This Row],[Rok]],cena_gazu__2[],2)</f>
        <v>1,02</v>
      </c>
      <c r="F44" s="2">
        <f>IF(gaz[[#This Row],[Zuzycie]]&lt;100,70,IF(AND(gaz[[#This Row],[Zuzycie]]&gt;=100,gaz[[#This Row],[Zuzycie]]&lt;=200),90,120))</f>
        <v>70</v>
      </c>
      <c r="G44" s="2" t="e">
        <f>gaz[[#This Row],[Cena]]+gaz[[#This Row],[Taryfa]]</f>
        <v>#VALUE!</v>
      </c>
    </row>
    <row r="45" spans="1:7" x14ac:dyDescent="0.25">
      <c r="A45" s="1">
        <v>38595</v>
      </c>
      <c r="B45">
        <v>8081</v>
      </c>
      <c r="C45">
        <f>gaz[[#This Row],[Odczyt licznika]]-B44</f>
        <v>19</v>
      </c>
      <c r="D45">
        <f>YEAR(gaz[[#This Row],[Data odczytu]])</f>
        <v>2005</v>
      </c>
      <c r="E45" t="str">
        <f>VLOOKUP(gaz[[#This Row],[Rok]],cena_gazu__2[],2)</f>
        <v>1,02</v>
      </c>
      <c r="F45" s="2">
        <f>IF(gaz[[#This Row],[Zuzycie]]&lt;100,70,IF(AND(gaz[[#This Row],[Zuzycie]]&gt;=100,gaz[[#This Row],[Zuzycie]]&lt;=200),90,120))</f>
        <v>70</v>
      </c>
      <c r="G45" s="2" t="e">
        <f>gaz[[#This Row],[Cena]]+gaz[[#This Row],[Taryfa]]</f>
        <v>#VALUE!</v>
      </c>
    </row>
    <row r="46" spans="1:7" x14ac:dyDescent="0.25">
      <c r="A46" s="1">
        <v>38625</v>
      </c>
      <c r="B46">
        <v>8269</v>
      </c>
      <c r="C46">
        <f>gaz[[#This Row],[Odczyt licznika]]-B45</f>
        <v>188</v>
      </c>
      <c r="D46">
        <f>YEAR(gaz[[#This Row],[Data odczytu]])</f>
        <v>2005</v>
      </c>
      <c r="E46" t="str">
        <f>VLOOKUP(gaz[[#This Row],[Rok]],cena_gazu__2[],2)</f>
        <v>1,02</v>
      </c>
      <c r="F46" s="2">
        <f>IF(gaz[[#This Row],[Zuzycie]]&lt;100,70,IF(AND(gaz[[#This Row],[Zuzycie]]&gt;=100,gaz[[#This Row],[Zuzycie]]&lt;=200),90,120))</f>
        <v>90</v>
      </c>
      <c r="G46" s="2" t="e">
        <f>gaz[[#This Row],[Cena]]+gaz[[#This Row],[Taryfa]]</f>
        <v>#VALUE!</v>
      </c>
    </row>
    <row r="47" spans="1:7" x14ac:dyDescent="0.25">
      <c r="A47" s="1">
        <v>38656</v>
      </c>
      <c r="B47">
        <v>8465</v>
      </c>
      <c r="C47">
        <f>gaz[[#This Row],[Odczyt licznika]]-B46</f>
        <v>196</v>
      </c>
      <c r="D47">
        <f>YEAR(gaz[[#This Row],[Data odczytu]])</f>
        <v>2005</v>
      </c>
      <c r="E47" t="str">
        <f>VLOOKUP(gaz[[#This Row],[Rok]],cena_gazu__2[],2)</f>
        <v>1,02</v>
      </c>
      <c r="F47" s="2">
        <f>IF(gaz[[#This Row],[Zuzycie]]&lt;100,70,IF(AND(gaz[[#This Row],[Zuzycie]]&gt;=100,gaz[[#This Row],[Zuzycie]]&lt;=200),90,120))</f>
        <v>90</v>
      </c>
      <c r="G47" s="2" t="e">
        <f>gaz[[#This Row],[Cena]]+gaz[[#This Row],[Taryfa]]</f>
        <v>#VALUE!</v>
      </c>
    </row>
    <row r="48" spans="1:7" x14ac:dyDescent="0.25">
      <c r="A48" s="1">
        <v>38686</v>
      </c>
      <c r="B48">
        <v>8592</v>
      </c>
      <c r="C48">
        <f>gaz[[#This Row],[Odczyt licznika]]-B47</f>
        <v>127</v>
      </c>
      <c r="D48">
        <f>YEAR(gaz[[#This Row],[Data odczytu]])</f>
        <v>2005</v>
      </c>
      <c r="E48" t="str">
        <f>VLOOKUP(gaz[[#This Row],[Rok]],cena_gazu__2[],2)</f>
        <v>1,02</v>
      </c>
      <c r="F48" s="2">
        <f>IF(gaz[[#This Row],[Zuzycie]]&lt;100,70,IF(AND(gaz[[#This Row],[Zuzycie]]&gt;=100,gaz[[#This Row],[Zuzycie]]&lt;=200),90,120))</f>
        <v>90</v>
      </c>
      <c r="G48" s="2" t="e">
        <f>gaz[[#This Row],[Cena]]+gaz[[#This Row],[Taryfa]]</f>
        <v>#VALUE!</v>
      </c>
    </row>
    <row r="49" spans="1:7" x14ac:dyDescent="0.25">
      <c r="A49" s="1">
        <v>38717</v>
      </c>
      <c r="B49">
        <v>8819</v>
      </c>
      <c r="C49">
        <f>gaz[[#This Row],[Odczyt licznika]]-B48</f>
        <v>227</v>
      </c>
      <c r="D49">
        <f>YEAR(gaz[[#This Row],[Data odczytu]])</f>
        <v>2005</v>
      </c>
      <c r="E49" t="str">
        <f>VLOOKUP(gaz[[#This Row],[Rok]],cena_gazu__2[],2)</f>
        <v>1,02</v>
      </c>
      <c r="F49" s="2">
        <f>IF(gaz[[#This Row],[Zuzycie]]&lt;100,70,IF(AND(gaz[[#This Row],[Zuzycie]]&gt;=100,gaz[[#This Row],[Zuzycie]]&lt;=200),90,120))</f>
        <v>120</v>
      </c>
      <c r="G49" s="2" t="e">
        <f>gaz[[#This Row],[Cena]]+gaz[[#This Row],[Taryfa]]</f>
        <v>#VALUE!</v>
      </c>
    </row>
    <row r="50" spans="1:7" x14ac:dyDescent="0.25">
      <c r="A50" s="1">
        <v>38748</v>
      </c>
      <c r="B50">
        <v>9129</v>
      </c>
      <c r="C50">
        <f>gaz[[#This Row],[Odczyt licznika]]-B49</f>
        <v>310</v>
      </c>
      <c r="D50">
        <f>YEAR(gaz[[#This Row],[Data odczytu]])</f>
        <v>2006</v>
      </c>
      <c r="E50" t="str">
        <f>VLOOKUP(gaz[[#This Row],[Rok]],cena_gazu__2[],2)</f>
        <v>1,02</v>
      </c>
      <c r="F50" s="2">
        <f>IF(gaz[[#This Row],[Zuzycie]]&lt;100,70,IF(AND(gaz[[#This Row],[Zuzycie]]&gt;=100,gaz[[#This Row],[Zuzycie]]&lt;=200),90,120))</f>
        <v>120</v>
      </c>
      <c r="G50" s="2" t="e">
        <f>gaz[[#This Row],[Cena]]+gaz[[#This Row],[Taryfa]]</f>
        <v>#VALUE!</v>
      </c>
    </row>
    <row r="51" spans="1:7" x14ac:dyDescent="0.25">
      <c r="A51" s="1">
        <v>38776</v>
      </c>
      <c r="B51">
        <v>9424</v>
      </c>
      <c r="C51">
        <f>gaz[[#This Row],[Odczyt licznika]]-B50</f>
        <v>295</v>
      </c>
      <c r="D51">
        <f>YEAR(gaz[[#This Row],[Data odczytu]])</f>
        <v>2006</v>
      </c>
      <c r="E51" t="str">
        <f>VLOOKUP(gaz[[#This Row],[Rok]],cena_gazu__2[],2)</f>
        <v>1,02</v>
      </c>
      <c r="F51" s="2">
        <f>IF(gaz[[#This Row],[Zuzycie]]&lt;100,70,IF(AND(gaz[[#This Row],[Zuzycie]]&gt;=100,gaz[[#This Row],[Zuzycie]]&lt;=200),90,120))</f>
        <v>120</v>
      </c>
      <c r="G51" s="2" t="e">
        <f>gaz[[#This Row],[Cena]]+gaz[[#This Row],[Taryfa]]</f>
        <v>#VALUE!</v>
      </c>
    </row>
    <row r="52" spans="1:7" x14ac:dyDescent="0.25">
      <c r="A52" s="1">
        <v>38807</v>
      </c>
      <c r="B52">
        <v>9662</v>
      </c>
      <c r="C52">
        <f>gaz[[#This Row],[Odczyt licznika]]-B51</f>
        <v>238</v>
      </c>
      <c r="D52">
        <f>YEAR(gaz[[#This Row],[Data odczytu]])</f>
        <v>2006</v>
      </c>
      <c r="E52" t="str">
        <f>VLOOKUP(gaz[[#This Row],[Rok]],cena_gazu__2[],2)</f>
        <v>1,02</v>
      </c>
      <c r="F52" s="2">
        <f>IF(gaz[[#This Row],[Zuzycie]]&lt;100,70,IF(AND(gaz[[#This Row],[Zuzycie]]&gt;=100,gaz[[#This Row],[Zuzycie]]&lt;=200),90,120))</f>
        <v>120</v>
      </c>
      <c r="G52" s="2" t="e">
        <f>gaz[[#This Row],[Cena]]+gaz[[#This Row],[Taryfa]]</f>
        <v>#VALUE!</v>
      </c>
    </row>
    <row r="53" spans="1:7" x14ac:dyDescent="0.25">
      <c r="A53" s="1">
        <v>38837</v>
      </c>
      <c r="B53">
        <v>9778</v>
      </c>
      <c r="C53">
        <f>gaz[[#This Row],[Odczyt licznika]]-B52</f>
        <v>116</v>
      </c>
      <c r="D53">
        <f>YEAR(gaz[[#This Row],[Data odczytu]])</f>
        <v>2006</v>
      </c>
      <c r="E53" t="str">
        <f>VLOOKUP(gaz[[#This Row],[Rok]],cena_gazu__2[],2)</f>
        <v>1,02</v>
      </c>
      <c r="F53" s="2">
        <f>IF(gaz[[#This Row],[Zuzycie]]&lt;100,70,IF(AND(gaz[[#This Row],[Zuzycie]]&gt;=100,gaz[[#This Row],[Zuzycie]]&lt;=200),90,120))</f>
        <v>90</v>
      </c>
      <c r="G53" s="2" t="e">
        <f>gaz[[#This Row],[Cena]]+gaz[[#This Row],[Taryfa]]</f>
        <v>#VALUE!</v>
      </c>
    </row>
    <row r="54" spans="1:7" x14ac:dyDescent="0.25">
      <c r="A54" s="1">
        <v>38868</v>
      </c>
      <c r="B54">
        <v>9884</v>
      </c>
      <c r="C54">
        <f>gaz[[#This Row],[Odczyt licznika]]-B53</f>
        <v>106</v>
      </c>
      <c r="D54">
        <f>YEAR(gaz[[#This Row],[Data odczytu]])</f>
        <v>2006</v>
      </c>
      <c r="E54" t="str">
        <f>VLOOKUP(gaz[[#This Row],[Rok]],cena_gazu__2[],2)</f>
        <v>1,02</v>
      </c>
      <c r="F54" s="2">
        <f>IF(gaz[[#This Row],[Zuzycie]]&lt;100,70,IF(AND(gaz[[#This Row],[Zuzycie]]&gt;=100,gaz[[#This Row],[Zuzycie]]&lt;=200),90,120))</f>
        <v>90</v>
      </c>
      <c r="G54" s="2" t="e">
        <f>gaz[[#This Row],[Cena]]+gaz[[#This Row],[Taryfa]]</f>
        <v>#VALUE!</v>
      </c>
    </row>
    <row r="55" spans="1:7" x14ac:dyDescent="0.25">
      <c r="A55" s="1">
        <v>38898</v>
      </c>
      <c r="B55">
        <v>9914</v>
      </c>
      <c r="C55">
        <f>gaz[[#This Row],[Odczyt licznika]]-B54</f>
        <v>30</v>
      </c>
      <c r="D55">
        <f>YEAR(gaz[[#This Row],[Data odczytu]])</f>
        <v>2006</v>
      </c>
      <c r="E55" t="str">
        <f>VLOOKUP(gaz[[#This Row],[Rok]],cena_gazu__2[],2)</f>
        <v>1,02</v>
      </c>
      <c r="F55" s="2">
        <f>IF(gaz[[#This Row],[Zuzycie]]&lt;100,70,IF(AND(gaz[[#This Row],[Zuzycie]]&gt;=100,gaz[[#This Row],[Zuzycie]]&lt;=200),90,120))</f>
        <v>70</v>
      </c>
      <c r="G55" s="2" t="e">
        <f>gaz[[#This Row],[Cena]]+gaz[[#This Row],[Taryfa]]</f>
        <v>#VALUE!</v>
      </c>
    </row>
    <row r="56" spans="1:7" x14ac:dyDescent="0.25">
      <c r="A56" s="1">
        <v>38929</v>
      </c>
      <c r="B56">
        <v>9925</v>
      </c>
      <c r="C56">
        <f>gaz[[#This Row],[Odczyt licznika]]-B55</f>
        <v>11</v>
      </c>
      <c r="D56">
        <f>YEAR(gaz[[#This Row],[Data odczytu]])</f>
        <v>2006</v>
      </c>
      <c r="E56" t="str">
        <f>VLOOKUP(gaz[[#This Row],[Rok]],cena_gazu__2[],2)</f>
        <v>1,02</v>
      </c>
      <c r="F56" s="2">
        <f>IF(gaz[[#This Row],[Zuzycie]]&lt;100,70,IF(AND(gaz[[#This Row],[Zuzycie]]&gt;=100,gaz[[#This Row],[Zuzycie]]&lt;=200),90,120))</f>
        <v>70</v>
      </c>
      <c r="G56" s="2" t="e">
        <f>gaz[[#This Row],[Cena]]+gaz[[#This Row],[Taryfa]]</f>
        <v>#VALUE!</v>
      </c>
    </row>
    <row r="57" spans="1:7" x14ac:dyDescent="0.25">
      <c r="A57" s="1">
        <v>38960</v>
      </c>
      <c r="B57">
        <v>9938</v>
      </c>
      <c r="C57">
        <f>gaz[[#This Row],[Odczyt licznika]]-B56</f>
        <v>13</v>
      </c>
      <c r="D57">
        <f>YEAR(gaz[[#This Row],[Data odczytu]])</f>
        <v>2006</v>
      </c>
      <c r="E57" t="str">
        <f>VLOOKUP(gaz[[#This Row],[Rok]],cena_gazu__2[],2)</f>
        <v>1,02</v>
      </c>
      <c r="F57" s="2">
        <f>IF(gaz[[#This Row],[Zuzycie]]&lt;100,70,IF(AND(gaz[[#This Row],[Zuzycie]]&gt;=100,gaz[[#This Row],[Zuzycie]]&lt;=200),90,120))</f>
        <v>70</v>
      </c>
      <c r="G57" s="2" t="e">
        <f>gaz[[#This Row],[Cena]]+gaz[[#This Row],[Taryfa]]</f>
        <v>#VALUE!</v>
      </c>
    </row>
    <row r="58" spans="1:7" x14ac:dyDescent="0.25">
      <c r="A58" s="1">
        <v>38990</v>
      </c>
      <c r="B58">
        <v>10059</v>
      </c>
      <c r="C58">
        <f>gaz[[#This Row],[Odczyt licznika]]-B57</f>
        <v>121</v>
      </c>
      <c r="D58">
        <f>YEAR(gaz[[#This Row],[Data odczytu]])</f>
        <v>2006</v>
      </c>
      <c r="E58" t="str">
        <f>VLOOKUP(gaz[[#This Row],[Rok]],cena_gazu__2[],2)</f>
        <v>1,02</v>
      </c>
      <c r="F58" s="2">
        <f>IF(gaz[[#This Row],[Zuzycie]]&lt;100,70,IF(AND(gaz[[#This Row],[Zuzycie]]&gt;=100,gaz[[#This Row],[Zuzycie]]&lt;=200),90,120))</f>
        <v>90</v>
      </c>
      <c r="G58" s="2" t="e">
        <f>gaz[[#This Row],[Cena]]+gaz[[#This Row],[Taryfa]]</f>
        <v>#VALUE!</v>
      </c>
    </row>
    <row r="59" spans="1:7" x14ac:dyDescent="0.25">
      <c r="A59" s="1">
        <v>39021</v>
      </c>
      <c r="B59">
        <v>10211</v>
      </c>
      <c r="C59">
        <f>gaz[[#This Row],[Odczyt licznika]]-B58</f>
        <v>152</v>
      </c>
      <c r="D59">
        <f>YEAR(gaz[[#This Row],[Data odczytu]])</f>
        <v>2006</v>
      </c>
      <c r="E59" t="str">
        <f>VLOOKUP(gaz[[#This Row],[Rok]],cena_gazu__2[],2)</f>
        <v>1,02</v>
      </c>
      <c r="F59" s="2">
        <f>IF(gaz[[#This Row],[Zuzycie]]&lt;100,70,IF(AND(gaz[[#This Row],[Zuzycie]]&gt;=100,gaz[[#This Row],[Zuzycie]]&lt;=200),90,120))</f>
        <v>90</v>
      </c>
      <c r="G59" s="2" t="e">
        <f>gaz[[#This Row],[Cena]]+gaz[[#This Row],[Taryfa]]</f>
        <v>#VALUE!</v>
      </c>
    </row>
    <row r="60" spans="1:7" x14ac:dyDescent="0.25">
      <c r="A60" s="1">
        <v>39051</v>
      </c>
      <c r="B60">
        <v>10486</v>
      </c>
      <c r="C60">
        <f>gaz[[#This Row],[Odczyt licznika]]-B59</f>
        <v>275</v>
      </c>
      <c r="D60">
        <f>YEAR(gaz[[#This Row],[Data odczytu]])</f>
        <v>2006</v>
      </c>
      <c r="E60" t="str">
        <f>VLOOKUP(gaz[[#This Row],[Rok]],cena_gazu__2[],2)</f>
        <v>1,02</v>
      </c>
      <c r="F60" s="2">
        <f>IF(gaz[[#This Row],[Zuzycie]]&lt;100,70,IF(AND(gaz[[#This Row],[Zuzycie]]&gt;=100,gaz[[#This Row],[Zuzycie]]&lt;=200),90,120))</f>
        <v>120</v>
      </c>
      <c r="G60" s="2" t="e">
        <f>gaz[[#This Row],[Cena]]+gaz[[#This Row],[Taryfa]]</f>
        <v>#VALUE!</v>
      </c>
    </row>
    <row r="61" spans="1:7" x14ac:dyDescent="0.25">
      <c r="A61" s="1">
        <v>39082</v>
      </c>
      <c r="B61">
        <v>10742</v>
      </c>
      <c r="C61">
        <f>gaz[[#This Row],[Odczyt licznika]]-B60</f>
        <v>256</v>
      </c>
      <c r="D61">
        <f>YEAR(gaz[[#This Row],[Data odczytu]])</f>
        <v>2006</v>
      </c>
      <c r="E61" t="str">
        <f>VLOOKUP(gaz[[#This Row],[Rok]],cena_gazu__2[],2)</f>
        <v>1,02</v>
      </c>
      <c r="F61" s="2">
        <f>IF(gaz[[#This Row],[Zuzycie]]&lt;100,70,IF(AND(gaz[[#This Row],[Zuzycie]]&gt;=100,gaz[[#This Row],[Zuzycie]]&lt;=200),90,120))</f>
        <v>120</v>
      </c>
      <c r="G61" s="2" t="e">
        <f>gaz[[#This Row],[Cena]]+gaz[[#This Row],[Taryfa]]</f>
        <v>#VALUE!</v>
      </c>
    </row>
    <row r="62" spans="1:7" x14ac:dyDescent="0.25">
      <c r="A62" s="1">
        <v>39113</v>
      </c>
      <c r="B62">
        <v>10988</v>
      </c>
      <c r="C62">
        <f>gaz[[#This Row],[Odczyt licznika]]-B61</f>
        <v>246</v>
      </c>
      <c r="D62">
        <f>YEAR(gaz[[#This Row],[Data odczytu]])</f>
        <v>2007</v>
      </c>
      <c r="E62" t="str">
        <f>VLOOKUP(gaz[[#This Row],[Rok]],cena_gazu__2[],2)</f>
        <v>1,04</v>
      </c>
      <c r="F62" s="2">
        <f>IF(gaz[[#This Row],[Zuzycie]]&lt;100,70,IF(AND(gaz[[#This Row],[Zuzycie]]&gt;=100,gaz[[#This Row],[Zuzycie]]&lt;=200),90,120))</f>
        <v>120</v>
      </c>
      <c r="G62" s="2" t="e">
        <f>gaz[[#This Row],[Cena]]+gaz[[#This Row],[Taryfa]]</f>
        <v>#VALUE!</v>
      </c>
    </row>
    <row r="63" spans="1:7" x14ac:dyDescent="0.25">
      <c r="A63" s="1">
        <v>39141</v>
      </c>
      <c r="B63">
        <v>11138</v>
      </c>
      <c r="C63">
        <f>gaz[[#This Row],[Odczyt licznika]]-B62</f>
        <v>150</v>
      </c>
      <c r="D63">
        <f>YEAR(gaz[[#This Row],[Data odczytu]])</f>
        <v>2007</v>
      </c>
      <c r="E63" t="str">
        <f>VLOOKUP(gaz[[#This Row],[Rok]],cena_gazu__2[],2)</f>
        <v>1,04</v>
      </c>
      <c r="F63" s="2">
        <f>IF(gaz[[#This Row],[Zuzycie]]&lt;100,70,IF(AND(gaz[[#This Row],[Zuzycie]]&gt;=100,gaz[[#This Row],[Zuzycie]]&lt;=200),90,120))</f>
        <v>90</v>
      </c>
      <c r="G63" s="2" t="e">
        <f>gaz[[#This Row],[Cena]]+gaz[[#This Row],[Taryfa]]</f>
        <v>#VALUE!</v>
      </c>
    </row>
    <row r="64" spans="1:7" x14ac:dyDescent="0.25">
      <c r="A64" s="1">
        <v>39172</v>
      </c>
      <c r="B64">
        <v>11321</v>
      </c>
      <c r="C64">
        <f>gaz[[#This Row],[Odczyt licznika]]-B63</f>
        <v>183</v>
      </c>
      <c r="D64">
        <f>YEAR(gaz[[#This Row],[Data odczytu]])</f>
        <v>2007</v>
      </c>
      <c r="E64" t="str">
        <f>VLOOKUP(gaz[[#This Row],[Rok]],cena_gazu__2[],2)</f>
        <v>1,04</v>
      </c>
      <c r="F64" s="2">
        <f>IF(gaz[[#This Row],[Zuzycie]]&lt;100,70,IF(AND(gaz[[#This Row],[Zuzycie]]&gt;=100,gaz[[#This Row],[Zuzycie]]&lt;=200),90,120))</f>
        <v>90</v>
      </c>
      <c r="G64" s="2" t="e">
        <f>gaz[[#This Row],[Cena]]+gaz[[#This Row],[Taryfa]]</f>
        <v>#VALUE!</v>
      </c>
    </row>
    <row r="65" spans="1:7" x14ac:dyDescent="0.25">
      <c r="A65" s="1">
        <v>39202</v>
      </c>
      <c r="B65">
        <v>11481</v>
      </c>
      <c r="C65">
        <f>gaz[[#This Row],[Odczyt licznika]]-B64</f>
        <v>160</v>
      </c>
      <c r="D65">
        <f>YEAR(gaz[[#This Row],[Data odczytu]])</f>
        <v>2007</v>
      </c>
      <c r="E65" t="str">
        <f>VLOOKUP(gaz[[#This Row],[Rok]],cena_gazu__2[],2)</f>
        <v>1,04</v>
      </c>
      <c r="F65" s="2">
        <f>IF(gaz[[#This Row],[Zuzycie]]&lt;100,70,IF(AND(gaz[[#This Row],[Zuzycie]]&gt;=100,gaz[[#This Row],[Zuzycie]]&lt;=200),90,120))</f>
        <v>90</v>
      </c>
      <c r="G65" s="2" t="e">
        <f>gaz[[#This Row],[Cena]]+gaz[[#This Row],[Taryfa]]</f>
        <v>#VALUE!</v>
      </c>
    </row>
    <row r="66" spans="1:7" x14ac:dyDescent="0.25">
      <c r="A66" s="1">
        <v>39233</v>
      </c>
      <c r="B66">
        <v>11669</v>
      </c>
      <c r="C66">
        <f>gaz[[#This Row],[Odczyt licznika]]-B65</f>
        <v>188</v>
      </c>
      <c r="D66">
        <f>YEAR(gaz[[#This Row],[Data odczytu]])</f>
        <v>2007</v>
      </c>
      <c r="E66" t="str">
        <f>VLOOKUP(gaz[[#This Row],[Rok]],cena_gazu__2[],2)</f>
        <v>1,04</v>
      </c>
      <c r="F66" s="2">
        <f>IF(gaz[[#This Row],[Zuzycie]]&lt;100,70,IF(AND(gaz[[#This Row],[Zuzycie]]&gt;=100,gaz[[#This Row],[Zuzycie]]&lt;=200),90,120))</f>
        <v>90</v>
      </c>
      <c r="G66" s="2" t="e">
        <f>gaz[[#This Row],[Cena]]+gaz[[#This Row],[Taryfa]]</f>
        <v>#VALUE!</v>
      </c>
    </row>
    <row r="67" spans="1:7" x14ac:dyDescent="0.25">
      <c r="A67" s="1">
        <v>39263</v>
      </c>
      <c r="B67">
        <v>11776</v>
      </c>
      <c r="C67">
        <f>gaz[[#This Row],[Odczyt licznika]]-B66</f>
        <v>107</v>
      </c>
      <c r="D67">
        <f>YEAR(gaz[[#This Row],[Data odczytu]])</f>
        <v>2007</v>
      </c>
      <c r="E67" t="str">
        <f>VLOOKUP(gaz[[#This Row],[Rok]],cena_gazu__2[],2)</f>
        <v>1,04</v>
      </c>
      <c r="F67" s="2">
        <f>IF(gaz[[#This Row],[Zuzycie]]&lt;100,70,IF(AND(gaz[[#This Row],[Zuzycie]]&gt;=100,gaz[[#This Row],[Zuzycie]]&lt;=200),90,120))</f>
        <v>90</v>
      </c>
      <c r="G67" s="2" t="e">
        <f>gaz[[#This Row],[Cena]]+gaz[[#This Row],[Taryfa]]</f>
        <v>#VALUE!</v>
      </c>
    </row>
    <row r="68" spans="1:7" x14ac:dyDescent="0.25">
      <c r="A68" s="1">
        <v>39294</v>
      </c>
      <c r="B68">
        <v>11795</v>
      </c>
      <c r="C68">
        <f>gaz[[#This Row],[Odczyt licznika]]-B67</f>
        <v>19</v>
      </c>
      <c r="D68">
        <f>YEAR(gaz[[#This Row],[Data odczytu]])</f>
        <v>2007</v>
      </c>
      <c r="E68" t="str">
        <f>VLOOKUP(gaz[[#This Row],[Rok]],cena_gazu__2[],2)</f>
        <v>1,04</v>
      </c>
      <c r="F68" s="2">
        <f>IF(gaz[[#This Row],[Zuzycie]]&lt;100,70,IF(AND(gaz[[#This Row],[Zuzycie]]&gt;=100,gaz[[#This Row],[Zuzycie]]&lt;=200),90,120))</f>
        <v>70</v>
      </c>
      <c r="G68" s="2" t="e">
        <f>gaz[[#This Row],[Cena]]+gaz[[#This Row],[Taryfa]]</f>
        <v>#VALUE!</v>
      </c>
    </row>
    <row r="69" spans="1:7" x14ac:dyDescent="0.25">
      <c r="A69" s="1">
        <v>39325</v>
      </c>
      <c r="B69">
        <v>11814</v>
      </c>
      <c r="C69">
        <f>gaz[[#This Row],[Odczyt licznika]]-B68</f>
        <v>19</v>
      </c>
      <c r="D69">
        <f>YEAR(gaz[[#This Row],[Data odczytu]])</f>
        <v>2007</v>
      </c>
      <c r="E69" t="str">
        <f>VLOOKUP(gaz[[#This Row],[Rok]],cena_gazu__2[],2)</f>
        <v>1,04</v>
      </c>
      <c r="F69" s="2">
        <f>IF(gaz[[#This Row],[Zuzycie]]&lt;100,70,IF(AND(gaz[[#This Row],[Zuzycie]]&gt;=100,gaz[[#This Row],[Zuzycie]]&lt;=200),90,120))</f>
        <v>70</v>
      </c>
      <c r="G69" s="2" t="e">
        <f>gaz[[#This Row],[Cena]]+gaz[[#This Row],[Taryfa]]</f>
        <v>#VALUE!</v>
      </c>
    </row>
    <row r="70" spans="1:7" x14ac:dyDescent="0.25">
      <c r="A70" s="1">
        <v>39355</v>
      </c>
      <c r="B70">
        <v>11901</v>
      </c>
      <c r="C70">
        <f>gaz[[#This Row],[Odczyt licznika]]-B69</f>
        <v>87</v>
      </c>
      <c r="D70">
        <f>YEAR(gaz[[#This Row],[Data odczytu]])</f>
        <v>2007</v>
      </c>
      <c r="E70" t="str">
        <f>VLOOKUP(gaz[[#This Row],[Rok]],cena_gazu__2[],2)</f>
        <v>1,04</v>
      </c>
      <c r="F70" s="2">
        <f>IF(gaz[[#This Row],[Zuzycie]]&lt;100,70,IF(AND(gaz[[#This Row],[Zuzycie]]&gt;=100,gaz[[#This Row],[Zuzycie]]&lt;=200),90,120))</f>
        <v>70</v>
      </c>
      <c r="G70" s="2" t="e">
        <f>gaz[[#This Row],[Cena]]+gaz[[#This Row],[Taryfa]]</f>
        <v>#VALUE!</v>
      </c>
    </row>
    <row r="71" spans="1:7" x14ac:dyDescent="0.25">
      <c r="A71" s="1">
        <v>39386</v>
      </c>
      <c r="B71">
        <v>12044</v>
      </c>
      <c r="C71">
        <f>gaz[[#This Row],[Odczyt licznika]]-B70</f>
        <v>143</v>
      </c>
      <c r="D71">
        <f>YEAR(gaz[[#This Row],[Data odczytu]])</f>
        <v>2007</v>
      </c>
      <c r="E71" t="str">
        <f>VLOOKUP(gaz[[#This Row],[Rok]],cena_gazu__2[],2)</f>
        <v>1,04</v>
      </c>
      <c r="F71" s="2">
        <f>IF(gaz[[#This Row],[Zuzycie]]&lt;100,70,IF(AND(gaz[[#This Row],[Zuzycie]]&gt;=100,gaz[[#This Row],[Zuzycie]]&lt;=200),90,120))</f>
        <v>90</v>
      </c>
      <c r="G71" s="2" t="e">
        <f>gaz[[#This Row],[Cena]]+gaz[[#This Row],[Taryfa]]</f>
        <v>#VALUE!</v>
      </c>
    </row>
    <row r="72" spans="1:7" x14ac:dyDescent="0.25">
      <c r="A72" s="1">
        <v>39416</v>
      </c>
      <c r="B72">
        <v>12170</v>
      </c>
      <c r="C72">
        <f>gaz[[#This Row],[Odczyt licznika]]-B71</f>
        <v>126</v>
      </c>
      <c r="D72">
        <f>YEAR(gaz[[#This Row],[Data odczytu]])</f>
        <v>2007</v>
      </c>
      <c r="E72" t="str">
        <f>VLOOKUP(gaz[[#This Row],[Rok]],cena_gazu__2[],2)</f>
        <v>1,04</v>
      </c>
      <c r="F72" s="2">
        <f>IF(gaz[[#This Row],[Zuzycie]]&lt;100,70,IF(AND(gaz[[#This Row],[Zuzycie]]&gt;=100,gaz[[#This Row],[Zuzycie]]&lt;=200),90,120))</f>
        <v>90</v>
      </c>
      <c r="G72" s="2" t="e">
        <f>gaz[[#This Row],[Cena]]+gaz[[#This Row],[Taryfa]]</f>
        <v>#VALUE!</v>
      </c>
    </row>
    <row r="73" spans="1:7" x14ac:dyDescent="0.25">
      <c r="A73" s="1">
        <v>39447</v>
      </c>
      <c r="B73">
        <v>12395</v>
      </c>
      <c r="C73">
        <f>gaz[[#This Row],[Odczyt licznika]]-B72</f>
        <v>225</v>
      </c>
      <c r="D73">
        <f>YEAR(gaz[[#This Row],[Data odczytu]])</f>
        <v>2007</v>
      </c>
      <c r="E73" t="str">
        <f>VLOOKUP(gaz[[#This Row],[Rok]],cena_gazu__2[],2)</f>
        <v>1,04</v>
      </c>
      <c r="F73" s="2">
        <f>IF(gaz[[#This Row],[Zuzycie]]&lt;100,70,IF(AND(gaz[[#This Row],[Zuzycie]]&gt;=100,gaz[[#This Row],[Zuzycie]]&lt;=200),90,120))</f>
        <v>120</v>
      </c>
      <c r="G73" s="2" t="e">
        <f>gaz[[#This Row],[Cena]]+gaz[[#This Row],[Taryfa]]</f>
        <v>#VALUE!</v>
      </c>
    </row>
    <row r="74" spans="1:7" x14ac:dyDescent="0.25">
      <c r="A74" s="1">
        <v>39478</v>
      </c>
      <c r="B74">
        <v>12702</v>
      </c>
      <c r="C74">
        <f>gaz[[#This Row],[Odczyt licznika]]-B73</f>
        <v>307</v>
      </c>
      <c r="D74">
        <f>YEAR(gaz[[#This Row],[Data odczytu]])</f>
        <v>2008</v>
      </c>
      <c r="E74" t="str">
        <f>VLOOKUP(gaz[[#This Row],[Rok]],cena_gazu__2[],2)</f>
        <v>1,05</v>
      </c>
      <c r="F74" s="2">
        <f>IF(gaz[[#This Row],[Zuzycie]]&lt;100,70,IF(AND(gaz[[#This Row],[Zuzycie]]&gt;=100,gaz[[#This Row],[Zuzycie]]&lt;=200),90,120))</f>
        <v>120</v>
      </c>
      <c r="G74" s="2" t="e">
        <f>gaz[[#This Row],[Cena]]+gaz[[#This Row],[Taryfa]]</f>
        <v>#VALUE!</v>
      </c>
    </row>
    <row r="75" spans="1:7" x14ac:dyDescent="0.25">
      <c r="A75" s="1">
        <v>39506</v>
      </c>
      <c r="B75">
        <v>13025</v>
      </c>
      <c r="C75">
        <f>gaz[[#This Row],[Odczyt licznika]]-B74</f>
        <v>323</v>
      </c>
      <c r="D75">
        <f>YEAR(gaz[[#This Row],[Data odczytu]])</f>
        <v>2008</v>
      </c>
      <c r="E75" t="str">
        <f>VLOOKUP(gaz[[#This Row],[Rok]],cena_gazu__2[],2)</f>
        <v>1,05</v>
      </c>
      <c r="F75" s="2">
        <f>IF(gaz[[#This Row],[Zuzycie]]&lt;100,70,IF(AND(gaz[[#This Row],[Zuzycie]]&gt;=100,gaz[[#This Row],[Zuzycie]]&lt;=200),90,120))</f>
        <v>120</v>
      </c>
      <c r="G75" s="2" t="e">
        <f>gaz[[#This Row],[Cena]]+gaz[[#This Row],[Taryfa]]</f>
        <v>#VALUE!</v>
      </c>
    </row>
    <row r="76" spans="1:7" x14ac:dyDescent="0.25">
      <c r="A76" s="1">
        <v>39538</v>
      </c>
      <c r="B76">
        <v>13261</v>
      </c>
      <c r="C76">
        <f>gaz[[#This Row],[Odczyt licznika]]-B75</f>
        <v>236</v>
      </c>
      <c r="D76">
        <f>YEAR(gaz[[#This Row],[Data odczytu]])</f>
        <v>2008</v>
      </c>
      <c r="E76" t="str">
        <f>VLOOKUP(gaz[[#This Row],[Rok]],cena_gazu__2[],2)</f>
        <v>1,05</v>
      </c>
      <c r="F76" s="2">
        <f>IF(gaz[[#This Row],[Zuzycie]]&lt;100,70,IF(AND(gaz[[#This Row],[Zuzycie]]&gt;=100,gaz[[#This Row],[Zuzycie]]&lt;=200),90,120))</f>
        <v>120</v>
      </c>
      <c r="G76" s="2" t="e">
        <f>gaz[[#This Row],[Cena]]+gaz[[#This Row],[Taryfa]]</f>
        <v>#VALUE!</v>
      </c>
    </row>
    <row r="77" spans="1:7" x14ac:dyDescent="0.25">
      <c r="A77" s="1">
        <v>39568</v>
      </c>
      <c r="B77">
        <v>13376</v>
      </c>
      <c r="C77">
        <f>gaz[[#This Row],[Odczyt licznika]]-B76</f>
        <v>115</v>
      </c>
      <c r="D77">
        <f>YEAR(gaz[[#This Row],[Data odczytu]])</f>
        <v>2008</v>
      </c>
      <c r="E77" t="str">
        <f>VLOOKUP(gaz[[#This Row],[Rok]],cena_gazu__2[],2)</f>
        <v>1,05</v>
      </c>
      <c r="F77" s="2">
        <f>IF(gaz[[#This Row],[Zuzycie]]&lt;100,70,IF(AND(gaz[[#This Row],[Zuzycie]]&gt;=100,gaz[[#This Row],[Zuzycie]]&lt;=200),90,120))</f>
        <v>90</v>
      </c>
      <c r="G77" s="2" t="e">
        <f>gaz[[#This Row],[Cena]]+gaz[[#This Row],[Taryfa]]</f>
        <v>#VALUE!</v>
      </c>
    </row>
    <row r="78" spans="1:7" x14ac:dyDescent="0.25">
      <c r="A78" s="1">
        <v>39599</v>
      </c>
      <c r="B78">
        <v>13478</v>
      </c>
      <c r="C78">
        <f>gaz[[#This Row],[Odczyt licznika]]-B77</f>
        <v>102</v>
      </c>
      <c r="D78">
        <f>YEAR(gaz[[#This Row],[Data odczytu]])</f>
        <v>2008</v>
      </c>
      <c r="E78" t="str">
        <f>VLOOKUP(gaz[[#This Row],[Rok]],cena_gazu__2[],2)</f>
        <v>1,05</v>
      </c>
      <c r="F78" s="2">
        <f>IF(gaz[[#This Row],[Zuzycie]]&lt;100,70,IF(AND(gaz[[#This Row],[Zuzycie]]&gt;=100,gaz[[#This Row],[Zuzycie]]&lt;=200),90,120))</f>
        <v>90</v>
      </c>
      <c r="G78" s="2" t="e">
        <f>gaz[[#This Row],[Cena]]+gaz[[#This Row],[Taryfa]]</f>
        <v>#VALUE!</v>
      </c>
    </row>
    <row r="79" spans="1:7" x14ac:dyDescent="0.25">
      <c r="A79" s="1">
        <v>39629</v>
      </c>
      <c r="B79">
        <v>13506</v>
      </c>
      <c r="C79">
        <f>gaz[[#This Row],[Odczyt licznika]]-B78</f>
        <v>28</v>
      </c>
      <c r="D79">
        <f>YEAR(gaz[[#This Row],[Data odczytu]])</f>
        <v>2008</v>
      </c>
      <c r="E79" t="str">
        <f>VLOOKUP(gaz[[#This Row],[Rok]],cena_gazu__2[],2)</f>
        <v>1,05</v>
      </c>
      <c r="F79" s="2">
        <f>IF(gaz[[#This Row],[Zuzycie]]&lt;100,70,IF(AND(gaz[[#This Row],[Zuzycie]]&gt;=100,gaz[[#This Row],[Zuzycie]]&lt;=200),90,120))</f>
        <v>70</v>
      </c>
      <c r="G79" s="2" t="e">
        <f>gaz[[#This Row],[Cena]]+gaz[[#This Row],[Taryfa]]</f>
        <v>#VALUE!</v>
      </c>
    </row>
    <row r="80" spans="1:7" x14ac:dyDescent="0.25">
      <c r="A80" s="1">
        <v>39660</v>
      </c>
      <c r="B80">
        <v>13516</v>
      </c>
      <c r="C80">
        <f>gaz[[#This Row],[Odczyt licznika]]-B79</f>
        <v>10</v>
      </c>
      <c r="D80">
        <f>YEAR(gaz[[#This Row],[Data odczytu]])</f>
        <v>2008</v>
      </c>
      <c r="E80" t="str">
        <f>VLOOKUP(gaz[[#This Row],[Rok]],cena_gazu__2[],2)</f>
        <v>1,05</v>
      </c>
      <c r="F80" s="2">
        <f>IF(gaz[[#This Row],[Zuzycie]]&lt;100,70,IF(AND(gaz[[#This Row],[Zuzycie]]&gt;=100,gaz[[#This Row],[Zuzycie]]&lt;=200),90,120))</f>
        <v>70</v>
      </c>
      <c r="G80" s="2" t="e">
        <f>gaz[[#This Row],[Cena]]+gaz[[#This Row],[Taryfa]]</f>
        <v>#VALUE!</v>
      </c>
    </row>
    <row r="81" spans="1:7" x14ac:dyDescent="0.25">
      <c r="A81" s="1">
        <v>39691</v>
      </c>
      <c r="B81">
        <v>13529</v>
      </c>
      <c r="C81">
        <f>gaz[[#This Row],[Odczyt licznika]]-B80</f>
        <v>13</v>
      </c>
      <c r="D81">
        <f>YEAR(gaz[[#This Row],[Data odczytu]])</f>
        <v>2008</v>
      </c>
      <c r="E81" t="str">
        <f>VLOOKUP(gaz[[#This Row],[Rok]],cena_gazu__2[],2)</f>
        <v>1,05</v>
      </c>
      <c r="F81" s="2">
        <f>IF(gaz[[#This Row],[Zuzycie]]&lt;100,70,IF(AND(gaz[[#This Row],[Zuzycie]]&gt;=100,gaz[[#This Row],[Zuzycie]]&lt;=200),90,120))</f>
        <v>70</v>
      </c>
      <c r="G81" s="2" t="e">
        <f>gaz[[#This Row],[Cena]]+gaz[[#This Row],[Taryfa]]</f>
        <v>#VALUE!</v>
      </c>
    </row>
    <row r="82" spans="1:7" x14ac:dyDescent="0.25">
      <c r="A82" s="1">
        <v>39721</v>
      </c>
      <c r="B82">
        <v>13645</v>
      </c>
      <c r="C82">
        <f>gaz[[#This Row],[Odczyt licznika]]-B81</f>
        <v>116</v>
      </c>
      <c r="D82">
        <f>YEAR(gaz[[#This Row],[Data odczytu]])</f>
        <v>2008</v>
      </c>
      <c r="E82" t="str">
        <f>VLOOKUP(gaz[[#This Row],[Rok]],cena_gazu__2[],2)</f>
        <v>1,05</v>
      </c>
      <c r="F82" s="2">
        <f>IF(gaz[[#This Row],[Zuzycie]]&lt;100,70,IF(AND(gaz[[#This Row],[Zuzycie]]&gt;=100,gaz[[#This Row],[Zuzycie]]&lt;=200),90,120))</f>
        <v>90</v>
      </c>
      <c r="G82" s="2" t="e">
        <f>gaz[[#This Row],[Cena]]+gaz[[#This Row],[Taryfa]]</f>
        <v>#VALUE!</v>
      </c>
    </row>
    <row r="83" spans="1:7" x14ac:dyDescent="0.25">
      <c r="A83" s="1">
        <v>39752</v>
      </c>
      <c r="B83">
        <v>13791</v>
      </c>
      <c r="C83">
        <f>gaz[[#This Row],[Odczyt licznika]]-B82</f>
        <v>146</v>
      </c>
      <c r="D83">
        <f>YEAR(gaz[[#This Row],[Data odczytu]])</f>
        <v>2008</v>
      </c>
      <c r="E83" t="str">
        <f>VLOOKUP(gaz[[#This Row],[Rok]],cena_gazu__2[],2)</f>
        <v>1,05</v>
      </c>
      <c r="F83" s="2">
        <f>IF(gaz[[#This Row],[Zuzycie]]&lt;100,70,IF(AND(gaz[[#This Row],[Zuzycie]]&gt;=100,gaz[[#This Row],[Zuzycie]]&lt;=200),90,120))</f>
        <v>90</v>
      </c>
      <c r="G83" s="2" t="e">
        <f>gaz[[#This Row],[Cena]]+gaz[[#This Row],[Taryfa]]</f>
        <v>#VALUE!</v>
      </c>
    </row>
    <row r="84" spans="1:7" x14ac:dyDescent="0.25">
      <c r="A84" s="1">
        <v>39782</v>
      </c>
      <c r="B84">
        <v>14055</v>
      </c>
      <c r="C84">
        <f>gaz[[#This Row],[Odczyt licznika]]-B83</f>
        <v>264</v>
      </c>
      <c r="D84">
        <f>YEAR(gaz[[#This Row],[Data odczytu]])</f>
        <v>2008</v>
      </c>
      <c r="E84" t="str">
        <f>VLOOKUP(gaz[[#This Row],[Rok]],cena_gazu__2[],2)</f>
        <v>1,05</v>
      </c>
      <c r="F84" s="2">
        <f>IF(gaz[[#This Row],[Zuzycie]]&lt;100,70,IF(AND(gaz[[#This Row],[Zuzycie]]&gt;=100,gaz[[#This Row],[Zuzycie]]&lt;=200),90,120))</f>
        <v>120</v>
      </c>
      <c r="G84" s="2" t="e">
        <f>gaz[[#This Row],[Cena]]+gaz[[#This Row],[Taryfa]]</f>
        <v>#VALUE!</v>
      </c>
    </row>
    <row r="85" spans="1:7" x14ac:dyDescent="0.25">
      <c r="A85" s="1">
        <v>39813</v>
      </c>
      <c r="B85">
        <v>14301</v>
      </c>
      <c r="C85">
        <f>gaz[[#This Row],[Odczyt licznika]]-B84</f>
        <v>246</v>
      </c>
      <c r="D85">
        <f>YEAR(gaz[[#This Row],[Data odczytu]])</f>
        <v>2008</v>
      </c>
      <c r="E85" t="str">
        <f>VLOOKUP(gaz[[#This Row],[Rok]],cena_gazu__2[],2)</f>
        <v>1,05</v>
      </c>
      <c r="F85" s="2">
        <f>IF(gaz[[#This Row],[Zuzycie]]&lt;100,70,IF(AND(gaz[[#This Row],[Zuzycie]]&gt;=100,gaz[[#This Row],[Zuzycie]]&lt;=200),90,120))</f>
        <v>120</v>
      </c>
      <c r="G85" s="2" t="e">
        <f>gaz[[#This Row],[Cena]]+gaz[[#This Row],[Taryfa]]</f>
        <v>#VALUE!</v>
      </c>
    </row>
    <row r="86" spans="1:7" x14ac:dyDescent="0.25">
      <c r="A86" s="1">
        <v>39844</v>
      </c>
      <c r="B86">
        <v>14537</v>
      </c>
      <c r="C86">
        <f>gaz[[#This Row],[Odczyt licznika]]-B85</f>
        <v>236</v>
      </c>
      <c r="D86">
        <f>YEAR(gaz[[#This Row],[Data odczytu]])</f>
        <v>2009</v>
      </c>
      <c r="E86" t="str">
        <f>VLOOKUP(gaz[[#This Row],[Rok]],cena_gazu__2[],2)</f>
        <v>1,07</v>
      </c>
      <c r="F86" s="2">
        <f>IF(gaz[[#This Row],[Zuzycie]]&lt;100,70,IF(AND(gaz[[#This Row],[Zuzycie]]&gt;=100,gaz[[#This Row],[Zuzycie]]&lt;=200),90,120))</f>
        <v>120</v>
      </c>
      <c r="G86" s="2" t="e">
        <f>gaz[[#This Row],[Cena]]+gaz[[#This Row],[Taryfa]]</f>
        <v>#VALUE!</v>
      </c>
    </row>
    <row r="87" spans="1:7" x14ac:dyDescent="0.25">
      <c r="A87" s="1">
        <v>39872</v>
      </c>
      <c r="B87">
        <v>14827</v>
      </c>
      <c r="C87">
        <f>gaz[[#This Row],[Odczyt licznika]]-B86</f>
        <v>290</v>
      </c>
      <c r="D87">
        <f>YEAR(gaz[[#This Row],[Data odczytu]])</f>
        <v>2009</v>
      </c>
      <c r="E87" t="str">
        <f>VLOOKUP(gaz[[#This Row],[Rok]],cena_gazu__2[],2)</f>
        <v>1,07</v>
      </c>
      <c r="F87" s="2">
        <f>IF(gaz[[#This Row],[Zuzycie]]&lt;100,70,IF(AND(gaz[[#This Row],[Zuzycie]]&gt;=100,gaz[[#This Row],[Zuzycie]]&lt;=200),90,120))</f>
        <v>120</v>
      </c>
      <c r="G87" s="2" t="e">
        <f>gaz[[#This Row],[Cena]]+gaz[[#This Row],[Taryfa]]</f>
        <v>#VALUE!</v>
      </c>
    </row>
    <row r="88" spans="1:7" x14ac:dyDescent="0.25">
      <c r="A88" s="1">
        <v>39903</v>
      </c>
      <c r="B88">
        <v>15002</v>
      </c>
      <c r="C88">
        <f>gaz[[#This Row],[Odczyt licznika]]-B87</f>
        <v>175</v>
      </c>
      <c r="D88">
        <f>YEAR(gaz[[#This Row],[Data odczytu]])</f>
        <v>2009</v>
      </c>
      <c r="E88" t="str">
        <f>VLOOKUP(gaz[[#This Row],[Rok]],cena_gazu__2[],2)</f>
        <v>1,07</v>
      </c>
      <c r="F88" s="2">
        <f>IF(gaz[[#This Row],[Zuzycie]]&lt;100,70,IF(AND(gaz[[#This Row],[Zuzycie]]&gt;=100,gaz[[#This Row],[Zuzycie]]&lt;=200),90,120))</f>
        <v>90</v>
      </c>
      <c r="G88" s="2" t="e">
        <f>gaz[[#This Row],[Cena]]+gaz[[#This Row],[Taryfa]]</f>
        <v>#VALUE!</v>
      </c>
    </row>
    <row r="89" spans="1:7" x14ac:dyDescent="0.25">
      <c r="A89" s="1">
        <v>39933</v>
      </c>
      <c r="B89">
        <v>15155</v>
      </c>
      <c r="C89">
        <f>gaz[[#This Row],[Odczyt licznika]]-B88</f>
        <v>153</v>
      </c>
      <c r="D89">
        <f>YEAR(gaz[[#This Row],[Data odczytu]])</f>
        <v>2009</v>
      </c>
      <c r="E89" t="str">
        <f>VLOOKUP(gaz[[#This Row],[Rok]],cena_gazu__2[],2)</f>
        <v>1,07</v>
      </c>
      <c r="F89" s="2">
        <f>IF(gaz[[#This Row],[Zuzycie]]&lt;100,70,IF(AND(gaz[[#This Row],[Zuzycie]]&gt;=100,gaz[[#This Row],[Zuzycie]]&lt;=200),90,120))</f>
        <v>90</v>
      </c>
      <c r="G89" s="2" t="e">
        <f>gaz[[#This Row],[Cena]]+gaz[[#This Row],[Taryfa]]</f>
        <v>#VALUE!</v>
      </c>
    </row>
    <row r="90" spans="1:7" x14ac:dyDescent="0.25">
      <c r="A90" s="1">
        <v>39964</v>
      </c>
      <c r="B90">
        <v>15335</v>
      </c>
      <c r="C90">
        <f>gaz[[#This Row],[Odczyt licznika]]-B89</f>
        <v>180</v>
      </c>
      <c r="D90">
        <f>YEAR(gaz[[#This Row],[Data odczytu]])</f>
        <v>2009</v>
      </c>
      <c r="E90" t="str">
        <f>VLOOKUP(gaz[[#This Row],[Rok]],cena_gazu__2[],2)</f>
        <v>1,07</v>
      </c>
      <c r="F90" s="2">
        <f>IF(gaz[[#This Row],[Zuzycie]]&lt;100,70,IF(AND(gaz[[#This Row],[Zuzycie]]&gt;=100,gaz[[#This Row],[Zuzycie]]&lt;=200),90,120))</f>
        <v>90</v>
      </c>
      <c r="G90" s="2" t="e">
        <f>gaz[[#This Row],[Cena]]+gaz[[#This Row],[Taryfa]]</f>
        <v>#VALUE!</v>
      </c>
    </row>
    <row r="91" spans="1:7" x14ac:dyDescent="0.25">
      <c r="A91" s="1">
        <v>39994</v>
      </c>
      <c r="B91">
        <v>15437</v>
      </c>
      <c r="C91">
        <f>gaz[[#This Row],[Odczyt licznika]]-B90</f>
        <v>102</v>
      </c>
      <c r="D91">
        <f>YEAR(gaz[[#This Row],[Data odczytu]])</f>
        <v>2009</v>
      </c>
      <c r="E91" t="str">
        <f>VLOOKUP(gaz[[#This Row],[Rok]],cena_gazu__2[],2)</f>
        <v>1,07</v>
      </c>
      <c r="F91" s="2">
        <f>IF(gaz[[#This Row],[Zuzycie]]&lt;100,70,IF(AND(gaz[[#This Row],[Zuzycie]]&gt;=100,gaz[[#This Row],[Zuzycie]]&lt;=200),90,120))</f>
        <v>90</v>
      </c>
      <c r="G91" s="2" t="e">
        <f>gaz[[#This Row],[Cena]]+gaz[[#This Row],[Taryfa]]</f>
        <v>#VALUE!</v>
      </c>
    </row>
    <row r="92" spans="1:7" x14ac:dyDescent="0.25">
      <c r="A92" s="1">
        <v>40025</v>
      </c>
      <c r="B92">
        <v>15455</v>
      </c>
      <c r="C92">
        <f>gaz[[#This Row],[Odczyt licznika]]-B91</f>
        <v>18</v>
      </c>
      <c r="D92">
        <f>YEAR(gaz[[#This Row],[Data odczytu]])</f>
        <v>2009</v>
      </c>
      <c r="E92" t="str">
        <f>VLOOKUP(gaz[[#This Row],[Rok]],cena_gazu__2[],2)</f>
        <v>1,07</v>
      </c>
      <c r="F92" s="2">
        <f>IF(gaz[[#This Row],[Zuzycie]]&lt;100,70,IF(AND(gaz[[#This Row],[Zuzycie]]&gt;=100,gaz[[#This Row],[Zuzycie]]&lt;=200),90,120))</f>
        <v>70</v>
      </c>
      <c r="G92" s="2" t="e">
        <f>gaz[[#This Row],[Cena]]+gaz[[#This Row],[Taryfa]]</f>
        <v>#VALUE!</v>
      </c>
    </row>
    <row r="93" spans="1:7" x14ac:dyDescent="0.25">
      <c r="A93" s="1">
        <v>40056</v>
      </c>
      <c r="B93">
        <v>15474</v>
      </c>
      <c r="C93">
        <f>gaz[[#This Row],[Odczyt licznika]]-B92</f>
        <v>19</v>
      </c>
      <c r="D93">
        <f>YEAR(gaz[[#This Row],[Data odczytu]])</f>
        <v>2009</v>
      </c>
      <c r="E93" t="str">
        <f>VLOOKUP(gaz[[#This Row],[Rok]],cena_gazu__2[],2)</f>
        <v>1,07</v>
      </c>
      <c r="F93" s="2">
        <f>IF(gaz[[#This Row],[Zuzycie]]&lt;100,70,IF(AND(gaz[[#This Row],[Zuzycie]]&gt;=100,gaz[[#This Row],[Zuzycie]]&lt;=200),90,120))</f>
        <v>70</v>
      </c>
      <c r="G93" s="2" t="e">
        <f>gaz[[#This Row],[Cena]]+gaz[[#This Row],[Taryfa]]</f>
        <v>#VALUE!</v>
      </c>
    </row>
    <row r="94" spans="1:7" x14ac:dyDescent="0.25">
      <c r="A94" s="1">
        <v>40086</v>
      </c>
      <c r="B94">
        <v>15557</v>
      </c>
      <c r="C94">
        <f>gaz[[#This Row],[Odczyt licznika]]-B93</f>
        <v>83</v>
      </c>
      <c r="D94">
        <f>YEAR(gaz[[#This Row],[Data odczytu]])</f>
        <v>2009</v>
      </c>
      <c r="E94" t="str">
        <f>VLOOKUP(gaz[[#This Row],[Rok]],cena_gazu__2[],2)</f>
        <v>1,07</v>
      </c>
      <c r="F94" s="2">
        <f>IF(gaz[[#This Row],[Zuzycie]]&lt;100,70,IF(AND(gaz[[#This Row],[Zuzycie]]&gt;=100,gaz[[#This Row],[Zuzycie]]&lt;=200),90,120))</f>
        <v>70</v>
      </c>
      <c r="G94" s="2" t="e">
        <f>gaz[[#This Row],[Cena]]+gaz[[#This Row],[Taryfa]]</f>
        <v>#VALUE!</v>
      </c>
    </row>
    <row r="95" spans="1:7" x14ac:dyDescent="0.25">
      <c r="A95" s="1">
        <v>40117</v>
      </c>
      <c r="B95">
        <v>15694</v>
      </c>
      <c r="C95">
        <f>gaz[[#This Row],[Odczyt licznika]]-B94</f>
        <v>137</v>
      </c>
      <c r="D95">
        <f>YEAR(gaz[[#This Row],[Data odczytu]])</f>
        <v>2009</v>
      </c>
      <c r="E95" t="str">
        <f>VLOOKUP(gaz[[#This Row],[Rok]],cena_gazu__2[],2)</f>
        <v>1,07</v>
      </c>
      <c r="F95" s="2">
        <f>IF(gaz[[#This Row],[Zuzycie]]&lt;100,70,IF(AND(gaz[[#This Row],[Zuzycie]]&gt;=100,gaz[[#This Row],[Zuzycie]]&lt;=200),90,120))</f>
        <v>90</v>
      </c>
      <c r="G95" s="2" t="e">
        <f>gaz[[#This Row],[Cena]]+gaz[[#This Row],[Taryfa]]</f>
        <v>#VALUE!</v>
      </c>
    </row>
    <row r="96" spans="1:7" x14ac:dyDescent="0.25">
      <c r="A96" s="1">
        <v>40147</v>
      </c>
      <c r="B96">
        <v>15835</v>
      </c>
      <c r="C96">
        <f>gaz[[#This Row],[Odczyt licznika]]-B95</f>
        <v>141</v>
      </c>
      <c r="D96">
        <f>YEAR(gaz[[#This Row],[Data odczytu]])</f>
        <v>2009</v>
      </c>
      <c r="E96" t="str">
        <f>VLOOKUP(gaz[[#This Row],[Rok]],cena_gazu__2[],2)</f>
        <v>1,07</v>
      </c>
      <c r="F96" s="2">
        <f>IF(gaz[[#This Row],[Zuzycie]]&lt;100,70,IF(AND(gaz[[#This Row],[Zuzycie]]&gt;=100,gaz[[#This Row],[Zuzycie]]&lt;=200),90,120))</f>
        <v>90</v>
      </c>
      <c r="G96" s="2" t="e">
        <f>gaz[[#This Row],[Cena]]+gaz[[#This Row],[Taryfa]]</f>
        <v>#VALUE!</v>
      </c>
    </row>
    <row r="97" spans="1:7" x14ac:dyDescent="0.25">
      <c r="A97" s="1">
        <v>40178</v>
      </c>
      <c r="B97">
        <v>16087</v>
      </c>
      <c r="C97">
        <f>gaz[[#This Row],[Odczyt licznika]]-B96</f>
        <v>252</v>
      </c>
      <c r="D97">
        <f>YEAR(gaz[[#This Row],[Data odczytu]])</f>
        <v>2009</v>
      </c>
      <c r="E97" t="str">
        <f>VLOOKUP(gaz[[#This Row],[Rok]],cena_gazu__2[],2)</f>
        <v>1,07</v>
      </c>
      <c r="F97" s="2">
        <f>IF(gaz[[#This Row],[Zuzycie]]&lt;100,70,IF(AND(gaz[[#This Row],[Zuzycie]]&gt;=100,gaz[[#This Row],[Zuzycie]]&lt;=200),90,120))</f>
        <v>120</v>
      </c>
      <c r="G97" s="2" t="e">
        <f>gaz[[#This Row],[Cena]]+gaz[[#This Row],[Taryfa]]</f>
        <v>#VALUE!</v>
      </c>
    </row>
    <row r="98" spans="1:7" x14ac:dyDescent="0.25">
      <c r="A98" s="1">
        <v>40209</v>
      </c>
      <c r="B98">
        <v>16431</v>
      </c>
      <c r="C98">
        <f>gaz[[#This Row],[Odczyt licznika]]-B97</f>
        <v>344</v>
      </c>
      <c r="D98">
        <f>YEAR(gaz[[#This Row],[Data odczytu]])</f>
        <v>2010</v>
      </c>
      <c r="E98" t="str">
        <f>VLOOKUP(gaz[[#This Row],[Rok]],cena_gazu__2[],2)</f>
        <v>1,11</v>
      </c>
      <c r="F98" s="2">
        <f>IF(gaz[[#This Row],[Zuzycie]]&lt;100,70,IF(AND(gaz[[#This Row],[Zuzycie]]&gt;=100,gaz[[#This Row],[Zuzycie]]&lt;=200),90,120))</f>
        <v>120</v>
      </c>
      <c r="G98" s="2" t="e">
        <f>gaz[[#This Row],[Cena]]+gaz[[#This Row],[Taryfa]]</f>
        <v>#VALUE!</v>
      </c>
    </row>
    <row r="99" spans="1:7" x14ac:dyDescent="0.25">
      <c r="A99" s="1">
        <v>40237</v>
      </c>
      <c r="B99">
        <v>16792</v>
      </c>
      <c r="C99">
        <f>gaz[[#This Row],[Odczyt licznika]]-B98</f>
        <v>361</v>
      </c>
      <c r="D99">
        <f>YEAR(gaz[[#This Row],[Data odczytu]])</f>
        <v>2010</v>
      </c>
      <c r="E99" t="str">
        <f>VLOOKUP(gaz[[#This Row],[Rok]],cena_gazu__2[],2)</f>
        <v>1,11</v>
      </c>
      <c r="F99" s="2">
        <f>IF(gaz[[#This Row],[Zuzycie]]&lt;100,70,IF(AND(gaz[[#This Row],[Zuzycie]]&gt;=100,gaz[[#This Row],[Zuzycie]]&lt;=200),90,120))</f>
        <v>120</v>
      </c>
      <c r="G99" s="2" t="e">
        <f>gaz[[#This Row],[Cena]]+gaz[[#This Row],[Taryfa]]</f>
        <v>#VALUE!</v>
      </c>
    </row>
    <row r="100" spans="1:7" x14ac:dyDescent="0.25">
      <c r="A100" s="1">
        <v>40268</v>
      </c>
      <c r="B100">
        <v>17057</v>
      </c>
      <c r="C100">
        <f>gaz[[#This Row],[Odczyt licznika]]-B99</f>
        <v>265</v>
      </c>
      <c r="D100">
        <f>YEAR(gaz[[#This Row],[Data odczytu]])</f>
        <v>2010</v>
      </c>
      <c r="E100" t="str">
        <f>VLOOKUP(gaz[[#This Row],[Rok]],cena_gazu__2[],2)</f>
        <v>1,11</v>
      </c>
      <c r="F100" s="2">
        <f>IF(gaz[[#This Row],[Zuzycie]]&lt;100,70,IF(AND(gaz[[#This Row],[Zuzycie]]&gt;=100,gaz[[#This Row],[Zuzycie]]&lt;=200),90,120))</f>
        <v>120</v>
      </c>
      <c r="G100" s="2" t="e">
        <f>gaz[[#This Row],[Cena]]+gaz[[#This Row],[Taryfa]]</f>
        <v>#VALUE!</v>
      </c>
    </row>
    <row r="101" spans="1:7" x14ac:dyDescent="0.25">
      <c r="A101" s="1">
        <v>40298</v>
      </c>
      <c r="B101">
        <v>17186</v>
      </c>
      <c r="C101">
        <f>gaz[[#This Row],[Odczyt licznika]]-B100</f>
        <v>129</v>
      </c>
      <c r="D101">
        <f>YEAR(gaz[[#This Row],[Data odczytu]])</f>
        <v>2010</v>
      </c>
      <c r="E101" t="str">
        <f>VLOOKUP(gaz[[#This Row],[Rok]],cena_gazu__2[],2)</f>
        <v>1,11</v>
      </c>
      <c r="F101" s="2">
        <f>IF(gaz[[#This Row],[Zuzycie]]&lt;100,70,IF(AND(gaz[[#This Row],[Zuzycie]]&gt;=100,gaz[[#This Row],[Zuzycie]]&lt;=200),90,120))</f>
        <v>90</v>
      </c>
      <c r="G101" s="2" t="e">
        <f>gaz[[#This Row],[Cena]]+gaz[[#This Row],[Taryfa]]</f>
        <v>#VALUE!</v>
      </c>
    </row>
    <row r="102" spans="1:7" x14ac:dyDescent="0.25">
      <c r="A102" s="1">
        <v>40329</v>
      </c>
      <c r="B102">
        <v>17301</v>
      </c>
      <c r="C102">
        <f>gaz[[#This Row],[Odczyt licznika]]-B101</f>
        <v>115</v>
      </c>
      <c r="D102">
        <f>YEAR(gaz[[#This Row],[Data odczytu]])</f>
        <v>2010</v>
      </c>
      <c r="E102" t="str">
        <f>VLOOKUP(gaz[[#This Row],[Rok]],cena_gazu__2[],2)</f>
        <v>1,11</v>
      </c>
      <c r="F102" s="2">
        <f>IF(gaz[[#This Row],[Zuzycie]]&lt;100,70,IF(AND(gaz[[#This Row],[Zuzycie]]&gt;=100,gaz[[#This Row],[Zuzycie]]&lt;=200),90,120))</f>
        <v>90</v>
      </c>
      <c r="G102" s="2" t="e">
        <f>gaz[[#This Row],[Cena]]+gaz[[#This Row],[Taryfa]]</f>
        <v>#VALUE!</v>
      </c>
    </row>
    <row r="103" spans="1:7" x14ac:dyDescent="0.25">
      <c r="A103" s="1">
        <v>40359</v>
      </c>
      <c r="B103">
        <v>17332</v>
      </c>
      <c r="C103">
        <f>gaz[[#This Row],[Odczyt licznika]]-B102</f>
        <v>31</v>
      </c>
      <c r="D103">
        <f>YEAR(gaz[[#This Row],[Data odczytu]])</f>
        <v>2010</v>
      </c>
      <c r="E103" t="str">
        <f>VLOOKUP(gaz[[#This Row],[Rok]],cena_gazu__2[],2)</f>
        <v>1,11</v>
      </c>
      <c r="F103" s="2">
        <f>IF(gaz[[#This Row],[Zuzycie]]&lt;100,70,IF(AND(gaz[[#This Row],[Zuzycie]]&gt;=100,gaz[[#This Row],[Zuzycie]]&lt;=200),90,120))</f>
        <v>70</v>
      </c>
      <c r="G103" s="2" t="e">
        <f>gaz[[#This Row],[Cena]]+gaz[[#This Row],[Taryfa]]</f>
        <v>#VALUE!</v>
      </c>
    </row>
    <row r="104" spans="1:7" x14ac:dyDescent="0.25">
      <c r="A104" s="1">
        <v>40390</v>
      </c>
      <c r="B104">
        <v>17352</v>
      </c>
      <c r="C104">
        <f>gaz[[#This Row],[Odczyt licznika]]-B103</f>
        <v>20</v>
      </c>
      <c r="D104">
        <f>YEAR(gaz[[#This Row],[Data odczytu]])</f>
        <v>2010</v>
      </c>
      <c r="E104" t="str">
        <f>VLOOKUP(gaz[[#This Row],[Rok]],cena_gazu__2[],2)</f>
        <v>1,11</v>
      </c>
      <c r="F104" s="2">
        <f>IF(gaz[[#This Row],[Zuzycie]]&lt;100,70,IF(AND(gaz[[#This Row],[Zuzycie]]&gt;=100,gaz[[#This Row],[Zuzycie]]&lt;=200),90,120))</f>
        <v>70</v>
      </c>
      <c r="G104" s="2" t="e">
        <f>gaz[[#This Row],[Cena]]+gaz[[#This Row],[Taryfa]]</f>
        <v>#VALUE!</v>
      </c>
    </row>
    <row r="105" spans="1:7" x14ac:dyDescent="0.25">
      <c r="A105" s="1">
        <v>40421</v>
      </c>
      <c r="B105">
        <v>17367</v>
      </c>
      <c r="C105">
        <f>gaz[[#This Row],[Odczyt licznika]]-B104</f>
        <v>15</v>
      </c>
      <c r="D105">
        <f>YEAR(gaz[[#This Row],[Data odczytu]])</f>
        <v>2010</v>
      </c>
      <c r="E105" t="str">
        <f>VLOOKUP(gaz[[#This Row],[Rok]],cena_gazu__2[],2)</f>
        <v>1,11</v>
      </c>
      <c r="F105" s="2">
        <f>IF(gaz[[#This Row],[Zuzycie]]&lt;100,70,IF(AND(gaz[[#This Row],[Zuzycie]]&gt;=100,gaz[[#This Row],[Zuzycie]]&lt;=200),90,120))</f>
        <v>70</v>
      </c>
      <c r="G105" s="2" t="e">
        <f>gaz[[#This Row],[Cena]]+gaz[[#This Row],[Taryfa]]</f>
        <v>#VALUE!</v>
      </c>
    </row>
    <row r="106" spans="1:7" x14ac:dyDescent="0.25">
      <c r="A106" s="1">
        <v>40451</v>
      </c>
      <c r="B106">
        <v>17517</v>
      </c>
      <c r="C106">
        <f>gaz[[#This Row],[Odczyt licznika]]-B105</f>
        <v>150</v>
      </c>
      <c r="D106">
        <f>YEAR(gaz[[#This Row],[Data odczytu]])</f>
        <v>2010</v>
      </c>
      <c r="E106" t="str">
        <f>VLOOKUP(gaz[[#This Row],[Rok]],cena_gazu__2[],2)</f>
        <v>1,11</v>
      </c>
      <c r="F106" s="2">
        <f>IF(gaz[[#This Row],[Zuzycie]]&lt;100,70,IF(AND(gaz[[#This Row],[Zuzycie]]&gt;=100,gaz[[#This Row],[Zuzycie]]&lt;=200),90,120))</f>
        <v>90</v>
      </c>
      <c r="G106" s="2" t="e">
        <f>gaz[[#This Row],[Cena]]+gaz[[#This Row],[Taryfa]]</f>
        <v>#VALUE!</v>
      </c>
    </row>
    <row r="107" spans="1:7" x14ac:dyDescent="0.25">
      <c r="A107" s="1">
        <v>40482</v>
      </c>
      <c r="B107">
        <v>17708</v>
      </c>
      <c r="C107">
        <f>gaz[[#This Row],[Odczyt licznika]]-B106</f>
        <v>191</v>
      </c>
      <c r="D107">
        <f>YEAR(gaz[[#This Row],[Data odczytu]])</f>
        <v>2010</v>
      </c>
      <c r="E107" t="str">
        <f>VLOOKUP(gaz[[#This Row],[Rok]],cena_gazu__2[],2)</f>
        <v>1,11</v>
      </c>
      <c r="F107" s="2">
        <f>IF(gaz[[#This Row],[Zuzycie]]&lt;100,70,IF(AND(gaz[[#This Row],[Zuzycie]]&gt;=100,gaz[[#This Row],[Zuzycie]]&lt;=200),90,120))</f>
        <v>90</v>
      </c>
      <c r="G107" s="2" t="e">
        <f>gaz[[#This Row],[Cena]]+gaz[[#This Row],[Taryfa]]</f>
        <v>#VALUE!</v>
      </c>
    </row>
    <row r="108" spans="1:7" x14ac:dyDescent="0.25">
      <c r="A108" s="1">
        <v>40512</v>
      </c>
      <c r="B108">
        <v>18052</v>
      </c>
      <c r="C108">
        <f>gaz[[#This Row],[Odczyt licznika]]-B107</f>
        <v>344</v>
      </c>
      <c r="D108">
        <f>YEAR(gaz[[#This Row],[Data odczytu]])</f>
        <v>2010</v>
      </c>
      <c r="E108" t="str">
        <f>VLOOKUP(gaz[[#This Row],[Rok]],cena_gazu__2[],2)</f>
        <v>1,11</v>
      </c>
      <c r="F108" s="2">
        <f>IF(gaz[[#This Row],[Zuzycie]]&lt;100,70,IF(AND(gaz[[#This Row],[Zuzycie]]&gt;=100,gaz[[#This Row],[Zuzycie]]&lt;=200),90,120))</f>
        <v>120</v>
      </c>
      <c r="G108" s="2" t="e">
        <f>gaz[[#This Row],[Cena]]+gaz[[#This Row],[Taryfa]]</f>
        <v>#VALUE!</v>
      </c>
    </row>
    <row r="109" spans="1:7" x14ac:dyDescent="0.25">
      <c r="A109" s="1">
        <v>40543</v>
      </c>
      <c r="B109">
        <v>18372</v>
      </c>
      <c r="C109">
        <f>gaz[[#This Row],[Odczyt licznika]]-B108</f>
        <v>320</v>
      </c>
      <c r="D109">
        <f>YEAR(gaz[[#This Row],[Data odczytu]])</f>
        <v>2010</v>
      </c>
      <c r="E109" t="str">
        <f>VLOOKUP(gaz[[#This Row],[Rok]],cena_gazu__2[],2)</f>
        <v>1,11</v>
      </c>
      <c r="F109" s="2">
        <f>IF(gaz[[#This Row],[Zuzycie]]&lt;100,70,IF(AND(gaz[[#This Row],[Zuzycie]]&gt;=100,gaz[[#This Row],[Zuzycie]]&lt;=200),90,120))</f>
        <v>120</v>
      </c>
      <c r="G109" s="2" t="e">
        <f>gaz[[#This Row],[Cena]]+gaz[[#This Row],[Taryfa]]</f>
        <v>#VALUE!</v>
      </c>
    </row>
    <row r="110" spans="1:7" x14ac:dyDescent="0.25">
      <c r="A110" s="1">
        <v>40574</v>
      </c>
      <c r="B110">
        <v>18680</v>
      </c>
      <c r="C110">
        <f>gaz[[#This Row],[Odczyt licznika]]-B109</f>
        <v>308</v>
      </c>
      <c r="D110">
        <f>YEAR(gaz[[#This Row],[Data odczytu]])</f>
        <v>2011</v>
      </c>
      <c r="E110" t="str">
        <f>VLOOKUP(gaz[[#This Row],[Rok]],cena_gazu__2[],2)</f>
        <v>1,18</v>
      </c>
      <c r="F110" s="2">
        <f>IF(gaz[[#This Row],[Zuzycie]]&lt;100,70,IF(AND(gaz[[#This Row],[Zuzycie]]&gt;=100,gaz[[#This Row],[Zuzycie]]&lt;=200),90,120))</f>
        <v>120</v>
      </c>
      <c r="G110" s="2" t="e">
        <f>gaz[[#This Row],[Cena]]+gaz[[#This Row],[Taryfa]]</f>
        <v>#VALUE!</v>
      </c>
    </row>
    <row r="111" spans="1:7" x14ac:dyDescent="0.25">
      <c r="A111" s="1">
        <v>40602</v>
      </c>
      <c r="B111">
        <v>19057</v>
      </c>
      <c r="C111">
        <f>gaz[[#This Row],[Odczyt licznika]]-B110</f>
        <v>377</v>
      </c>
      <c r="D111">
        <f>YEAR(gaz[[#This Row],[Data odczytu]])</f>
        <v>2011</v>
      </c>
      <c r="E111" t="str">
        <f>VLOOKUP(gaz[[#This Row],[Rok]],cena_gazu__2[],2)</f>
        <v>1,18</v>
      </c>
      <c r="F111" s="2">
        <f>IF(gaz[[#This Row],[Zuzycie]]&lt;100,70,IF(AND(gaz[[#This Row],[Zuzycie]]&gt;=100,gaz[[#This Row],[Zuzycie]]&lt;=200),90,120))</f>
        <v>120</v>
      </c>
      <c r="G111" s="2" t="e">
        <f>gaz[[#This Row],[Cena]]+gaz[[#This Row],[Taryfa]]</f>
        <v>#VALUE!</v>
      </c>
    </row>
    <row r="112" spans="1:7" x14ac:dyDescent="0.25">
      <c r="A112" s="1">
        <v>40633</v>
      </c>
      <c r="B112">
        <v>19285</v>
      </c>
      <c r="C112">
        <f>gaz[[#This Row],[Odczyt licznika]]-B111</f>
        <v>228</v>
      </c>
      <c r="D112">
        <f>YEAR(gaz[[#This Row],[Data odczytu]])</f>
        <v>2011</v>
      </c>
      <c r="E112" t="str">
        <f>VLOOKUP(gaz[[#This Row],[Rok]],cena_gazu__2[],2)</f>
        <v>1,18</v>
      </c>
      <c r="F112" s="2">
        <f>IF(gaz[[#This Row],[Zuzycie]]&lt;100,70,IF(AND(gaz[[#This Row],[Zuzycie]]&gt;=100,gaz[[#This Row],[Zuzycie]]&lt;=200),90,120))</f>
        <v>120</v>
      </c>
      <c r="G112" s="2" t="e">
        <f>gaz[[#This Row],[Cena]]+gaz[[#This Row],[Taryfa]]</f>
        <v>#VALUE!</v>
      </c>
    </row>
    <row r="113" spans="1:7" x14ac:dyDescent="0.25">
      <c r="A113" s="1">
        <v>40663</v>
      </c>
      <c r="B113">
        <v>19431</v>
      </c>
      <c r="C113">
        <f>gaz[[#This Row],[Odczyt licznika]]-B112</f>
        <v>146</v>
      </c>
      <c r="D113">
        <f>YEAR(gaz[[#This Row],[Data odczytu]])</f>
        <v>2011</v>
      </c>
      <c r="E113" t="str">
        <f>VLOOKUP(gaz[[#This Row],[Rok]],cena_gazu__2[],2)</f>
        <v>1,18</v>
      </c>
      <c r="F113" s="2">
        <f>IF(gaz[[#This Row],[Zuzycie]]&lt;100,70,IF(AND(gaz[[#This Row],[Zuzycie]]&gt;=100,gaz[[#This Row],[Zuzycie]]&lt;=200),90,120))</f>
        <v>90</v>
      </c>
      <c r="G113" s="2" t="e">
        <f>gaz[[#This Row],[Cena]]+gaz[[#This Row],[Taryfa]]</f>
        <v>#VALUE!</v>
      </c>
    </row>
    <row r="114" spans="1:7" x14ac:dyDescent="0.25">
      <c r="A114" s="1">
        <v>40694</v>
      </c>
      <c r="B114">
        <v>19604</v>
      </c>
      <c r="C114">
        <f>gaz[[#This Row],[Odczyt licznika]]-B113</f>
        <v>173</v>
      </c>
      <c r="D114">
        <f>YEAR(gaz[[#This Row],[Data odczytu]])</f>
        <v>2011</v>
      </c>
      <c r="E114" t="str">
        <f>VLOOKUP(gaz[[#This Row],[Rok]],cena_gazu__2[],2)</f>
        <v>1,18</v>
      </c>
      <c r="F114" s="2">
        <f>IF(gaz[[#This Row],[Zuzycie]]&lt;100,70,IF(AND(gaz[[#This Row],[Zuzycie]]&gt;=100,gaz[[#This Row],[Zuzycie]]&lt;=200),90,120))</f>
        <v>90</v>
      </c>
      <c r="G114" s="2" t="e">
        <f>gaz[[#This Row],[Cena]]+gaz[[#This Row],[Taryfa]]</f>
        <v>#VALUE!</v>
      </c>
    </row>
    <row r="115" spans="1:7" x14ac:dyDescent="0.25">
      <c r="A115" s="1">
        <v>40724</v>
      </c>
      <c r="B115">
        <v>19702</v>
      </c>
      <c r="C115">
        <f>gaz[[#This Row],[Odczyt licznika]]-B114</f>
        <v>98</v>
      </c>
      <c r="D115">
        <f>YEAR(gaz[[#This Row],[Data odczytu]])</f>
        <v>2011</v>
      </c>
      <c r="E115" t="str">
        <f>VLOOKUP(gaz[[#This Row],[Rok]],cena_gazu__2[],2)</f>
        <v>1,18</v>
      </c>
      <c r="F115" s="2">
        <f>IF(gaz[[#This Row],[Zuzycie]]&lt;100,70,IF(AND(gaz[[#This Row],[Zuzycie]]&gt;=100,gaz[[#This Row],[Zuzycie]]&lt;=200),90,120))</f>
        <v>70</v>
      </c>
      <c r="G115" s="2" t="e">
        <f>gaz[[#This Row],[Cena]]+gaz[[#This Row],[Taryfa]]</f>
        <v>#VALUE!</v>
      </c>
    </row>
    <row r="116" spans="1:7" x14ac:dyDescent="0.25">
      <c r="A116" s="1">
        <v>40755</v>
      </c>
      <c r="B116">
        <v>19718</v>
      </c>
      <c r="C116">
        <f>gaz[[#This Row],[Odczyt licznika]]-B115</f>
        <v>16</v>
      </c>
      <c r="D116">
        <f>YEAR(gaz[[#This Row],[Data odczytu]])</f>
        <v>2011</v>
      </c>
      <c r="E116" t="str">
        <f>VLOOKUP(gaz[[#This Row],[Rok]],cena_gazu__2[],2)</f>
        <v>1,18</v>
      </c>
      <c r="F116" s="2">
        <f>IF(gaz[[#This Row],[Zuzycie]]&lt;100,70,IF(AND(gaz[[#This Row],[Zuzycie]]&gt;=100,gaz[[#This Row],[Zuzycie]]&lt;=200),90,120))</f>
        <v>70</v>
      </c>
      <c r="G116" s="2" t="e">
        <f>gaz[[#This Row],[Cena]]+gaz[[#This Row],[Taryfa]]</f>
        <v>#VALUE!</v>
      </c>
    </row>
    <row r="117" spans="1:7" x14ac:dyDescent="0.25">
      <c r="A117" s="1">
        <v>40786</v>
      </c>
      <c r="B117">
        <v>19735</v>
      </c>
      <c r="C117">
        <f>gaz[[#This Row],[Odczyt licznika]]-B116</f>
        <v>17</v>
      </c>
      <c r="D117">
        <f>YEAR(gaz[[#This Row],[Data odczytu]])</f>
        <v>2011</v>
      </c>
      <c r="E117" t="str">
        <f>VLOOKUP(gaz[[#This Row],[Rok]],cena_gazu__2[],2)</f>
        <v>1,18</v>
      </c>
      <c r="F117" s="2">
        <f>IF(gaz[[#This Row],[Zuzycie]]&lt;100,70,IF(AND(gaz[[#This Row],[Zuzycie]]&gt;=100,gaz[[#This Row],[Zuzycie]]&lt;=200),90,120))</f>
        <v>70</v>
      </c>
      <c r="G117" s="2" t="e">
        <f>gaz[[#This Row],[Cena]]+gaz[[#This Row],[Taryfa]]</f>
        <v>#VALUE!</v>
      </c>
    </row>
    <row r="118" spans="1:7" x14ac:dyDescent="0.25">
      <c r="A118" s="1">
        <v>40816</v>
      </c>
      <c r="B118">
        <v>19815</v>
      </c>
      <c r="C118">
        <f>gaz[[#This Row],[Odczyt licznika]]-B117</f>
        <v>80</v>
      </c>
      <c r="D118">
        <f>YEAR(gaz[[#This Row],[Data odczytu]])</f>
        <v>2011</v>
      </c>
      <c r="E118" t="str">
        <f>VLOOKUP(gaz[[#This Row],[Rok]],cena_gazu__2[],2)</f>
        <v>1,18</v>
      </c>
      <c r="F118" s="2">
        <f>IF(gaz[[#This Row],[Zuzycie]]&lt;100,70,IF(AND(gaz[[#This Row],[Zuzycie]]&gt;=100,gaz[[#This Row],[Zuzycie]]&lt;=200),90,120))</f>
        <v>70</v>
      </c>
      <c r="G118" s="2" t="e">
        <f>gaz[[#This Row],[Cena]]+gaz[[#This Row],[Taryfa]]</f>
        <v>#VALUE!</v>
      </c>
    </row>
    <row r="119" spans="1:7" x14ac:dyDescent="0.25">
      <c r="A119" s="1">
        <v>40847</v>
      </c>
      <c r="B119">
        <v>19946</v>
      </c>
      <c r="C119">
        <f>gaz[[#This Row],[Odczyt licznika]]-B118</f>
        <v>131</v>
      </c>
      <c r="D119">
        <f>YEAR(gaz[[#This Row],[Data odczytu]])</f>
        <v>2011</v>
      </c>
      <c r="E119" t="str">
        <f>VLOOKUP(gaz[[#This Row],[Rok]],cena_gazu__2[],2)</f>
        <v>1,18</v>
      </c>
      <c r="F119" s="2">
        <f>IF(gaz[[#This Row],[Zuzycie]]&lt;100,70,IF(AND(gaz[[#This Row],[Zuzycie]]&gt;=100,gaz[[#This Row],[Zuzycie]]&lt;=200),90,120))</f>
        <v>90</v>
      </c>
      <c r="G119" s="2" t="e">
        <f>gaz[[#This Row],[Cena]]+gaz[[#This Row],[Taryfa]]</f>
        <v>#VALUE!</v>
      </c>
    </row>
    <row r="120" spans="1:7" x14ac:dyDescent="0.25">
      <c r="A120" s="1">
        <v>40877</v>
      </c>
      <c r="B120">
        <v>20081</v>
      </c>
      <c r="C120">
        <f>gaz[[#This Row],[Odczyt licznika]]-B119</f>
        <v>135</v>
      </c>
      <c r="D120">
        <f>YEAR(gaz[[#This Row],[Data odczytu]])</f>
        <v>2011</v>
      </c>
      <c r="E120" t="str">
        <f>VLOOKUP(gaz[[#This Row],[Rok]],cena_gazu__2[],2)</f>
        <v>1,18</v>
      </c>
      <c r="F120" s="2">
        <f>IF(gaz[[#This Row],[Zuzycie]]&lt;100,70,IF(AND(gaz[[#This Row],[Zuzycie]]&gt;=100,gaz[[#This Row],[Zuzycie]]&lt;=200),90,120))</f>
        <v>90</v>
      </c>
      <c r="G120" s="2" t="e">
        <f>gaz[[#This Row],[Cena]]+gaz[[#This Row],[Taryfa]]</f>
        <v>#VALUE!</v>
      </c>
    </row>
    <row r="121" spans="1:7" x14ac:dyDescent="0.25">
      <c r="A121" s="1">
        <v>40908</v>
      </c>
      <c r="B121">
        <v>20323</v>
      </c>
      <c r="C121">
        <f>gaz[[#This Row],[Odczyt licznika]]-B120</f>
        <v>242</v>
      </c>
      <c r="D121">
        <f>YEAR(gaz[[#This Row],[Data odczytu]])</f>
        <v>2011</v>
      </c>
      <c r="E121" t="str">
        <f>VLOOKUP(gaz[[#This Row],[Rok]],cena_gazu__2[],2)</f>
        <v>1,18</v>
      </c>
      <c r="F121" s="2">
        <f>IF(gaz[[#This Row],[Zuzycie]]&lt;100,70,IF(AND(gaz[[#This Row],[Zuzycie]]&gt;=100,gaz[[#This Row],[Zuzycie]]&lt;=200),90,120))</f>
        <v>120</v>
      </c>
      <c r="G121" s="2" t="e">
        <f>gaz[[#This Row],[Cena]]+gaz[[#This Row],[Taryfa]]</f>
        <v>#VALUE!</v>
      </c>
    </row>
    <row r="122" spans="1:7" x14ac:dyDescent="0.25">
      <c r="A122" s="1">
        <v>40939</v>
      </c>
      <c r="B122">
        <v>20653</v>
      </c>
      <c r="C122">
        <f>gaz[[#This Row],[Odczyt licznika]]-B121</f>
        <v>330</v>
      </c>
      <c r="D122">
        <f>YEAR(gaz[[#This Row],[Data odczytu]])</f>
        <v>2012</v>
      </c>
      <c r="E122" t="str">
        <f>VLOOKUP(gaz[[#This Row],[Rok]],cena_gazu__2[],2)</f>
        <v>1,23</v>
      </c>
      <c r="F122" s="2">
        <f>IF(gaz[[#This Row],[Zuzycie]]&lt;100,70,IF(AND(gaz[[#This Row],[Zuzycie]]&gt;=100,gaz[[#This Row],[Zuzycie]]&lt;=200),90,120))</f>
        <v>120</v>
      </c>
      <c r="G122" s="2" t="e">
        <f>gaz[[#This Row],[Cena]]+gaz[[#This Row],[Taryfa]]</f>
        <v>#VALUE!</v>
      </c>
    </row>
    <row r="123" spans="1:7" x14ac:dyDescent="0.25">
      <c r="A123" s="1">
        <v>40967</v>
      </c>
      <c r="B123">
        <v>21000</v>
      </c>
      <c r="C123">
        <f>gaz[[#This Row],[Odczyt licznika]]-B122</f>
        <v>347</v>
      </c>
      <c r="D123">
        <f>YEAR(gaz[[#This Row],[Data odczytu]])</f>
        <v>2012</v>
      </c>
      <c r="E123" t="str">
        <f>VLOOKUP(gaz[[#This Row],[Rok]],cena_gazu__2[],2)</f>
        <v>1,23</v>
      </c>
      <c r="F123" s="2">
        <f>IF(gaz[[#This Row],[Zuzycie]]&lt;100,70,IF(AND(gaz[[#This Row],[Zuzycie]]&gt;=100,gaz[[#This Row],[Zuzycie]]&lt;=200),90,120))</f>
        <v>120</v>
      </c>
      <c r="G123" s="2" t="e">
        <f>gaz[[#This Row],[Cena]]+gaz[[#This Row],[Taryfa]]</f>
        <v>#VALUE!</v>
      </c>
    </row>
    <row r="124" spans="1:7" x14ac:dyDescent="0.25">
      <c r="A124" s="1">
        <v>40999</v>
      </c>
      <c r="B124">
        <v>21254</v>
      </c>
      <c r="C124">
        <f>gaz[[#This Row],[Odczyt licznika]]-B123</f>
        <v>254</v>
      </c>
      <c r="D124">
        <f>YEAR(gaz[[#This Row],[Data odczytu]])</f>
        <v>2012</v>
      </c>
      <c r="E124" t="str">
        <f>VLOOKUP(gaz[[#This Row],[Rok]],cena_gazu__2[],2)</f>
        <v>1,23</v>
      </c>
      <c r="F124" s="2">
        <f>IF(gaz[[#This Row],[Zuzycie]]&lt;100,70,IF(AND(gaz[[#This Row],[Zuzycie]]&gt;=100,gaz[[#This Row],[Zuzycie]]&lt;=200),90,120))</f>
        <v>120</v>
      </c>
      <c r="G124" s="2" t="e">
        <f>gaz[[#This Row],[Cena]]+gaz[[#This Row],[Taryfa]]</f>
        <v>#VALUE!</v>
      </c>
    </row>
    <row r="125" spans="1:7" x14ac:dyDescent="0.25">
      <c r="A125" s="1">
        <v>41029</v>
      </c>
      <c r="B125">
        <v>21377</v>
      </c>
      <c r="C125">
        <f>gaz[[#This Row],[Odczyt licznika]]-B124</f>
        <v>123</v>
      </c>
      <c r="D125">
        <f>YEAR(gaz[[#This Row],[Data odczytu]])</f>
        <v>2012</v>
      </c>
      <c r="E125" t="str">
        <f>VLOOKUP(gaz[[#This Row],[Rok]],cena_gazu__2[],2)</f>
        <v>1,23</v>
      </c>
      <c r="F125" s="2">
        <f>IF(gaz[[#This Row],[Zuzycie]]&lt;100,70,IF(AND(gaz[[#This Row],[Zuzycie]]&gt;=100,gaz[[#This Row],[Zuzycie]]&lt;=200),90,120))</f>
        <v>90</v>
      </c>
      <c r="G125" s="2" t="e">
        <f>gaz[[#This Row],[Cena]]+gaz[[#This Row],[Taryfa]]</f>
        <v>#VALUE!</v>
      </c>
    </row>
    <row r="126" spans="1:7" x14ac:dyDescent="0.25">
      <c r="A126" s="1">
        <v>41060</v>
      </c>
      <c r="B126">
        <v>21487</v>
      </c>
      <c r="C126">
        <f>gaz[[#This Row],[Odczyt licznika]]-B125</f>
        <v>110</v>
      </c>
      <c r="D126">
        <f>YEAR(gaz[[#This Row],[Data odczytu]])</f>
        <v>2012</v>
      </c>
      <c r="E126" t="str">
        <f>VLOOKUP(gaz[[#This Row],[Rok]],cena_gazu__2[],2)</f>
        <v>1,23</v>
      </c>
      <c r="F126" s="2">
        <f>IF(gaz[[#This Row],[Zuzycie]]&lt;100,70,IF(AND(gaz[[#This Row],[Zuzycie]]&gt;=100,gaz[[#This Row],[Zuzycie]]&lt;=200),90,120))</f>
        <v>90</v>
      </c>
      <c r="G126" s="2" t="e">
        <f>gaz[[#This Row],[Cena]]+gaz[[#This Row],[Taryfa]]</f>
        <v>#VALUE!</v>
      </c>
    </row>
    <row r="127" spans="1:7" x14ac:dyDescent="0.25">
      <c r="A127" s="1">
        <v>41090</v>
      </c>
      <c r="B127">
        <v>21517</v>
      </c>
      <c r="C127">
        <f>gaz[[#This Row],[Odczyt licznika]]-B126</f>
        <v>30</v>
      </c>
      <c r="D127">
        <f>YEAR(gaz[[#This Row],[Data odczytu]])</f>
        <v>2012</v>
      </c>
      <c r="E127" t="str">
        <f>VLOOKUP(gaz[[#This Row],[Rok]],cena_gazu__2[],2)</f>
        <v>1,23</v>
      </c>
      <c r="F127" s="2">
        <f>IF(gaz[[#This Row],[Zuzycie]]&lt;100,70,IF(AND(gaz[[#This Row],[Zuzycie]]&gt;=100,gaz[[#This Row],[Zuzycie]]&lt;=200),90,120))</f>
        <v>70</v>
      </c>
      <c r="G127" s="2" t="e">
        <f>gaz[[#This Row],[Cena]]+gaz[[#This Row],[Taryfa]]</f>
        <v>#VALUE!</v>
      </c>
    </row>
    <row r="128" spans="1:7" x14ac:dyDescent="0.25">
      <c r="A128" s="1">
        <v>41121</v>
      </c>
      <c r="B128">
        <v>21536</v>
      </c>
      <c r="C128">
        <f>gaz[[#This Row],[Odczyt licznika]]-B127</f>
        <v>19</v>
      </c>
      <c r="D128">
        <f>YEAR(gaz[[#This Row],[Data odczytu]])</f>
        <v>2012</v>
      </c>
      <c r="E128" t="str">
        <f>VLOOKUP(gaz[[#This Row],[Rok]],cena_gazu__2[],2)</f>
        <v>1,23</v>
      </c>
      <c r="F128" s="2">
        <f>IF(gaz[[#This Row],[Zuzycie]]&lt;100,70,IF(AND(gaz[[#This Row],[Zuzycie]]&gt;=100,gaz[[#This Row],[Zuzycie]]&lt;=200),90,120))</f>
        <v>70</v>
      </c>
      <c r="G128" s="2" t="e">
        <f>gaz[[#This Row],[Cena]]+gaz[[#This Row],[Taryfa]]</f>
        <v>#VALUE!</v>
      </c>
    </row>
    <row r="129" spans="1:7" x14ac:dyDescent="0.25">
      <c r="A129" s="1">
        <v>41152</v>
      </c>
      <c r="B129">
        <v>21550</v>
      </c>
      <c r="C129">
        <f>gaz[[#This Row],[Odczyt licznika]]-B128</f>
        <v>14</v>
      </c>
      <c r="D129">
        <f>YEAR(gaz[[#This Row],[Data odczytu]])</f>
        <v>2012</v>
      </c>
      <c r="E129" t="str">
        <f>VLOOKUP(gaz[[#This Row],[Rok]],cena_gazu__2[],2)</f>
        <v>1,23</v>
      </c>
      <c r="F129" s="2">
        <f>IF(gaz[[#This Row],[Zuzycie]]&lt;100,70,IF(AND(gaz[[#This Row],[Zuzycie]]&gt;=100,gaz[[#This Row],[Zuzycie]]&lt;=200),90,120))</f>
        <v>70</v>
      </c>
      <c r="G129" s="2" t="e">
        <f>gaz[[#This Row],[Cena]]+gaz[[#This Row],[Taryfa]]</f>
        <v>#VALUE!</v>
      </c>
    </row>
    <row r="130" spans="1:7" x14ac:dyDescent="0.25">
      <c r="A130" s="1">
        <v>41182</v>
      </c>
      <c r="B130">
        <v>21695</v>
      </c>
      <c r="C130">
        <f>gaz[[#This Row],[Odczyt licznika]]-B129</f>
        <v>145</v>
      </c>
      <c r="D130">
        <f>YEAR(gaz[[#This Row],[Data odczytu]])</f>
        <v>2012</v>
      </c>
      <c r="E130" t="str">
        <f>VLOOKUP(gaz[[#This Row],[Rok]],cena_gazu__2[],2)</f>
        <v>1,23</v>
      </c>
      <c r="F130" s="2">
        <f>IF(gaz[[#This Row],[Zuzycie]]&lt;100,70,IF(AND(gaz[[#This Row],[Zuzycie]]&gt;=100,gaz[[#This Row],[Zuzycie]]&lt;=200),90,120))</f>
        <v>90</v>
      </c>
      <c r="G130" s="2" t="e">
        <f>gaz[[#This Row],[Cena]]+gaz[[#This Row],[Taryfa]]</f>
        <v>#VALUE!</v>
      </c>
    </row>
    <row r="131" spans="1:7" x14ac:dyDescent="0.25">
      <c r="A131" s="1">
        <v>41213</v>
      </c>
      <c r="B131">
        <v>21878</v>
      </c>
      <c r="C131">
        <f>gaz[[#This Row],[Odczyt licznika]]-B130</f>
        <v>183</v>
      </c>
      <c r="D131">
        <f>YEAR(gaz[[#This Row],[Data odczytu]])</f>
        <v>2012</v>
      </c>
      <c r="E131" t="str">
        <f>VLOOKUP(gaz[[#This Row],[Rok]],cena_gazu__2[],2)</f>
        <v>1,23</v>
      </c>
      <c r="F131" s="2">
        <f>IF(gaz[[#This Row],[Zuzycie]]&lt;100,70,IF(AND(gaz[[#This Row],[Zuzycie]]&gt;=100,gaz[[#This Row],[Zuzycie]]&lt;=200),90,120))</f>
        <v>90</v>
      </c>
      <c r="G131" s="2" t="e">
        <f>gaz[[#This Row],[Cena]]+gaz[[#This Row],[Taryfa]]</f>
        <v>#VALUE!</v>
      </c>
    </row>
    <row r="132" spans="1:7" x14ac:dyDescent="0.25">
      <c r="A132" s="1">
        <v>41243</v>
      </c>
      <c r="B132">
        <v>22208</v>
      </c>
      <c r="C132">
        <f>gaz[[#This Row],[Odczyt licznika]]-B131</f>
        <v>330</v>
      </c>
      <c r="D132">
        <f>YEAR(gaz[[#This Row],[Data odczytu]])</f>
        <v>2012</v>
      </c>
      <c r="E132" t="str">
        <f>VLOOKUP(gaz[[#This Row],[Rok]],cena_gazu__2[],2)</f>
        <v>1,23</v>
      </c>
      <c r="F132" s="2">
        <f>IF(gaz[[#This Row],[Zuzycie]]&lt;100,70,IF(AND(gaz[[#This Row],[Zuzycie]]&gt;=100,gaz[[#This Row],[Zuzycie]]&lt;=200),90,120))</f>
        <v>120</v>
      </c>
      <c r="G132" s="2" t="e">
        <f>gaz[[#This Row],[Cena]]+gaz[[#This Row],[Taryfa]]</f>
        <v>#VALUE!</v>
      </c>
    </row>
    <row r="133" spans="1:7" x14ac:dyDescent="0.25">
      <c r="A133" s="1">
        <v>41274</v>
      </c>
      <c r="B133">
        <v>22516</v>
      </c>
      <c r="C133">
        <f>gaz[[#This Row],[Odczyt licznika]]-B132</f>
        <v>308</v>
      </c>
      <c r="D133">
        <f>YEAR(gaz[[#This Row],[Data odczytu]])</f>
        <v>2012</v>
      </c>
      <c r="E133" t="str">
        <f>VLOOKUP(gaz[[#This Row],[Rok]],cena_gazu__2[],2)</f>
        <v>1,23</v>
      </c>
      <c r="F133" s="2">
        <f>IF(gaz[[#This Row],[Zuzycie]]&lt;100,70,IF(AND(gaz[[#This Row],[Zuzycie]]&gt;=100,gaz[[#This Row],[Zuzycie]]&lt;=200),90,120))</f>
        <v>120</v>
      </c>
      <c r="G133" s="2" t="e">
        <f>gaz[[#This Row],[Cena]]+gaz[[#This Row],[Taryfa]]</f>
        <v>#VALUE!</v>
      </c>
    </row>
    <row r="134" spans="1:7" x14ac:dyDescent="0.25">
      <c r="A134" s="1">
        <v>41305</v>
      </c>
      <c r="B134">
        <v>22811</v>
      </c>
      <c r="C134">
        <f>gaz[[#This Row],[Odczyt licznika]]-B133</f>
        <v>295</v>
      </c>
      <c r="D134">
        <f>YEAR(gaz[[#This Row],[Data odczytu]])</f>
        <v>2013</v>
      </c>
      <c r="E134" t="str">
        <f>VLOOKUP(gaz[[#This Row],[Rok]],cena_gazu__2[],2)</f>
        <v>1,23</v>
      </c>
      <c r="F134" s="2">
        <f>IF(gaz[[#This Row],[Zuzycie]]&lt;100,70,IF(AND(gaz[[#This Row],[Zuzycie]]&gt;=100,gaz[[#This Row],[Zuzycie]]&lt;=200),90,120))</f>
        <v>120</v>
      </c>
      <c r="G134" s="2" t="e">
        <f>gaz[[#This Row],[Cena]]+gaz[[#This Row],[Taryfa]]</f>
        <v>#VALUE!</v>
      </c>
    </row>
    <row r="135" spans="1:7" x14ac:dyDescent="0.25">
      <c r="A135" s="1">
        <v>41333</v>
      </c>
      <c r="B135">
        <v>23173</v>
      </c>
      <c r="C135">
        <f>gaz[[#This Row],[Odczyt licznika]]-B134</f>
        <v>362</v>
      </c>
      <c r="D135">
        <f>YEAR(gaz[[#This Row],[Data odczytu]])</f>
        <v>2013</v>
      </c>
      <c r="E135" t="str">
        <f>VLOOKUP(gaz[[#This Row],[Rok]],cena_gazu__2[],2)</f>
        <v>1,23</v>
      </c>
      <c r="F135" s="2">
        <f>IF(gaz[[#This Row],[Zuzycie]]&lt;100,70,IF(AND(gaz[[#This Row],[Zuzycie]]&gt;=100,gaz[[#This Row],[Zuzycie]]&lt;=200),90,120))</f>
        <v>120</v>
      </c>
      <c r="G135" s="2" t="e">
        <f>gaz[[#This Row],[Cena]]+gaz[[#This Row],[Taryfa]]</f>
        <v>#VALUE!</v>
      </c>
    </row>
    <row r="136" spans="1:7" x14ac:dyDescent="0.25">
      <c r="A136" s="1">
        <v>41364</v>
      </c>
      <c r="B136">
        <v>23392</v>
      </c>
      <c r="C136">
        <f>gaz[[#This Row],[Odczyt licznika]]-B135</f>
        <v>219</v>
      </c>
      <c r="D136">
        <f>YEAR(gaz[[#This Row],[Data odczytu]])</f>
        <v>2013</v>
      </c>
      <c r="E136" t="str">
        <f>VLOOKUP(gaz[[#This Row],[Rok]],cena_gazu__2[],2)</f>
        <v>1,23</v>
      </c>
      <c r="F136" s="2">
        <f>IF(gaz[[#This Row],[Zuzycie]]&lt;100,70,IF(AND(gaz[[#This Row],[Zuzycie]]&gt;=100,gaz[[#This Row],[Zuzycie]]&lt;=200),90,120))</f>
        <v>120</v>
      </c>
      <c r="G136" s="2" t="e">
        <f>gaz[[#This Row],[Cena]]+gaz[[#This Row],[Taryfa]]</f>
        <v>#VALUE!</v>
      </c>
    </row>
    <row r="137" spans="1:7" x14ac:dyDescent="0.25">
      <c r="A137" s="1">
        <v>41394</v>
      </c>
      <c r="B137">
        <v>23533</v>
      </c>
      <c r="C137">
        <f>gaz[[#This Row],[Odczyt licznika]]-B136</f>
        <v>141</v>
      </c>
      <c r="D137">
        <f>YEAR(gaz[[#This Row],[Data odczytu]])</f>
        <v>2013</v>
      </c>
      <c r="E137" t="str">
        <f>VLOOKUP(gaz[[#This Row],[Rok]],cena_gazu__2[],2)</f>
        <v>1,23</v>
      </c>
      <c r="F137" s="2">
        <f>IF(gaz[[#This Row],[Zuzycie]]&lt;100,70,IF(AND(gaz[[#This Row],[Zuzycie]]&gt;=100,gaz[[#This Row],[Zuzycie]]&lt;=200),90,120))</f>
        <v>90</v>
      </c>
      <c r="G137" s="2" t="e">
        <f>gaz[[#This Row],[Cena]]+gaz[[#This Row],[Taryfa]]</f>
        <v>#VALUE!</v>
      </c>
    </row>
    <row r="138" spans="1:7" x14ac:dyDescent="0.25">
      <c r="A138" s="1">
        <v>41425</v>
      </c>
      <c r="B138">
        <v>23699</v>
      </c>
      <c r="C138">
        <f>gaz[[#This Row],[Odczyt licznika]]-B137</f>
        <v>166</v>
      </c>
      <c r="D138">
        <f>YEAR(gaz[[#This Row],[Data odczytu]])</f>
        <v>2013</v>
      </c>
      <c r="E138" t="str">
        <f>VLOOKUP(gaz[[#This Row],[Rok]],cena_gazu__2[],2)</f>
        <v>1,23</v>
      </c>
      <c r="F138" s="2">
        <f>IF(gaz[[#This Row],[Zuzycie]]&lt;100,70,IF(AND(gaz[[#This Row],[Zuzycie]]&gt;=100,gaz[[#This Row],[Zuzycie]]&lt;=200),90,120))</f>
        <v>90</v>
      </c>
      <c r="G138" s="2" t="e">
        <f>gaz[[#This Row],[Cena]]+gaz[[#This Row],[Taryfa]]</f>
        <v>#VALUE!</v>
      </c>
    </row>
    <row r="139" spans="1:7" x14ac:dyDescent="0.25">
      <c r="A139" s="1">
        <v>41455</v>
      </c>
      <c r="B139">
        <v>23793</v>
      </c>
      <c r="C139">
        <f>gaz[[#This Row],[Odczyt licznika]]-B138</f>
        <v>94</v>
      </c>
      <c r="D139">
        <f>YEAR(gaz[[#This Row],[Data odczytu]])</f>
        <v>2013</v>
      </c>
      <c r="E139" t="str">
        <f>VLOOKUP(gaz[[#This Row],[Rok]],cena_gazu__2[],2)</f>
        <v>1,23</v>
      </c>
      <c r="F139" s="2">
        <f>IF(gaz[[#This Row],[Zuzycie]]&lt;100,70,IF(AND(gaz[[#This Row],[Zuzycie]]&gt;=100,gaz[[#This Row],[Zuzycie]]&lt;=200),90,120))</f>
        <v>70</v>
      </c>
      <c r="G139" s="2" t="e">
        <f>gaz[[#This Row],[Cena]]+gaz[[#This Row],[Taryfa]]</f>
        <v>#VALUE!</v>
      </c>
    </row>
    <row r="140" spans="1:7" x14ac:dyDescent="0.25">
      <c r="A140" s="1">
        <v>41486</v>
      </c>
      <c r="B140">
        <v>23809</v>
      </c>
      <c r="C140">
        <f>gaz[[#This Row],[Odczyt licznika]]-B139</f>
        <v>16</v>
      </c>
      <c r="D140">
        <f>YEAR(gaz[[#This Row],[Data odczytu]])</f>
        <v>2013</v>
      </c>
      <c r="E140" t="str">
        <f>VLOOKUP(gaz[[#This Row],[Rok]],cena_gazu__2[],2)</f>
        <v>1,23</v>
      </c>
      <c r="F140" s="2">
        <f>IF(gaz[[#This Row],[Zuzycie]]&lt;100,70,IF(AND(gaz[[#This Row],[Zuzycie]]&gt;=100,gaz[[#This Row],[Zuzycie]]&lt;=200),90,120))</f>
        <v>70</v>
      </c>
      <c r="G140" s="2" t="e">
        <f>gaz[[#This Row],[Cena]]+gaz[[#This Row],[Taryfa]]</f>
        <v>#VALUE!</v>
      </c>
    </row>
    <row r="141" spans="1:7" x14ac:dyDescent="0.25">
      <c r="A141" s="1">
        <v>41517</v>
      </c>
      <c r="B141">
        <v>23825</v>
      </c>
      <c r="C141">
        <f>gaz[[#This Row],[Odczyt licznika]]-B140</f>
        <v>16</v>
      </c>
      <c r="D141">
        <f>YEAR(gaz[[#This Row],[Data odczytu]])</f>
        <v>2013</v>
      </c>
      <c r="E141" t="str">
        <f>VLOOKUP(gaz[[#This Row],[Rok]],cena_gazu__2[],2)</f>
        <v>1,23</v>
      </c>
      <c r="F141" s="2">
        <f>IF(gaz[[#This Row],[Zuzycie]]&lt;100,70,IF(AND(gaz[[#This Row],[Zuzycie]]&gt;=100,gaz[[#This Row],[Zuzycie]]&lt;=200),90,120))</f>
        <v>70</v>
      </c>
      <c r="G141" s="2" t="e">
        <f>gaz[[#This Row],[Cena]]+gaz[[#This Row],[Taryfa]]</f>
        <v>#VALUE!</v>
      </c>
    </row>
    <row r="142" spans="1:7" x14ac:dyDescent="0.25">
      <c r="A142" s="1">
        <v>41547</v>
      </c>
      <c r="B142">
        <v>23902</v>
      </c>
      <c r="C142">
        <f>gaz[[#This Row],[Odczyt licznika]]-B141</f>
        <v>77</v>
      </c>
      <c r="D142">
        <f>YEAR(gaz[[#This Row],[Data odczytu]])</f>
        <v>2013</v>
      </c>
      <c r="E142" t="str">
        <f>VLOOKUP(gaz[[#This Row],[Rok]],cena_gazu__2[],2)</f>
        <v>1,23</v>
      </c>
      <c r="F142" s="2">
        <f>IF(gaz[[#This Row],[Zuzycie]]&lt;100,70,IF(AND(gaz[[#This Row],[Zuzycie]]&gt;=100,gaz[[#This Row],[Zuzycie]]&lt;=200),90,120))</f>
        <v>70</v>
      </c>
      <c r="G142" s="2" t="e">
        <f>gaz[[#This Row],[Cena]]+gaz[[#This Row],[Taryfa]]</f>
        <v>#VALUE!</v>
      </c>
    </row>
    <row r="143" spans="1:7" x14ac:dyDescent="0.25">
      <c r="A143" s="1">
        <v>41578</v>
      </c>
      <c r="B143">
        <v>24028</v>
      </c>
      <c r="C143">
        <f>gaz[[#This Row],[Odczyt licznika]]-B142</f>
        <v>126</v>
      </c>
      <c r="D143">
        <f>YEAR(gaz[[#This Row],[Data odczytu]])</f>
        <v>2013</v>
      </c>
      <c r="E143" t="str">
        <f>VLOOKUP(gaz[[#This Row],[Rok]],cena_gazu__2[],2)</f>
        <v>1,23</v>
      </c>
      <c r="F143" s="2">
        <f>IF(gaz[[#This Row],[Zuzycie]]&lt;100,70,IF(AND(gaz[[#This Row],[Zuzycie]]&gt;=100,gaz[[#This Row],[Zuzycie]]&lt;=200),90,120))</f>
        <v>90</v>
      </c>
      <c r="G143" s="2" t="e">
        <f>gaz[[#This Row],[Cena]]+gaz[[#This Row],[Taryfa]]</f>
        <v>#VALUE!</v>
      </c>
    </row>
    <row r="144" spans="1:7" x14ac:dyDescent="0.25">
      <c r="A144" s="1">
        <v>41608</v>
      </c>
      <c r="B144">
        <v>24158</v>
      </c>
      <c r="C144">
        <f>gaz[[#This Row],[Odczyt licznika]]-B143</f>
        <v>130</v>
      </c>
      <c r="D144">
        <f>YEAR(gaz[[#This Row],[Data odczytu]])</f>
        <v>2013</v>
      </c>
      <c r="E144" t="str">
        <f>VLOOKUP(gaz[[#This Row],[Rok]],cena_gazu__2[],2)</f>
        <v>1,23</v>
      </c>
      <c r="F144" s="2">
        <f>IF(gaz[[#This Row],[Zuzycie]]&lt;100,70,IF(AND(gaz[[#This Row],[Zuzycie]]&gt;=100,gaz[[#This Row],[Zuzycie]]&lt;=200),90,120))</f>
        <v>90</v>
      </c>
      <c r="G144" s="2" t="e">
        <f>gaz[[#This Row],[Cena]]+gaz[[#This Row],[Taryfa]]</f>
        <v>#VALUE!</v>
      </c>
    </row>
    <row r="145" spans="1:7" x14ac:dyDescent="0.25">
      <c r="A145" s="1">
        <v>41639</v>
      </c>
      <c r="B145">
        <v>24390</v>
      </c>
      <c r="C145">
        <f>gaz[[#This Row],[Odczyt licznika]]-B144</f>
        <v>232</v>
      </c>
      <c r="D145">
        <f>YEAR(gaz[[#This Row],[Data odczytu]])</f>
        <v>2013</v>
      </c>
      <c r="E145" t="str">
        <f>VLOOKUP(gaz[[#This Row],[Rok]],cena_gazu__2[],2)</f>
        <v>1,23</v>
      </c>
      <c r="F145" s="2">
        <f>IF(gaz[[#This Row],[Zuzycie]]&lt;100,70,IF(AND(gaz[[#This Row],[Zuzycie]]&gt;=100,gaz[[#This Row],[Zuzycie]]&lt;=200),90,120))</f>
        <v>120</v>
      </c>
      <c r="G145" s="2" t="e">
        <f>gaz[[#This Row],[Cena]]+gaz[[#This Row],[Taryfa]]</f>
        <v>#VALUE!</v>
      </c>
    </row>
    <row r="146" spans="1:7" x14ac:dyDescent="0.25">
      <c r="A146" s="1">
        <v>41670</v>
      </c>
      <c r="B146">
        <v>24707</v>
      </c>
      <c r="C146">
        <f>gaz[[#This Row],[Odczyt licznika]]-B145</f>
        <v>317</v>
      </c>
      <c r="D146">
        <f>YEAR(gaz[[#This Row],[Data odczytu]])</f>
        <v>2014</v>
      </c>
      <c r="E146" t="str">
        <f>VLOOKUP(gaz[[#This Row],[Rok]],cena_gazu__2[],2)</f>
        <v>1,23</v>
      </c>
      <c r="F146" s="2">
        <f>IF(gaz[[#This Row],[Zuzycie]]&lt;100,70,IF(AND(gaz[[#This Row],[Zuzycie]]&gt;=100,gaz[[#This Row],[Zuzycie]]&lt;=200),90,120))</f>
        <v>120</v>
      </c>
      <c r="G146" s="2" t="e">
        <f>gaz[[#This Row],[Cena]]+gaz[[#This Row],[Taryfa]]</f>
        <v>#VALUE!</v>
      </c>
    </row>
    <row r="147" spans="1:7" x14ac:dyDescent="0.25">
      <c r="A147" s="1">
        <v>41698</v>
      </c>
      <c r="B147">
        <v>25040</v>
      </c>
      <c r="C147">
        <f>gaz[[#This Row],[Odczyt licznika]]-B146</f>
        <v>333</v>
      </c>
      <c r="D147">
        <f>YEAR(gaz[[#This Row],[Data odczytu]])</f>
        <v>2014</v>
      </c>
      <c r="E147" t="str">
        <f>VLOOKUP(gaz[[#This Row],[Rok]],cena_gazu__2[],2)</f>
        <v>1,23</v>
      </c>
      <c r="F147" s="2">
        <f>IF(gaz[[#This Row],[Zuzycie]]&lt;100,70,IF(AND(gaz[[#This Row],[Zuzycie]]&gt;=100,gaz[[#This Row],[Zuzycie]]&lt;=200),90,120))</f>
        <v>120</v>
      </c>
      <c r="G147" s="2" t="e">
        <f>gaz[[#This Row],[Cena]]+gaz[[#This Row],[Taryfa]]</f>
        <v>#VALUE!</v>
      </c>
    </row>
    <row r="148" spans="1:7" x14ac:dyDescent="0.25">
      <c r="A148" s="1">
        <v>41729</v>
      </c>
      <c r="B148">
        <v>25284</v>
      </c>
      <c r="C148">
        <f>gaz[[#This Row],[Odczyt licznika]]-B147</f>
        <v>244</v>
      </c>
      <c r="D148">
        <f>YEAR(gaz[[#This Row],[Data odczytu]])</f>
        <v>2014</v>
      </c>
      <c r="E148" t="str">
        <f>VLOOKUP(gaz[[#This Row],[Rok]],cena_gazu__2[],2)</f>
        <v>1,23</v>
      </c>
      <c r="F148" s="2">
        <f>IF(gaz[[#This Row],[Zuzycie]]&lt;100,70,IF(AND(gaz[[#This Row],[Zuzycie]]&gt;=100,gaz[[#This Row],[Zuzycie]]&lt;=200),90,120))</f>
        <v>120</v>
      </c>
      <c r="G148" s="2" t="e">
        <f>gaz[[#This Row],[Cena]]+gaz[[#This Row],[Taryfa]]</f>
        <v>#VALUE!</v>
      </c>
    </row>
    <row r="149" spans="1:7" x14ac:dyDescent="0.25">
      <c r="A149" s="1">
        <v>41759</v>
      </c>
      <c r="B149">
        <v>25403</v>
      </c>
      <c r="C149">
        <f>gaz[[#This Row],[Odczyt licznika]]-B148</f>
        <v>119</v>
      </c>
      <c r="D149">
        <f>YEAR(gaz[[#This Row],[Data odczytu]])</f>
        <v>2014</v>
      </c>
      <c r="E149" t="str">
        <f>VLOOKUP(gaz[[#This Row],[Rok]],cena_gazu__2[],2)</f>
        <v>1,23</v>
      </c>
      <c r="F149" s="2">
        <f>IF(gaz[[#This Row],[Zuzycie]]&lt;100,70,IF(AND(gaz[[#This Row],[Zuzycie]]&gt;=100,gaz[[#This Row],[Zuzycie]]&lt;=200),90,120))</f>
        <v>90</v>
      </c>
      <c r="G149" s="2" t="e">
        <f>gaz[[#This Row],[Cena]]+gaz[[#This Row],[Taryfa]]</f>
        <v>#VALUE!</v>
      </c>
    </row>
    <row r="150" spans="1:7" x14ac:dyDescent="0.25">
      <c r="A150" s="1">
        <v>41790</v>
      </c>
      <c r="B150">
        <v>25508</v>
      </c>
      <c r="C150">
        <f>gaz[[#This Row],[Odczyt licznika]]-B149</f>
        <v>105</v>
      </c>
      <c r="D150">
        <f>YEAR(gaz[[#This Row],[Data odczytu]])</f>
        <v>2014</v>
      </c>
      <c r="E150" t="str">
        <f>VLOOKUP(gaz[[#This Row],[Rok]],cena_gazu__2[],2)</f>
        <v>1,23</v>
      </c>
      <c r="F150" s="2">
        <f>IF(gaz[[#This Row],[Zuzycie]]&lt;100,70,IF(AND(gaz[[#This Row],[Zuzycie]]&gt;=100,gaz[[#This Row],[Zuzycie]]&lt;=200),90,120))</f>
        <v>90</v>
      </c>
      <c r="G150" s="2" t="e">
        <f>gaz[[#This Row],[Cena]]+gaz[[#This Row],[Taryfa]]</f>
        <v>#VALUE!</v>
      </c>
    </row>
    <row r="151" spans="1:7" x14ac:dyDescent="0.25">
      <c r="A151" s="1">
        <v>41820</v>
      </c>
      <c r="B151">
        <v>25537</v>
      </c>
      <c r="C151">
        <f>gaz[[#This Row],[Odczyt licznika]]-B150</f>
        <v>29</v>
      </c>
      <c r="D151">
        <f>YEAR(gaz[[#This Row],[Data odczytu]])</f>
        <v>2014</v>
      </c>
      <c r="E151" t="str">
        <f>VLOOKUP(gaz[[#This Row],[Rok]],cena_gazu__2[],2)</f>
        <v>1,23</v>
      </c>
      <c r="F151" s="2">
        <f>IF(gaz[[#This Row],[Zuzycie]]&lt;100,70,IF(AND(gaz[[#This Row],[Zuzycie]]&gt;=100,gaz[[#This Row],[Zuzycie]]&lt;=200),90,120))</f>
        <v>70</v>
      </c>
      <c r="G151" s="2" t="e">
        <f>gaz[[#This Row],[Cena]]+gaz[[#This Row],[Taryfa]]</f>
        <v>#VALUE!</v>
      </c>
    </row>
    <row r="152" spans="1:7" x14ac:dyDescent="0.25">
      <c r="A152" s="1">
        <v>41851</v>
      </c>
      <c r="B152">
        <v>25556</v>
      </c>
      <c r="C152">
        <f>gaz[[#This Row],[Odczyt licznika]]-B151</f>
        <v>19</v>
      </c>
      <c r="D152">
        <f>YEAR(gaz[[#This Row],[Data odczytu]])</f>
        <v>2014</v>
      </c>
      <c r="E152" t="str">
        <f>VLOOKUP(gaz[[#This Row],[Rok]],cena_gazu__2[],2)</f>
        <v>1,23</v>
      </c>
      <c r="F152" s="2">
        <f>IF(gaz[[#This Row],[Zuzycie]]&lt;100,70,IF(AND(gaz[[#This Row],[Zuzycie]]&gt;=100,gaz[[#This Row],[Zuzycie]]&lt;=200),90,120))</f>
        <v>70</v>
      </c>
      <c r="G152" s="2" t="e">
        <f>gaz[[#This Row],[Cena]]+gaz[[#This Row],[Taryfa]]</f>
        <v>#VALUE!</v>
      </c>
    </row>
    <row r="153" spans="1:7" x14ac:dyDescent="0.25">
      <c r="A153" s="1">
        <v>41882</v>
      </c>
      <c r="B153">
        <v>25569</v>
      </c>
      <c r="C153">
        <f>gaz[[#This Row],[Odczyt licznika]]-B152</f>
        <v>13</v>
      </c>
      <c r="D153">
        <f>YEAR(gaz[[#This Row],[Data odczytu]])</f>
        <v>2014</v>
      </c>
      <c r="E153" t="str">
        <f>VLOOKUP(gaz[[#This Row],[Rok]],cena_gazu__2[],2)</f>
        <v>1,23</v>
      </c>
      <c r="F153" s="2">
        <f>IF(gaz[[#This Row],[Zuzycie]]&lt;100,70,IF(AND(gaz[[#This Row],[Zuzycie]]&gt;=100,gaz[[#This Row],[Zuzycie]]&lt;=200),90,120))</f>
        <v>70</v>
      </c>
      <c r="G153" s="2" t="e">
        <f>gaz[[#This Row],[Cena]]+gaz[[#This Row],[Taryfa]]</f>
        <v>#VALUE!</v>
      </c>
    </row>
    <row r="154" spans="1:7" x14ac:dyDescent="0.25">
      <c r="A154" s="1">
        <v>41912</v>
      </c>
      <c r="B154">
        <v>25708</v>
      </c>
      <c r="C154">
        <f>gaz[[#This Row],[Odczyt licznika]]-B153</f>
        <v>139</v>
      </c>
      <c r="D154">
        <f>YEAR(gaz[[#This Row],[Data odczytu]])</f>
        <v>2014</v>
      </c>
      <c r="E154" t="str">
        <f>VLOOKUP(gaz[[#This Row],[Rok]],cena_gazu__2[],2)</f>
        <v>1,23</v>
      </c>
      <c r="F154" s="2">
        <f>IF(gaz[[#This Row],[Zuzycie]]&lt;100,70,IF(AND(gaz[[#This Row],[Zuzycie]]&gt;=100,gaz[[#This Row],[Zuzycie]]&lt;=200),90,120))</f>
        <v>90</v>
      </c>
      <c r="G154" s="2" t="e">
        <f>gaz[[#This Row],[Cena]]+gaz[[#This Row],[Taryfa]]</f>
        <v>#VALUE!</v>
      </c>
    </row>
    <row r="155" spans="1:7" x14ac:dyDescent="0.25">
      <c r="A155" s="1">
        <v>41943</v>
      </c>
      <c r="B155">
        <v>25883</v>
      </c>
      <c r="C155">
        <f>gaz[[#This Row],[Odczyt licznika]]-B154</f>
        <v>175</v>
      </c>
      <c r="D155">
        <f>YEAR(gaz[[#This Row],[Data odczytu]])</f>
        <v>2014</v>
      </c>
      <c r="E155" t="str">
        <f>VLOOKUP(gaz[[#This Row],[Rok]],cena_gazu__2[],2)</f>
        <v>1,23</v>
      </c>
      <c r="F155" s="2">
        <f>IF(gaz[[#This Row],[Zuzycie]]&lt;100,70,IF(AND(gaz[[#This Row],[Zuzycie]]&gt;=100,gaz[[#This Row],[Zuzycie]]&lt;=200),90,120))</f>
        <v>90</v>
      </c>
      <c r="G155" s="2" t="e">
        <f>gaz[[#This Row],[Cena]]+gaz[[#This Row],[Taryfa]]</f>
        <v>#VALUE!</v>
      </c>
    </row>
    <row r="156" spans="1:7" x14ac:dyDescent="0.25">
      <c r="A156" s="1">
        <v>41973</v>
      </c>
      <c r="B156">
        <v>26183</v>
      </c>
      <c r="C156">
        <f>gaz[[#This Row],[Odczyt licznika]]-B155</f>
        <v>300</v>
      </c>
      <c r="D156">
        <f>YEAR(gaz[[#This Row],[Data odczytu]])</f>
        <v>2014</v>
      </c>
      <c r="E156" t="str">
        <f>VLOOKUP(gaz[[#This Row],[Rok]],cena_gazu__2[],2)</f>
        <v>1,23</v>
      </c>
      <c r="F156" s="2">
        <f>IF(gaz[[#This Row],[Zuzycie]]&lt;100,70,IF(AND(gaz[[#This Row],[Zuzycie]]&gt;=100,gaz[[#This Row],[Zuzycie]]&lt;=200),90,120))</f>
        <v>120</v>
      </c>
      <c r="G156" s="2" t="e">
        <f>gaz[[#This Row],[Cena]]+gaz[[#This Row],[Taryfa]]</f>
        <v>#VALUE!</v>
      </c>
    </row>
    <row r="157" spans="1:7" x14ac:dyDescent="0.25">
      <c r="A157" s="1">
        <v>42004</v>
      </c>
      <c r="B157">
        <v>26478</v>
      </c>
      <c r="C157">
        <f>gaz[[#This Row],[Odczyt licznika]]-B156</f>
        <v>295</v>
      </c>
      <c r="D157">
        <f>YEAR(gaz[[#This Row],[Data odczytu]])</f>
        <v>2014</v>
      </c>
      <c r="E157" t="str">
        <f>VLOOKUP(gaz[[#This Row],[Rok]],cena_gazu__2[],2)</f>
        <v>1,23</v>
      </c>
      <c r="F157" s="2">
        <f>IF(gaz[[#This Row],[Zuzycie]]&lt;100,70,IF(AND(gaz[[#This Row],[Zuzycie]]&gt;=100,gaz[[#This Row],[Zuzycie]]&lt;=200),90,120))</f>
        <v>120</v>
      </c>
      <c r="G157" s="2" t="e">
        <f>gaz[[#This Row],[Cena]]+gaz[[#This Row],[Taryfa]]</f>
        <v>#VALUE!</v>
      </c>
    </row>
    <row r="158" spans="1:7" x14ac:dyDescent="0.25">
      <c r="A158" s="1">
        <v>42035</v>
      </c>
      <c r="B158">
        <v>26808</v>
      </c>
      <c r="C158">
        <f>gaz[[#This Row],[Odczyt licznika]]-B157</f>
        <v>330</v>
      </c>
      <c r="D158">
        <f>YEAR(gaz[[#This Row],[Data odczytu]])</f>
        <v>2015</v>
      </c>
      <c r="E158" t="str">
        <f>VLOOKUP(gaz[[#This Row],[Rok]],cena_gazu__2[],2)</f>
        <v>1,2</v>
      </c>
      <c r="F158" s="2">
        <f>IF(gaz[[#This Row],[Zuzycie]]&lt;100,70,IF(AND(gaz[[#This Row],[Zuzycie]]&gt;=100,gaz[[#This Row],[Zuzycie]]&lt;=200),90,120))</f>
        <v>120</v>
      </c>
      <c r="G158" s="2" t="e">
        <f>gaz[[#This Row],[Cena]]+gaz[[#This Row],[Taryfa]]</f>
        <v>#VALUE!</v>
      </c>
    </row>
    <row r="159" spans="1:7" x14ac:dyDescent="0.25">
      <c r="A159" s="1">
        <v>42063</v>
      </c>
      <c r="B159">
        <v>27156</v>
      </c>
      <c r="C159">
        <f>gaz[[#This Row],[Odczyt licznika]]-B158</f>
        <v>348</v>
      </c>
      <c r="D159">
        <f>YEAR(gaz[[#This Row],[Data odczytu]])</f>
        <v>2015</v>
      </c>
      <c r="E159" t="str">
        <f>VLOOKUP(gaz[[#This Row],[Rok]],cena_gazu__2[],2)</f>
        <v>1,2</v>
      </c>
      <c r="F159" s="2">
        <f>IF(gaz[[#This Row],[Zuzycie]]&lt;100,70,IF(AND(gaz[[#This Row],[Zuzycie]]&gt;=100,gaz[[#This Row],[Zuzycie]]&lt;=200),90,120))</f>
        <v>120</v>
      </c>
      <c r="G159" s="2" t="e">
        <f>gaz[[#This Row],[Cena]]+gaz[[#This Row],[Taryfa]]</f>
        <v>#VALUE!</v>
      </c>
    </row>
    <row r="160" spans="1:7" x14ac:dyDescent="0.25">
      <c r="A160" s="1">
        <v>42094</v>
      </c>
      <c r="B160">
        <v>27366</v>
      </c>
      <c r="C160">
        <f>gaz[[#This Row],[Odczyt licznika]]-B159</f>
        <v>210</v>
      </c>
      <c r="D160">
        <f>YEAR(gaz[[#This Row],[Data odczytu]])</f>
        <v>2015</v>
      </c>
      <c r="E160" t="str">
        <f>VLOOKUP(gaz[[#This Row],[Rok]],cena_gazu__2[],2)</f>
        <v>1,2</v>
      </c>
      <c r="F160" s="2">
        <f>IF(gaz[[#This Row],[Zuzycie]]&lt;100,70,IF(AND(gaz[[#This Row],[Zuzycie]]&gt;=100,gaz[[#This Row],[Zuzycie]]&lt;=200),90,120))</f>
        <v>120</v>
      </c>
      <c r="G160" s="2" t="e">
        <f>gaz[[#This Row],[Cena]]+gaz[[#This Row],[Taryfa]]</f>
        <v>#VALUE!</v>
      </c>
    </row>
    <row r="161" spans="1:7" x14ac:dyDescent="0.25">
      <c r="A161" s="1">
        <v>42124</v>
      </c>
      <c r="B161">
        <v>27501</v>
      </c>
      <c r="C161">
        <f>gaz[[#This Row],[Odczyt licznika]]-B160</f>
        <v>135</v>
      </c>
      <c r="D161">
        <f>YEAR(gaz[[#This Row],[Data odczytu]])</f>
        <v>2015</v>
      </c>
      <c r="E161" t="str">
        <f>VLOOKUP(gaz[[#This Row],[Rok]],cena_gazu__2[],2)</f>
        <v>1,2</v>
      </c>
      <c r="F161" s="2">
        <f>IF(gaz[[#This Row],[Zuzycie]]&lt;100,70,IF(AND(gaz[[#This Row],[Zuzycie]]&gt;=100,gaz[[#This Row],[Zuzycie]]&lt;=200),90,120))</f>
        <v>90</v>
      </c>
      <c r="G161" s="2" t="e">
        <f>gaz[[#This Row],[Cena]]+gaz[[#This Row],[Taryfa]]</f>
        <v>#VALUE!</v>
      </c>
    </row>
    <row r="162" spans="1:7" x14ac:dyDescent="0.25">
      <c r="A162" s="1">
        <v>42155</v>
      </c>
      <c r="B162">
        <v>27661</v>
      </c>
      <c r="C162">
        <f>gaz[[#This Row],[Odczyt licznika]]-B161</f>
        <v>160</v>
      </c>
      <c r="D162">
        <f>YEAR(gaz[[#This Row],[Data odczytu]])</f>
        <v>2015</v>
      </c>
      <c r="E162" t="str">
        <f>VLOOKUP(gaz[[#This Row],[Rok]],cena_gazu__2[],2)</f>
        <v>1,2</v>
      </c>
      <c r="F162" s="2">
        <f>IF(gaz[[#This Row],[Zuzycie]]&lt;100,70,IF(AND(gaz[[#This Row],[Zuzycie]]&gt;=100,gaz[[#This Row],[Zuzycie]]&lt;=200),90,120))</f>
        <v>90</v>
      </c>
      <c r="G162" s="2" t="e">
        <f>gaz[[#This Row],[Cena]]+gaz[[#This Row],[Taryfa]]</f>
        <v>#VALUE!</v>
      </c>
    </row>
    <row r="163" spans="1:7" x14ac:dyDescent="0.25">
      <c r="A163" s="1">
        <v>42185</v>
      </c>
      <c r="B163">
        <v>27752</v>
      </c>
      <c r="C163">
        <f>gaz[[#This Row],[Odczyt licznika]]-B162</f>
        <v>91</v>
      </c>
      <c r="D163">
        <f>YEAR(gaz[[#This Row],[Data odczytu]])</f>
        <v>2015</v>
      </c>
      <c r="E163" t="str">
        <f>VLOOKUP(gaz[[#This Row],[Rok]],cena_gazu__2[],2)</f>
        <v>1,2</v>
      </c>
      <c r="F163" s="2">
        <f>IF(gaz[[#This Row],[Zuzycie]]&lt;100,70,IF(AND(gaz[[#This Row],[Zuzycie]]&gt;=100,gaz[[#This Row],[Zuzycie]]&lt;=200),90,120))</f>
        <v>70</v>
      </c>
      <c r="G163" s="2" t="e">
        <f>gaz[[#This Row],[Cena]]+gaz[[#This Row],[Taryfa]]</f>
        <v>#VALUE!</v>
      </c>
    </row>
    <row r="164" spans="1:7" x14ac:dyDescent="0.25">
      <c r="A164" s="1">
        <v>42216</v>
      </c>
      <c r="B164">
        <v>27767</v>
      </c>
      <c r="C164">
        <f>gaz[[#This Row],[Odczyt licznika]]-B163</f>
        <v>15</v>
      </c>
      <c r="D164">
        <f>YEAR(gaz[[#This Row],[Data odczytu]])</f>
        <v>2015</v>
      </c>
      <c r="E164" t="str">
        <f>VLOOKUP(gaz[[#This Row],[Rok]],cena_gazu__2[],2)</f>
        <v>1,2</v>
      </c>
      <c r="F164" s="2">
        <f>IF(gaz[[#This Row],[Zuzycie]]&lt;100,70,IF(AND(gaz[[#This Row],[Zuzycie]]&gt;=100,gaz[[#This Row],[Zuzycie]]&lt;=200),90,120))</f>
        <v>70</v>
      </c>
      <c r="G164" s="2" t="e">
        <f>gaz[[#This Row],[Cena]]+gaz[[#This Row],[Taryfa]]</f>
        <v>#VALUE!</v>
      </c>
    </row>
    <row r="165" spans="1:7" x14ac:dyDescent="0.25">
      <c r="A165" s="1">
        <v>42247</v>
      </c>
      <c r="B165">
        <v>27783</v>
      </c>
      <c r="C165">
        <f>gaz[[#This Row],[Odczyt licznika]]-B164</f>
        <v>16</v>
      </c>
      <c r="D165">
        <f>YEAR(gaz[[#This Row],[Data odczytu]])</f>
        <v>2015</v>
      </c>
      <c r="E165" t="str">
        <f>VLOOKUP(gaz[[#This Row],[Rok]],cena_gazu__2[],2)</f>
        <v>1,2</v>
      </c>
      <c r="F165" s="2">
        <f>IF(gaz[[#This Row],[Zuzycie]]&lt;100,70,IF(AND(gaz[[#This Row],[Zuzycie]]&gt;=100,gaz[[#This Row],[Zuzycie]]&lt;=200),90,120))</f>
        <v>70</v>
      </c>
      <c r="G165" s="2" t="e">
        <f>gaz[[#This Row],[Cena]]+gaz[[#This Row],[Taryfa]]</f>
        <v>#VALUE!</v>
      </c>
    </row>
    <row r="166" spans="1:7" x14ac:dyDescent="0.25">
      <c r="A166" s="1">
        <v>42277</v>
      </c>
      <c r="B166">
        <v>27857</v>
      </c>
      <c r="C166">
        <f>gaz[[#This Row],[Odczyt licznika]]-B165</f>
        <v>74</v>
      </c>
      <c r="D166">
        <f>YEAR(gaz[[#This Row],[Data odczytu]])</f>
        <v>2015</v>
      </c>
      <c r="E166" t="str">
        <f>VLOOKUP(gaz[[#This Row],[Rok]],cena_gazu__2[],2)</f>
        <v>1,2</v>
      </c>
      <c r="F166" s="2">
        <f>IF(gaz[[#This Row],[Zuzycie]]&lt;100,70,IF(AND(gaz[[#This Row],[Zuzycie]]&gt;=100,gaz[[#This Row],[Zuzycie]]&lt;=200),90,120))</f>
        <v>70</v>
      </c>
      <c r="G166" s="2" t="e">
        <f>gaz[[#This Row],[Cena]]+gaz[[#This Row],[Taryfa]]</f>
        <v>#VALUE!</v>
      </c>
    </row>
    <row r="167" spans="1:7" x14ac:dyDescent="0.25">
      <c r="A167" s="1">
        <v>42308</v>
      </c>
      <c r="B167">
        <v>27978</v>
      </c>
      <c r="C167">
        <f>gaz[[#This Row],[Odczyt licznika]]-B166</f>
        <v>121</v>
      </c>
      <c r="D167">
        <f>YEAR(gaz[[#This Row],[Data odczytu]])</f>
        <v>2015</v>
      </c>
      <c r="E167" t="str">
        <f>VLOOKUP(gaz[[#This Row],[Rok]],cena_gazu__2[],2)</f>
        <v>1,2</v>
      </c>
      <c r="F167" s="2">
        <f>IF(gaz[[#This Row],[Zuzycie]]&lt;100,70,IF(AND(gaz[[#This Row],[Zuzycie]]&gt;=100,gaz[[#This Row],[Zuzycie]]&lt;=200),90,120))</f>
        <v>90</v>
      </c>
      <c r="G167" s="2" t="e">
        <f>gaz[[#This Row],[Cena]]+gaz[[#This Row],[Taryfa]]</f>
        <v>#VALUE!</v>
      </c>
    </row>
    <row r="168" spans="1:7" x14ac:dyDescent="0.25">
      <c r="A168" s="1">
        <v>42338</v>
      </c>
      <c r="B168">
        <v>28103</v>
      </c>
      <c r="C168">
        <f>gaz[[#This Row],[Odczyt licznika]]-B167</f>
        <v>125</v>
      </c>
      <c r="D168">
        <f>YEAR(gaz[[#This Row],[Data odczytu]])</f>
        <v>2015</v>
      </c>
      <c r="E168" t="str">
        <f>VLOOKUP(gaz[[#This Row],[Rok]],cena_gazu__2[],2)</f>
        <v>1,2</v>
      </c>
      <c r="F168" s="2">
        <f>IF(gaz[[#This Row],[Zuzycie]]&lt;100,70,IF(AND(gaz[[#This Row],[Zuzycie]]&gt;=100,gaz[[#This Row],[Zuzycie]]&lt;=200),90,120))</f>
        <v>90</v>
      </c>
      <c r="G168" s="2" t="e">
        <f>gaz[[#This Row],[Cena]]+gaz[[#This Row],[Taryfa]]</f>
        <v>#VALUE!</v>
      </c>
    </row>
    <row r="169" spans="1:7" x14ac:dyDescent="0.25">
      <c r="A169" s="1">
        <v>42369</v>
      </c>
      <c r="B169">
        <v>28326</v>
      </c>
      <c r="C169">
        <f>gaz[[#This Row],[Odczyt licznika]]-B168</f>
        <v>223</v>
      </c>
      <c r="D169">
        <f>YEAR(gaz[[#This Row],[Data odczytu]])</f>
        <v>2015</v>
      </c>
      <c r="E169" t="str">
        <f>VLOOKUP(gaz[[#This Row],[Rok]],cena_gazu__2[],2)</f>
        <v>1,2</v>
      </c>
      <c r="F169" s="2">
        <f>IF(gaz[[#This Row],[Zuzycie]]&lt;100,70,IF(AND(gaz[[#This Row],[Zuzycie]]&gt;=100,gaz[[#This Row],[Zuzycie]]&lt;=200),90,120))</f>
        <v>120</v>
      </c>
      <c r="G169" s="2" t="e">
        <f>gaz[[#This Row],[Cena]]+gaz[[#This Row],[Taryfa]]</f>
        <v>#VALUE!</v>
      </c>
    </row>
    <row r="170" spans="1:7" x14ac:dyDescent="0.25">
      <c r="A170" s="1">
        <v>42400</v>
      </c>
      <c r="B170">
        <v>28631</v>
      </c>
      <c r="C170">
        <f>gaz[[#This Row],[Odczyt licznika]]-B169</f>
        <v>305</v>
      </c>
      <c r="D170">
        <f>YEAR(gaz[[#This Row],[Data odczytu]])</f>
        <v>2016</v>
      </c>
      <c r="E170" t="str">
        <f>VLOOKUP(gaz[[#This Row],[Rok]],cena_gazu__2[],2)</f>
        <v>1,21</v>
      </c>
      <c r="F170" s="2">
        <f>IF(gaz[[#This Row],[Zuzycie]]&lt;100,70,IF(AND(gaz[[#This Row],[Zuzycie]]&gt;=100,gaz[[#This Row],[Zuzycie]]&lt;=200),90,120))</f>
        <v>120</v>
      </c>
      <c r="G170" s="2" t="e">
        <f>gaz[[#This Row],[Cena]]+gaz[[#This Row],[Taryfa]]</f>
        <v>#VALUE!</v>
      </c>
    </row>
    <row r="171" spans="1:7" x14ac:dyDescent="0.25">
      <c r="A171" s="1">
        <v>42428</v>
      </c>
      <c r="B171">
        <v>28931</v>
      </c>
      <c r="C171">
        <f>gaz[[#This Row],[Odczyt licznika]]-B170</f>
        <v>300</v>
      </c>
      <c r="D171">
        <f>YEAR(gaz[[#This Row],[Data odczytu]])</f>
        <v>2016</v>
      </c>
      <c r="E171" t="str">
        <f>VLOOKUP(gaz[[#This Row],[Rok]],cena_gazu__2[],2)</f>
        <v>1,21</v>
      </c>
      <c r="F171" s="2">
        <f>IF(gaz[[#This Row],[Zuzycie]]&lt;100,70,IF(AND(gaz[[#This Row],[Zuzycie]]&gt;=100,gaz[[#This Row],[Zuzycie]]&lt;=200),90,120))</f>
        <v>120</v>
      </c>
      <c r="G171" s="2" t="e">
        <f>gaz[[#This Row],[Cena]]+gaz[[#This Row],[Taryfa]]</f>
        <v>#VALUE!</v>
      </c>
    </row>
    <row r="172" spans="1:7" x14ac:dyDescent="0.25">
      <c r="A172" s="1">
        <v>42460</v>
      </c>
      <c r="B172">
        <v>29165</v>
      </c>
      <c r="C172">
        <f>gaz[[#This Row],[Odczyt licznika]]-B171</f>
        <v>234</v>
      </c>
      <c r="D172">
        <f>YEAR(gaz[[#This Row],[Data odczytu]])</f>
        <v>2016</v>
      </c>
      <c r="E172" t="str">
        <f>VLOOKUP(gaz[[#This Row],[Rok]],cena_gazu__2[],2)</f>
        <v>1,21</v>
      </c>
      <c r="F172" s="2">
        <f>IF(gaz[[#This Row],[Zuzycie]]&lt;100,70,IF(AND(gaz[[#This Row],[Zuzycie]]&gt;=100,gaz[[#This Row],[Zuzycie]]&lt;=200),90,120))</f>
        <v>120</v>
      </c>
      <c r="G172" s="2" t="e">
        <f>gaz[[#This Row],[Cena]]+gaz[[#This Row],[Taryfa]]</f>
        <v>#VALUE!</v>
      </c>
    </row>
    <row r="173" spans="1:7" x14ac:dyDescent="0.25">
      <c r="A173" s="1">
        <v>42490</v>
      </c>
      <c r="B173">
        <v>29279</v>
      </c>
      <c r="C173">
        <f>gaz[[#This Row],[Odczyt licznika]]-B172</f>
        <v>114</v>
      </c>
      <c r="D173">
        <f>YEAR(gaz[[#This Row],[Data odczytu]])</f>
        <v>2016</v>
      </c>
      <c r="E173" t="str">
        <f>VLOOKUP(gaz[[#This Row],[Rok]],cena_gazu__2[],2)</f>
        <v>1,21</v>
      </c>
      <c r="F173" s="2">
        <f>IF(gaz[[#This Row],[Zuzycie]]&lt;100,70,IF(AND(gaz[[#This Row],[Zuzycie]]&gt;=100,gaz[[#This Row],[Zuzycie]]&lt;=200),90,120))</f>
        <v>90</v>
      </c>
      <c r="G173" s="2" t="e">
        <f>gaz[[#This Row],[Cena]]+gaz[[#This Row],[Taryfa]]</f>
        <v>#VALUE!</v>
      </c>
    </row>
    <row r="174" spans="1:7" x14ac:dyDescent="0.25">
      <c r="A174" s="1">
        <v>42521</v>
      </c>
      <c r="B174">
        <v>29381</v>
      </c>
      <c r="C174">
        <f>gaz[[#This Row],[Odczyt licznika]]-B173</f>
        <v>102</v>
      </c>
      <c r="D174">
        <f>YEAR(gaz[[#This Row],[Data odczytu]])</f>
        <v>2016</v>
      </c>
      <c r="E174" t="str">
        <f>VLOOKUP(gaz[[#This Row],[Rok]],cena_gazu__2[],2)</f>
        <v>1,21</v>
      </c>
      <c r="F174" s="2">
        <f>IF(gaz[[#This Row],[Zuzycie]]&lt;100,70,IF(AND(gaz[[#This Row],[Zuzycie]]&gt;=100,gaz[[#This Row],[Zuzycie]]&lt;=200),90,120))</f>
        <v>90</v>
      </c>
      <c r="G174" s="2" t="e">
        <f>gaz[[#This Row],[Cena]]+gaz[[#This Row],[Taryfa]]</f>
        <v>#VALUE!</v>
      </c>
    </row>
    <row r="175" spans="1:7" x14ac:dyDescent="0.25">
      <c r="A175" s="1">
        <v>42551</v>
      </c>
      <c r="B175">
        <v>29409</v>
      </c>
      <c r="C175">
        <f>gaz[[#This Row],[Odczyt licznika]]-B174</f>
        <v>28</v>
      </c>
      <c r="D175">
        <f>YEAR(gaz[[#This Row],[Data odczytu]])</f>
        <v>2016</v>
      </c>
      <c r="E175" t="str">
        <f>VLOOKUP(gaz[[#This Row],[Rok]],cena_gazu__2[],2)</f>
        <v>1,21</v>
      </c>
      <c r="F175" s="2">
        <f>IF(gaz[[#This Row],[Zuzycie]]&lt;100,70,IF(AND(gaz[[#This Row],[Zuzycie]]&gt;=100,gaz[[#This Row],[Zuzycie]]&lt;=200),90,120))</f>
        <v>70</v>
      </c>
      <c r="G175" s="2" t="e">
        <f>gaz[[#This Row],[Cena]]+gaz[[#This Row],[Taryfa]]</f>
        <v>#VALUE!</v>
      </c>
    </row>
    <row r="176" spans="1:7" x14ac:dyDescent="0.25">
      <c r="A176" s="1">
        <v>42582</v>
      </c>
      <c r="B176">
        <v>29427</v>
      </c>
      <c r="C176">
        <f>gaz[[#This Row],[Odczyt licznika]]-B175</f>
        <v>18</v>
      </c>
      <c r="D176">
        <f>YEAR(gaz[[#This Row],[Data odczytu]])</f>
        <v>2016</v>
      </c>
      <c r="E176" t="str">
        <f>VLOOKUP(gaz[[#This Row],[Rok]],cena_gazu__2[],2)</f>
        <v>1,21</v>
      </c>
      <c r="F176" s="2">
        <f>IF(gaz[[#This Row],[Zuzycie]]&lt;100,70,IF(AND(gaz[[#This Row],[Zuzycie]]&gt;=100,gaz[[#This Row],[Zuzycie]]&lt;=200),90,120))</f>
        <v>70</v>
      </c>
      <c r="G176" s="2" t="e">
        <f>gaz[[#This Row],[Cena]]+gaz[[#This Row],[Taryfa]]</f>
        <v>#VALUE!</v>
      </c>
    </row>
    <row r="177" spans="1:7" x14ac:dyDescent="0.25">
      <c r="A177" s="1">
        <v>42613</v>
      </c>
      <c r="B177">
        <v>29440</v>
      </c>
      <c r="C177">
        <f>gaz[[#This Row],[Odczyt licznika]]-B176</f>
        <v>13</v>
      </c>
      <c r="D177">
        <f>YEAR(gaz[[#This Row],[Data odczytu]])</f>
        <v>2016</v>
      </c>
      <c r="E177" t="str">
        <f>VLOOKUP(gaz[[#This Row],[Rok]],cena_gazu__2[],2)</f>
        <v>1,21</v>
      </c>
      <c r="F177" s="2">
        <f>IF(gaz[[#This Row],[Zuzycie]]&lt;100,70,IF(AND(gaz[[#This Row],[Zuzycie]]&gt;=100,gaz[[#This Row],[Zuzycie]]&lt;=200),90,120))</f>
        <v>70</v>
      </c>
      <c r="G177" s="2" t="e">
        <f>gaz[[#This Row],[Cena]]+gaz[[#This Row],[Taryfa]]</f>
        <v>#VALUE!</v>
      </c>
    </row>
    <row r="178" spans="1:7" x14ac:dyDescent="0.25">
      <c r="A178" s="1">
        <v>42643</v>
      </c>
      <c r="B178">
        <v>29574</v>
      </c>
      <c r="C178">
        <f>gaz[[#This Row],[Odczyt licznika]]-B177</f>
        <v>134</v>
      </c>
      <c r="D178">
        <f>YEAR(gaz[[#This Row],[Data odczytu]])</f>
        <v>2016</v>
      </c>
      <c r="E178" t="str">
        <f>VLOOKUP(gaz[[#This Row],[Rok]],cena_gazu__2[],2)</f>
        <v>1,21</v>
      </c>
      <c r="F178" s="2">
        <f>IF(gaz[[#This Row],[Zuzycie]]&lt;100,70,IF(AND(gaz[[#This Row],[Zuzycie]]&gt;=100,gaz[[#This Row],[Zuzycie]]&lt;=200),90,120))</f>
        <v>90</v>
      </c>
      <c r="G178" s="2" t="e">
        <f>gaz[[#This Row],[Cena]]+gaz[[#This Row],[Taryfa]]</f>
        <v>#VALUE!</v>
      </c>
    </row>
    <row r="179" spans="1:7" x14ac:dyDescent="0.25">
      <c r="A179" s="1">
        <v>42674</v>
      </c>
      <c r="B179">
        <v>29743</v>
      </c>
      <c r="C179">
        <f>gaz[[#This Row],[Odczyt licznika]]-B178</f>
        <v>169</v>
      </c>
      <c r="D179">
        <f>YEAR(gaz[[#This Row],[Data odczytu]])</f>
        <v>2016</v>
      </c>
      <c r="E179" t="str">
        <f>VLOOKUP(gaz[[#This Row],[Rok]],cena_gazu__2[],2)</f>
        <v>1,21</v>
      </c>
      <c r="F179" s="2">
        <f>IF(gaz[[#This Row],[Zuzycie]]&lt;100,70,IF(AND(gaz[[#This Row],[Zuzycie]]&gt;=100,gaz[[#This Row],[Zuzycie]]&lt;=200),90,120))</f>
        <v>90</v>
      </c>
      <c r="G179" s="2" t="e">
        <f>gaz[[#This Row],[Cena]]+gaz[[#This Row],[Taryfa]]</f>
        <v>#VALUE!</v>
      </c>
    </row>
    <row r="180" spans="1:7" x14ac:dyDescent="0.25">
      <c r="A180" s="1">
        <v>42704</v>
      </c>
      <c r="B180">
        <v>30031</v>
      </c>
      <c r="C180">
        <f>gaz[[#This Row],[Odczyt licznika]]-B179</f>
        <v>288</v>
      </c>
      <c r="D180">
        <f>YEAR(gaz[[#This Row],[Data odczytu]])</f>
        <v>2016</v>
      </c>
      <c r="E180" t="str">
        <f>VLOOKUP(gaz[[#This Row],[Rok]],cena_gazu__2[],2)</f>
        <v>1,21</v>
      </c>
      <c r="F180" s="2">
        <f>IF(gaz[[#This Row],[Zuzycie]]&lt;100,70,IF(AND(gaz[[#This Row],[Zuzycie]]&gt;=100,gaz[[#This Row],[Zuzycie]]&lt;=200),90,120))</f>
        <v>120</v>
      </c>
      <c r="G180" s="2" t="e">
        <f>gaz[[#This Row],[Cena]]+gaz[[#This Row],[Taryfa]]</f>
        <v>#VALUE!</v>
      </c>
    </row>
    <row r="181" spans="1:7" x14ac:dyDescent="0.25">
      <c r="A181" s="1">
        <v>42735</v>
      </c>
      <c r="B181">
        <v>30314</v>
      </c>
      <c r="C181">
        <f>gaz[[#This Row],[Odczyt licznika]]-B180</f>
        <v>283</v>
      </c>
      <c r="D181">
        <f>YEAR(gaz[[#This Row],[Data odczytu]])</f>
        <v>2016</v>
      </c>
      <c r="E181" t="str">
        <f>VLOOKUP(gaz[[#This Row],[Rok]],cena_gazu__2[],2)</f>
        <v>1,21</v>
      </c>
      <c r="F181" s="2">
        <f>IF(gaz[[#This Row],[Zuzycie]]&lt;100,70,IF(AND(gaz[[#This Row],[Zuzycie]]&gt;=100,gaz[[#This Row],[Zuzycie]]&lt;=200),90,120))</f>
        <v>120</v>
      </c>
      <c r="G181" s="2" t="e">
        <f>gaz[[#This Row],[Cena]]+gaz[[#This Row],[Taryfa]]</f>
        <v>#VALUE!</v>
      </c>
    </row>
    <row r="182" spans="1:7" x14ac:dyDescent="0.25">
      <c r="A182" s="1">
        <v>42766</v>
      </c>
      <c r="B182">
        <v>30630</v>
      </c>
      <c r="C182">
        <f>gaz[[#This Row],[Odczyt licznika]]-B181</f>
        <v>316</v>
      </c>
      <c r="D182">
        <f>YEAR(gaz[[#This Row],[Data odczytu]])</f>
        <v>2017</v>
      </c>
      <c r="E182" t="str">
        <f>VLOOKUP(gaz[[#This Row],[Rok]],cena_gazu__2[],2)</f>
        <v>1,21</v>
      </c>
      <c r="F182" s="2">
        <f>IF(gaz[[#This Row],[Zuzycie]]&lt;100,70,IF(AND(gaz[[#This Row],[Zuzycie]]&gt;=100,gaz[[#This Row],[Zuzycie]]&lt;=200),90,120))</f>
        <v>120</v>
      </c>
      <c r="G182" s="2" t="e">
        <f>gaz[[#This Row],[Cena]]+gaz[[#This Row],[Taryfa]]</f>
        <v>#VALUE!</v>
      </c>
    </row>
    <row r="183" spans="1:7" x14ac:dyDescent="0.25">
      <c r="A183" s="1">
        <v>42794</v>
      </c>
      <c r="B183">
        <v>30964</v>
      </c>
      <c r="C183">
        <f>gaz[[#This Row],[Odczyt licznika]]-B182</f>
        <v>334</v>
      </c>
      <c r="D183">
        <f>YEAR(gaz[[#This Row],[Data odczytu]])</f>
        <v>2017</v>
      </c>
      <c r="E183" t="str">
        <f>VLOOKUP(gaz[[#This Row],[Rok]],cena_gazu__2[],2)</f>
        <v>1,21</v>
      </c>
      <c r="F183" s="2">
        <f>IF(gaz[[#This Row],[Zuzycie]]&lt;100,70,IF(AND(gaz[[#This Row],[Zuzycie]]&gt;=100,gaz[[#This Row],[Zuzycie]]&lt;=200),90,120))</f>
        <v>120</v>
      </c>
      <c r="G183" s="2" t="e">
        <f>gaz[[#This Row],[Cena]]+gaz[[#This Row],[Taryfa]]</f>
        <v>#VALUE!</v>
      </c>
    </row>
    <row r="184" spans="1:7" x14ac:dyDescent="0.25">
      <c r="A184" s="1">
        <v>42825</v>
      </c>
      <c r="B184">
        <v>31166</v>
      </c>
      <c r="C184">
        <f>gaz[[#This Row],[Odczyt licznika]]-B183</f>
        <v>202</v>
      </c>
      <c r="D184">
        <f>YEAR(gaz[[#This Row],[Data odczytu]])</f>
        <v>2017</v>
      </c>
      <c r="E184" t="str">
        <f>VLOOKUP(gaz[[#This Row],[Rok]],cena_gazu__2[],2)</f>
        <v>1,21</v>
      </c>
      <c r="F184" s="2">
        <f>IF(gaz[[#This Row],[Zuzycie]]&lt;100,70,IF(AND(gaz[[#This Row],[Zuzycie]]&gt;=100,gaz[[#This Row],[Zuzycie]]&lt;=200),90,120))</f>
        <v>120</v>
      </c>
      <c r="G184" s="2" t="e">
        <f>gaz[[#This Row],[Cena]]+gaz[[#This Row],[Taryfa]]</f>
        <v>#VALUE!</v>
      </c>
    </row>
    <row r="185" spans="1:7" x14ac:dyDescent="0.25">
      <c r="A185" s="1">
        <v>42855</v>
      </c>
      <c r="B185">
        <v>31296</v>
      </c>
      <c r="C185">
        <f>gaz[[#This Row],[Odczyt licznika]]-B184</f>
        <v>130</v>
      </c>
      <c r="D185">
        <f>YEAR(gaz[[#This Row],[Data odczytu]])</f>
        <v>2017</v>
      </c>
      <c r="E185" t="str">
        <f>VLOOKUP(gaz[[#This Row],[Rok]],cena_gazu__2[],2)</f>
        <v>1,21</v>
      </c>
      <c r="F185" s="2">
        <f>IF(gaz[[#This Row],[Zuzycie]]&lt;100,70,IF(AND(gaz[[#This Row],[Zuzycie]]&gt;=100,gaz[[#This Row],[Zuzycie]]&lt;=200),90,120))</f>
        <v>90</v>
      </c>
      <c r="G185" s="2" t="e">
        <f>gaz[[#This Row],[Cena]]+gaz[[#This Row],[Taryfa]]</f>
        <v>#VALUE!</v>
      </c>
    </row>
    <row r="186" spans="1:7" x14ac:dyDescent="0.25">
      <c r="A186" s="1">
        <v>42886</v>
      </c>
      <c r="B186">
        <v>31449</v>
      </c>
      <c r="C186">
        <f>gaz[[#This Row],[Odczyt licznika]]-B185</f>
        <v>153</v>
      </c>
      <c r="D186">
        <f>YEAR(gaz[[#This Row],[Data odczytu]])</f>
        <v>2017</v>
      </c>
      <c r="E186" t="str">
        <f>VLOOKUP(gaz[[#This Row],[Rok]],cena_gazu__2[],2)</f>
        <v>1,21</v>
      </c>
      <c r="F186" s="2">
        <f>IF(gaz[[#This Row],[Zuzycie]]&lt;100,70,IF(AND(gaz[[#This Row],[Zuzycie]]&gt;=100,gaz[[#This Row],[Zuzycie]]&lt;=200),90,120))</f>
        <v>90</v>
      </c>
      <c r="G186" s="2" t="e">
        <f>gaz[[#This Row],[Cena]]+gaz[[#This Row],[Taryfa]]</f>
        <v>#VALUE!</v>
      </c>
    </row>
    <row r="187" spans="1:7" x14ac:dyDescent="0.25">
      <c r="A187" s="1">
        <v>42916</v>
      </c>
      <c r="B187">
        <v>31535</v>
      </c>
      <c r="C187">
        <f>gaz[[#This Row],[Odczyt licznika]]-B186</f>
        <v>86</v>
      </c>
      <c r="D187">
        <f>YEAR(gaz[[#This Row],[Data odczytu]])</f>
        <v>2017</v>
      </c>
      <c r="E187" t="str">
        <f>VLOOKUP(gaz[[#This Row],[Rok]],cena_gazu__2[],2)</f>
        <v>1,21</v>
      </c>
      <c r="F187" s="2">
        <f>IF(gaz[[#This Row],[Zuzycie]]&lt;100,70,IF(AND(gaz[[#This Row],[Zuzycie]]&gt;=100,gaz[[#This Row],[Zuzycie]]&lt;=200),90,120))</f>
        <v>70</v>
      </c>
      <c r="G187" s="2" t="e">
        <f>gaz[[#This Row],[Cena]]+gaz[[#This Row],[Taryfa]]</f>
        <v>#VALUE!</v>
      </c>
    </row>
    <row r="188" spans="1:7" x14ac:dyDescent="0.25">
      <c r="A188" s="1">
        <v>42947</v>
      </c>
      <c r="B188">
        <v>31550</v>
      </c>
      <c r="C188">
        <f>gaz[[#This Row],[Odczyt licznika]]-B187</f>
        <v>15</v>
      </c>
      <c r="D188">
        <f>YEAR(gaz[[#This Row],[Data odczytu]])</f>
        <v>2017</v>
      </c>
      <c r="E188" t="str">
        <f>VLOOKUP(gaz[[#This Row],[Rok]],cena_gazu__2[],2)</f>
        <v>1,21</v>
      </c>
      <c r="F188" s="2">
        <f>IF(gaz[[#This Row],[Zuzycie]]&lt;100,70,IF(AND(gaz[[#This Row],[Zuzycie]]&gt;=100,gaz[[#This Row],[Zuzycie]]&lt;=200),90,120))</f>
        <v>70</v>
      </c>
      <c r="G188" s="2" t="e">
        <f>gaz[[#This Row],[Cena]]+gaz[[#This Row],[Taryfa]]</f>
        <v>#VALUE!</v>
      </c>
    </row>
    <row r="189" spans="1:7" x14ac:dyDescent="0.25">
      <c r="A189" s="1">
        <v>42978</v>
      </c>
      <c r="B189">
        <v>31565</v>
      </c>
      <c r="C189">
        <f>gaz[[#This Row],[Odczyt licznika]]-B188</f>
        <v>15</v>
      </c>
      <c r="D189">
        <f>YEAR(gaz[[#This Row],[Data odczytu]])</f>
        <v>2017</v>
      </c>
      <c r="E189" t="str">
        <f>VLOOKUP(gaz[[#This Row],[Rok]],cena_gazu__2[],2)</f>
        <v>1,21</v>
      </c>
      <c r="F189" s="2">
        <f>IF(gaz[[#This Row],[Zuzycie]]&lt;100,70,IF(AND(gaz[[#This Row],[Zuzycie]]&gt;=100,gaz[[#This Row],[Zuzycie]]&lt;=200),90,120))</f>
        <v>70</v>
      </c>
      <c r="G189" s="2" t="e">
        <f>gaz[[#This Row],[Cena]]+gaz[[#This Row],[Taryfa]]</f>
        <v>#VALUE!</v>
      </c>
    </row>
    <row r="190" spans="1:7" x14ac:dyDescent="0.25">
      <c r="A190" s="1">
        <v>43008</v>
      </c>
      <c r="B190">
        <v>31635</v>
      </c>
      <c r="C190">
        <f>gaz[[#This Row],[Odczyt licznika]]-B189</f>
        <v>70</v>
      </c>
      <c r="D190">
        <f>YEAR(gaz[[#This Row],[Data odczytu]])</f>
        <v>2017</v>
      </c>
      <c r="E190" t="str">
        <f>VLOOKUP(gaz[[#This Row],[Rok]],cena_gazu__2[],2)</f>
        <v>1,21</v>
      </c>
      <c r="F190" s="2">
        <f>IF(gaz[[#This Row],[Zuzycie]]&lt;100,70,IF(AND(gaz[[#This Row],[Zuzycie]]&gt;=100,gaz[[#This Row],[Zuzycie]]&lt;=200),90,120))</f>
        <v>70</v>
      </c>
      <c r="G190" s="2" t="e">
        <f>gaz[[#This Row],[Cena]]+gaz[[#This Row],[Taryfa]]</f>
        <v>#VALUE!</v>
      </c>
    </row>
    <row r="191" spans="1:7" x14ac:dyDescent="0.25">
      <c r="A191" s="1">
        <v>43039</v>
      </c>
      <c r="B191">
        <v>31751</v>
      </c>
      <c r="C191">
        <f>gaz[[#This Row],[Odczyt licznika]]-B190</f>
        <v>116</v>
      </c>
      <c r="D191">
        <f>YEAR(gaz[[#This Row],[Data odczytu]])</f>
        <v>2017</v>
      </c>
      <c r="E191" t="str">
        <f>VLOOKUP(gaz[[#This Row],[Rok]],cena_gazu__2[],2)</f>
        <v>1,21</v>
      </c>
      <c r="F191" s="2">
        <f>IF(gaz[[#This Row],[Zuzycie]]&lt;100,70,IF(AND(gaz[[#This Row],[Zuzycie]]&gt;=100,gaz[[#This Row],[Zuzycie]]&lt;=200),90,120))</f>
        <v>90</v>
      </c>
      <c r="G191" s="2" t="e">
        <f>gaz[[#This Row],[Cena]]+gaz[[#This Row],[Taryfa]]</f>
        <v>#VALUE!</v>
      </c>
    </row>
    <row r="192" spans="1:7" x14ac:dyDescent="0.25">
      <c r="A192" s="1">
        <v>43069</v>
      </c>
      <c r="B192">
        <v>31871</v>
      </c>
      <c r="C192">
        <f>gaz[[#This Row],[Odczyt licznika]]-B191</f>
        <v>120</v>
      </c>
      <c r="D192">
        <f>YEAR(gaz[[#This Row],[Data odczytu]])</f>
        <v>2017</v>
      </c>
      <c r="E192" t="str">
        <f>VLOOKUP(gaz[[#This Row],[Rok]],cena_gazu__2[],2)</f>
        <v>1,21</v>
      </c>
      <c r="F192" s="2">
        <f>IF(gaz[[#This Row],[Zuzycie]]&lt;100,70,IF(AND(gaz[[#This Row],[Zuzycie]]&gt;=100,gaz[[#This Row],[Zuzycie]]&lt;=200),90,120))</f>
        <v>90</v>
      </c>
      <c r="G192" s="2" t="e">
        <f>gaz[[#This Row],[Cena]]+gaz[[#This Row],[Taryfa]]</f>
        <v>#VALUE!</v>
      </c>
    </row>
    <row r="193" spans="1:7" x14ac:dyDescent="0.25">
      <c r="A193" s="1">
        <v>43100</v>
      </c>
      <c r="B193">
        <v>32085</v>
      </c>
      <c r="C193">
        <f>gaz[[#This Row],[Odczyt licznika]]-B192</f>
        <v>214</v>
      </c>
      <c r="D193">
        <f>YEAR(gaz[[#This Row],[Data odczytu]])</f>
        <v>2017</v>
      </c>
      <c r="E193" t="str">
        <f>VLOOKUP(gaz[[#This Row],[Rok]],cena_gazu__2[],2)</f>
        <v>1,21</v>
      </c>
      <c r="F193" s="2">
        <f>IF(gaz[[#This Row],[Zuzycie]]&lt;100,70,IF(AND(gaz[[#This Row],[Zuzycie]]&gt;=100,gaz[[#This Row],[Zuzycie]]&lt;=200),90,120))</f>
        <v>120</v>
      </c>
      <c r="G193" s="2" t="e">
        <f>gaz[[#This Row],[Cena]]+gaz[[#This Row],[Taryfa]]</f>
        <v>#VALUE!</v>
      </c>
    </row>
    <row r="194" spans="1:7" x14ac:dyDescent="0.25">
      <c r="A194" s="1">
        <v>43131</v>
      </c>
      <c r="B194">
        <v>32376</v>
      </c>
      <c r="C194">
        <f>gaz[[#This Row],[Odczyt licznika]]-B193</f>
        <v>291</v>
      </c>
      <c r="D194">
        <f>YEAR(gaz[[#This Row],[Data odczytu]])</f>
        <v>2018</v>
      </c>
      <c r="E194">
        <f>VLOOKUP(gaz[[#This Row],[Rok]],cena_gazu__2[],2)</f>
        <v>1.22</v>
      </c>
      <c r="F194" s="2">
        <f>IF(gaz[[#This Row],[Zuzycie]]&lt;100,70,IF(AND(gaz[[#This Row],[Zuzycie]]&gt;=100,gaz[[#This Row],[Zuzycie]]&lt;=200),90,120))</f>
        <v>120</v>
      </c>
      <c r="G194" s="2">
        <f>gaz[[#This Row],[Cena]]+gaz[[#This Row],[Taryfa]]</f>
        <v>121.22</v>
      </c>
    </row>
    <row r="195" spans="1:7" x14ac:dyDescent="0.25">
      <c r="A195" s="1">
        <v>43159</v>
      </c>
      <c r="B195">
        <v>32621</v>
      </c>
      <c r="C195">
        <f>gaz[[#This Row],[Odczyt licznika]]-B194</f>
        <v>245</v>
      </c>
      <c r="D195">
        <f>YEAR(gaz[[#This Row],[Data odczytu]])</f>
        <v>2018</v>
      </c>
      <c r="E195">
        <f>VLOOKUP(gaz[[#This Row],[Rok]],cena_gazu__2[],2)</f>
        <v>1.22</v>
      </c>
      <c r="F195" s="2">
        <f>IF(gaz[[#This Row],[Zuzycie]]&lt;100,70,IF(AND(gaz[[#This Row],[Zuzycie]]&gt;=100,gaz[[#This Row],[Zuzycie]]&lt;=200),90,120))</f>
        <v>120</v>
      </c>
      <c r="G195" s="2">
        <f>gaz[[#This Row],[Cena]]+gaz[[#This Row],[Taryfa]]</f>
        <v>121.22</v>
      </c>
    </row>
    <row r="196" spans="1:7" x14ac:dyDescent="0.25">
      <c r="A196" s="1">
        <v>43190</v>
      </c>
      <c r="B196">
        <v>32846</v>
      </c>
      <c r="C196">
        <f>gaz[[#This Row],[Odczyt licznika]]-B195</f>
        <v>225</v>
      </c>
      <c r="D196">
        <f>YEAR(gaz[[#This Row],[Data odczytu]])</f>
        <v>2018</v>
      </c>
      <c r="E196">
        <f>VLOOKUP(gaz[[#This Row],[Rok]],cena_gazu__2[],2)</f>
        <v>1.22</v>
      </c>
      <c r="F196" s="2">
        <f>IF(gaz[[#This Row],[Zuzycie]]&lt;100,70,IF(AND(gaz[[#This Row],[Zuzycie]]&gt;=100,gaz[[#This Row],[Zuzycie]]&lt;=200),90,120))</f>
        <v>120</v>
      </c>
      <c r="G196" s="2">
        <f>gaz[[#This Row],[Cena]]+gaz[[#This Row],[Taryfa]]</f>
        <v>121.22</v>
      </c>
    </row>
    <row r="197" spans="1:7" x14ac:dyDescent="0.25">
      <c r="A197" s="1">
        <v>43220</v>
      </c>
      <c r="B197">
        <v>32955</v>
      </c>
      <c r="C197">
        <f>gaz[[#This Row],[Odczyt licznika]]-B196</f>
        <v>109</v>
      </c>
      <c r="D197">
        <f>YEAR(gaz[[#This Row],[Data odczytu]])</f>
        <v>2018</v>
      </c>
      <c r="E197">
        <f>VLOOKUP(gaz[[#This Row],[Rok]],cena_gazu__2[],2)</f>
        <v>1.22</v>
      </c>
      <c r="F197" s="2">
        <f>IF(gaz[[#This Row],[Zuzycie]]&lt;100,70,IF(AND(gaz[[#This Row],[Zuzycie]]&gt;=100,gaz[[#This Row],[Zuzycie]]&lt;=200),90,120))</f>
        <v>90</v>
      </c>
      <c r="G197" s="2">
        <f>gaz[[#This Row],[Cena]]+gaz[[#This Row],[Taryfa]]</f>
        <v>91.22</v>
      </c>
    </row>
    <row r="198" spans="1:7" x14ac:dyDescent="0.25">
      <c r="A198" s="1">
        <v>43251</v>
      </c>
      <c r="B198">
        <v>33003</v>
      </c>
      <c r="C198">
        <f>gaz[[#This Row],[Odczyt licznika]]-B197</f>
        <v>48</v>
      </c>
      <c r="D198">
        <f>YEAR(gaz[[#This Row],[Data odczytu]])</f>
        <v>2018</v>
      </c>
      <c r="E198">
        <f>VLOOKUP(gaz[[#This Row],[Rok]],cena_gazu__2[],2)</f>
        <v>1.22</v>
      </c>
      <c r="F198" s="2">
        <f>IF(gaz[[#This Row],[Zuzycie]]&lt;100,70,IF(AND(gaz[[#This Row],[Zuzycie]]&gt;=100,gaz[[#This Row],[Zuzycie]]&lt;=200),90,120))</f>
        <v>70</v>
      </c>
      <c r="G198" s="2">
        <f>gaz[[#This Row],[Cena]]+gaz[[#This Row],[Taryfa]]</f>
        <v>71.22</v>
      </c>
    </row>
    <row r="199" spans="1:7" x14ac:dyDescent="0.25">
      <c r="A199" s="1">
        <v>43281</v>
      </c>
      <c r="B199">
        <v>33030</v>
      </c>
      <c r="C199">
        <f>gaz[[#This Row],[Odczyt licznika]]-B198</f>
        <v>27</v>
      </c>
      <c r="D199">
        <f>YEAR(gaz[[#This Row],[Data odczytu]])</f>
        <v>2018</v>
      </c>
      <c r="E199">
        <f>VLOOKUP(gaz[[#This Row],[Rok]],cena_gazu__2[],2)</f>
        <v>1.22</v>
      </c>
      <c r="F199" s="2">
        <f>IF(gaz[[#This Row],[Zuzycie]]&lt;100,70,IF(AND(gaz[[#This Row],[Zuzycie]]&gt;=100,gaz[[#This Row],[Zuzycie]]&lt;=200),90,120))</f>
        <v>70</v>
      </c>
      <c r="G199" s="2">
        <f>gaz[[#This Row],[Cena]]+gaz[[#This Row],[Taryfa]]</f>
        <v>71.22</v>
      </c>
    </row>
    <row r="200" spans="1:7" x14ac:dyDescent="0.25">
      <c r="A200" s="1">
        <v>43312</v>
      </c>
      <c r="B200">
        <v>33046</v>
      </c>
      <c r="C200">
        <f>gaz[[#This Row],[Odczyt licznika]]-B199</f>
        <v>16</v>
      </c>
      <c r="D200">
        <f>YEAR(gaz[[#This Row],[Data odczytu]])</f>
        <v>2018</v>
      </c>
      <c r="E200">
        <f>VLOOKUP(gaz[[#This Row],[Rok]],cena_gazu__2[],2)</f>
        <v>1.22</v>
      </c>
      <c r="F200" s="2">
        <f>IF(gaz[[#This Row],[Zuzycie]]&lt;100,70,IF(AND(gaz[[#This Row],[Zuzycie]]&gt;=100,gaz[[#This Row],[Zuzycie]]&lt;=200),90,120))</f>
        <v>70</v>
      </c>
      <c r="G200" s="2">
        <f>gaz[[#This Row],[Cena]]+gaz[[#This Row],[Taryfa]]</f>
        <v>71.22</v>
      </c>
    </row>
    <row r="201" spans="1:7" x14ac:dyDescent="0.25">
      <c r="A201" s="1">
        <v>43343</v>
      </c>
      <c r="B201">
        <v>33058</v>
      </c>
      <c r="C201">
        <f>gaz[[#This Row],[Odczyt licznika]]-B200</f>
        <v>12</v>
      </c>
      <c r="D201">
        <f>YEAR(gaz[[#This Row],[Data odczytu]])</f>
        <v>2018</v>
      </c>
      <c r="E201">
        <f>VLOOKUP(gaz[[#This Row],[Rok]],cena_gazu__2[],2)</f>
        <v>1.22</v>
      </c>
      <c r="F201" s="2">
        <f>IF(gaz[[#This Row],[Zuzycie]]&lt;100,70,IF(AND(gaz[[#This Row],[Zuzycie]]&gt;=100,gaz[[#This Row],[Zuzycie]]&lt;=200),90,120))</f>
        <v>70</v>
      </c>
      <c r="G201" s="2">
        <f>gaz[[#This Row],[Cena]]+gaz[[#This Row],[Taryfa]]</f>
        <v>71.22</v>
      </c>
    </row>
    <row r="202" spans="1:7" x14ac:dyDescent="0.25">
      <c r="A202" s="1">
        <v>43373</v>
      </c>
      <c r="B202">
        <v>33186</v>
      </c>
      <c r="C202">
        <f>gaz[[#This Row],[Odczyt licznika]]-B201</f>
        <v>128</v>
      </c>
      <c r="D202">
        <f>YEAR(gaz[[#This Row],[Data odczytu]])</f>
        <v>2018</v>
      </c>
      <c r="E202">
        <f>VLOOKUP(gaz[[#This Row],[Rok]],cena_gazu__2[],2)</f>
        <v>1.22</v>
      </c>
      <c r="F202" s="2">
        <f>IF(gaz[[#This Row],[Zuzycie]]&lt;100,70,IF(AND(gaz[[#This Row],[Zuzycie]]&gt;=100,gaz[[#This Row],[Zuzycie]]&lt;=200),90,120))</f>
        <v>90</v>
      </c>
      <c r="G202" s="2">
        <f>gaz[[#This Row],[Cena]]+gaz[[#This Row],[Taryfa]]</f>
        <v>91.22</v>
      </c>
    </row>
    <row r="203" spans="1:7" x14ac:dyDescent="0.25">
      <c r="A203" s="1">
        <v>43404</v>
      </c>
      <c r="B203">
        <v>33323</v>
      </c>
      <c r="C203">
        <f>gaz[[#This Row],[Odczyt licznika]]-B202</f>
        <v>137</v>
      </c>
      <c r="D203">
        <f>YEAR(gaz[[#This Row],[Data odczytu]])</f>
        <v>2018</v>
      </c>
      <c r="E203">
        <f>VLOOKUP(gaz[[#This Row],[Rok]],cena_gazu__2[],2)</f>
        <v>1.22</v>
      </c>
      <c r="F203" s="2">
        <f>IF(gaz[[#This Row],[Zuzycie]]&lt;100,70,IF(AND(gaz[[#This Row],[Zuzycie]]&gt;=100,gaz[[#This Row],[Zuzycie]]&lt;=200),90,120))</f>
        <v>90</v>
      </c>
      <c r="G203" s="2">
        <f>gaz[[#This Row],[Cena]]+gaz[[#This Row],[Taryfa]]</f>
        <v>91.22</v>
      </c>
    </row>
    <row r="204" spans="1:7" x14ac:dyDescent="0.25">
      <c r="A204" s="1">
        <v>43434</v>
      </c>
      <c r="B204">
        <v>33483</v>
      </c>
      <c r="C204">
        <f>gaz[[#This Row],[Odczyt licznika]]-B203</f>
        <v>160</v>
      </c>
      <c r="D204">
        <f>YEAR(gaz[[#This Row],[Data odczytu]])</f>
        <v>2018</v>
      </c>
      <c r="E204">
        <f>VLOOKUP(gaz[[#This Row],[Rok]],cena_gazu__2[],2)</f>
        <v>1.22</v>
      </c>
      <c r="F204" s="2">
        <f>IF(gaz[[#This Row],[Zuzycie]]&lt;100,70,IF(AND(gaz[[#This Row],[Zuzycie]]&gt;=100,gaz[[#This Row],[Zuzycie]]&lt;=200),90,120))</f>
        <v>90</v>
      </c>
      <c r="G204" s="2">
        <f>gaz[[#This Row],[Cena]]+gaz[[#This Row],[Taryfa]]</f>
        <v>91.22</v>
      </c>
    </row>
    <row r="205" spans="1:7" x14ac:dyDescent="0.25">
      <c r="A205" s="1">
        <v>43465</v>
      </c>
      <c r="B205">
        <v>33734</v>
      </c>
      <c r="C205">
        <f>gaz[[#This Row],[Odczyt licznika]]-B204</f>
        <v>251</v>
      </c>
      <c r="D205">
        <f>YEAR(gaz[[#This Row],[Data odczytu]])</f>
        <v>2018</v>
      </c>
      <c r="E205">
        <f>VLOOKUP(gaz[[#This Row],[Rok]],cena_gazu__2[],2)</f>
        <v>1.22</v>
      </c>
      <c r="F205" s="2">
        <f>IF(gaz[[#This Row],[Zuzycie]]&lt;100,70,IF(AND(gaz[[#This Row],[Zuzycie]]&gt;=100,gaz[[#This Row],[Zuzycie]]&lt;=200),90,120))</f>
        <v>120</v>
      </c>
      <c r="G205" s="2">
        <f>gaz[[#This Row],[Cena]]+gaz[[#This Row],[Taryfa]]</f>
        <v>121.22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BF69B-EB38-4511-B5D9-33DF56E0B3B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4117D3-B498-4D45-9929-A1FD5F3557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gaz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Miłosz Michalak</dc:creator>
  <cp:lastModifiedBy>Miłosz Michalak</cp:lastModifiedBy>
  <dcterms:created xsi:type="dcterms:W3CDTF">2026-02-02T07:18:31Z</dcterms:created>
  <dcterms:modified xsi:type="dcterms:W3CDTF">2026-02-02T07:45:37Z</dcterms:modified>
</cp:coreProperties>
</file>