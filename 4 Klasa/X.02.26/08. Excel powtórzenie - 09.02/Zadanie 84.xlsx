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leko\Nextcloud\Wewnetrzny\Szkola\Repos\Informatyka-python\4 Klasa\X.02.26\08. Excel powtórzenie - 09.02\"/>
    </mc:Choice>
  </mc:AlternateContent>
  <xr:revisionPtr revIDLastSave="0" documentId="13_ncr:1_{F470CDC1-A923-4418-BEA6-CAF33A496602}" xr6:coauthVersionLast="47" xr6:coauthVersionMax="47" xr10:uidLastSave="{00000000-0000-0000-0000-000000000000}"/>
  <bookViews>
    <workbookView xWindow="-120" yWindow="-120" windowWidth="29040" windowHeight="15720" activeTab="1" xr2:uid="{8BA6EE05-07BF-467A-BCC6-EDFA92788730}"/>
  </bookViews>
  <sheets>
    <sheet name="Arkusz1" sheetId="1" r:id="rId1"/>
    <sheet name="lpg" sheetId="3" r:id="rId2"/>
    <sheet name="Arkusz2" sheetId="2" r:id="rId3"/>
  </sheets>
  <definedNames>
    <definedName name="ExternalData_1" localSheetId="1" hidden="1">lpg!$A$1:$B$366</definedName>
    <definedName name="ExternalData_2" localSheetId="1" hidden="1">lpg!$O$1:$P$366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366" i="3" l="1"/>
  <c r="W366" i="3"/>
  <c r="Y365" i="3"/>
  <c r="W365" i="3"/>
  <c r="Y364" i="3"/>
  <c r="W364" i="3" s="1"/>
  <c r="Y363" i="3"/>
  <c r="W363" i="3"/>
  <c r="Y362" i="3"/>
  <c r="W362" i="3" s="1"/>
  <c r="Y361" i="3"/>
  <c r="W361" i="3" s="1"/>
  <c r="Y360" i="3"/>
  <c r="Y359" i="3"/>
  <c r="W359" i="3" s="1"/>
  <c r="Y358" i="3"/>
  <c r="W358" i="3" s="1"/>
  <c r="Y357" i="3"/>
  <c r="W357" i="3" s="1"/>
  <c r="Y356" i="3"/>
  <c r="W356" i="3" s="1"/>
  <c r="Y355" i="3"/>
  <c r="W355" i="3" s="1"/>
  <c r="Y354" i="3"/>
  <c r="W354" i="3" s="1"/>
  <c r="Y353" i="3"/>
  <c r="Y352" i="3"/>
  <c r="W352" i="3"/>
  <c r="Y351" i="3"/>
  <c r="W351" i="3"/>
  <c r="Y350" i="3"/>
  <c r="W350" i="3"/>
  <c r="Y349" i="3"/>
  <c r="W349" i="3"/>
  <c r="Y348" i="3"/>
  <c r="W348" i="3"/>
  <c r="Y347" i="3"/>
  <c r="W347" i="3"/>
  <c r="Y346" i="3"/>
  <c r="Y345" i="3"/>
  <c r="W345" i="3"/>
  <c r="Y344" i="3"/>
  <c r="W344" i="3" s="1"/>
  <c r="Y343" i="3"/>
  <c r="W343" i="3"/>
  <c r="Y342" i="3"/>
  <c r="W342" i="3" s="1"/>
  <c r="Y341" i="3"/>
  <c r="W341" i="3" s="1"/>
  <c r="Y340" i="3"/>
  <c r="W340" i="3" s="1"/>
  <c r="Y339" i="3"/>
  <c r="Y338" i="3"/>
  <c r="W338" i="3" s="1"/>
  <c r="Y337" i="3"/>
  <c r="W337" i="3" s="1"/>
  <c r="Y336" i="3"/>
  <c r="W336" i="3" s="1"/>
  <c r="Y335" i="3"/>
  <c r="W335" i="3"/>
  <c r="Y334" i="3"/>
  <c r="W334" i="3"/>
  <c r="Y333" i="3"/>
  <c r="W333" i="3"/>
  <c r="Y332" i="3"/>
  <c r="Y331" i="3"/>
  <c r="W331" i="3"/>
  <c r="Y330" i="3"/>
  <c r="W330" i="3"/>
  <c r="Y329" i="3"/>
  <c r="W329" i="3"/>
  <c r="Y328" i="3"/>
  <c r="W328" i="3"/>
  <c r="Y327" i="3"/>
  <c r="W327" i="3"/>
  <c r="Y326" i="3"/>
  <c r="W326" i="3"/>
  <c r="Y325" i="3"/>
  <c r="Y324" i="3"/>
  <c r="W324" i="3" s="1"/>
  <c r="Y323" i="3"/>
  <c r="W323" i="3"/>
  <c r="Y322" i="3"/>
  <c r="W322" i="3"/>
  <c r="Y321" i="3"/>
  <c r="W321" i="3" s="1"/>
  <c r="Y320" i="3"/>
  <c r="W320" i="3" s="1"/>
  <c r="Y319" i="3"/>
  <c r="W319" i="3" s="1"/>
  <c r="Y318" i="3"/>
  <c r="Y317" i="3"/>
  <c r="W317" i="3"/>
  <c r="Y316" i="3"/>
  <c r="W316" i="3"/>
  <c r="Y315" i="3"/>
  <c r="W315" i="3" s="1"/>
  <c r="Y314" i="3"/>
  <c r="W314" i="3" s="1"/>
  <c r="Y313" i="3"/>
  <c r="W313" i="3"/>
  <c r="Y312" i="3"/>
  <c r="W312" i="3" s="1"/>
  <c r="Y311" i="3"/>
  <c r="Y310" i="3"/>
  <c r="W310" i="3"/>
  <c r="Y309" i="3"/>
  <c r="W309" i="3"/>
  <c r="Y308" i="3"/>
  <c r="W308" i="3"/>
  <c r="Y307" i="3"/>
  <c r="W307" i="3" s="1"/>
  <c r="Y306" i="3"/>
  <c r="W306" i="3"/>
  <c r="Y305" i="3"/>
  <c r="W305" i="3"/>
  <c r="Y304" i="3"/>
  <c r="Y303" i="3"/>
  <c r="W303" i="3"/>
  <c r="Y302" i="3"/>
  <c r="W302" i="3" s="1"/>
  <c r="Y301" i="3"/>
  <c r="W301" i="3" s="1"/>
  <c r="Y300" i="3"/>
  <c r="W300" i="3"/>
  <c r="Y299" i="3"/>
  <c r="W299" i="3"/>
  <c r="Y298" i="3"/>
  <c r="W298" i="3" s="1"/>
  <c r="Y297" i="3"/>
  <c r="Y296" i="3"/>
  <c r="W296" i="3"/>
  <c r="Y295" i="3"/>
  <c r="W295" i="3"/>
  <c r="Y294" i="3"/>
  <c r="W294" i="3"/>
  <c r="Y293" i="3"/>
  <c r="W293" i="3" s="1"/>
  <c r="Y292" i="3"/>
  <c r="W292" i="3"/>
  <c r="Y291" i="3"/>
  <c r="W291" i="3"/>
  <c r="Y290" i="3"/>
  <c r="Y289" i="3"/>
  <c r="W289" i="3"/>
  <c r="Y288" i="3"/>
  <c r="W288" i="3"/>
  <c r="Y287" i="3"/>
  <c r="W287" i="3"/>
  <c r="Y286" i="3"/>
  <c r="W286" i="3"/>
  <c r="Y285" i="3"/>
  <c r="W285" i="3"/>
  <c r="Y284" i="3"/>
  <c r="W284" i="3" s="1"/>
  <c r="Y283" i="3"/>
  <c r="Y282" i="3"/>
  <c r="W282" i="3"/>
  <c r="Y281" i="3"/>
  <c r="W281" i="3" s="1"/>
  <c r="Y280" i="3"/>
  <c r="W280" i="3" s="1"/>
  <c r="Y279" i="3"/>
  <c r="W279" i="3" s="1"/>
  <c r="Y278" i="3"/>
  <c r="W278" i="3"/>
  <c r="Y277" i="3"/>
  <c r="W277" i="3" s="1"/>
  <c r="Y276" i="3"/>
  <c r="Y275" i="3"/>
  <c r="W275" i="3"/>
  <c r="Y274" i="3"/>
  <c r="W274" i="3"/>
  <c r="Y273" i="3"/>
  <c r="W273" i="3" s="1"/>
  <c r="Y272" i="3"/>
  <c r="W272" i="3"/>
  <c r="Y271" i="3"/>
  <c r="W271" i="3" s="1"/>
  <c r="Y270" i="3"/>
  <c r="W270" i="3"/>
  <c r="Y269" i="3"/>
  <c r="Y268" i="3"/>
  <c r="W268" i="3" s="1"/>
  <c r="Y267" i="3"/>
  <c r="W267" i="3"/>
  <c r="Y266" i="3"/>
  <c r="W266" i="3"/>
  <c r="Y265" i="3"/>
  <c r="W265" i="3"/>
  <c r="Y264" i="3"/>
  <c r="W264" i="3" s="1"/>
  <c r="Y263" i="3"/>
  <c r="W263" i="3"/>
  <c r="Y262" i="3"/>
  <c r="Y261" i="3"/>
  <c r="W261" i="3" s="1"/>
  <c r="Y260" i="3"/>
  <c r="W260" i="3" s="1"/>
  <c r="Y259" i="3"/>
  <c r="W259" i="3" s="1"/>
  <c r="Y258" i="3"/>
  <c r="W258" i="3" s="1"/>
  <c r="Y257" i="3"/>
  <c r="W257" i="3"/>
  <c r="Y256" i="3"/>
  <c r="W256" i="3"/>
  <c r="Y255" i="3"/>
  <c r="Y254" i="3"/>
  <c r="W254" i="3"/>
  <c r="Y253" i="3"/>
  <c r="W253" i="3"/>
  <c r="Y252" i="3"/>
  <c r="W252" i="3"/>
  <c r="Y251" i="3"/>
  <c r="W251" i="3" s="1"/>
  <c r="Y250" i="3"/>
  <c r="W250" i="3"/>
  <c r="Y249" i="3"/>
  <c r="W249" i="3"/>
  <c r="Y248" i="3"/>
  <c r="Y247" i="3"/>
  <c r="W247" i="3"/>
  <c r="Y246" i="3"/>
  <c r="W246" i="3"/>
  <c r="Y245" i="3"/>
  <c r="W245" i="3"/>
  <c r="Y244" i="3"/>
  <c r="W244" i="3" s="1"/>
  <c r="Y243" i="3"/>
  <c r="W243" i="3"/>
  <c r="Y242" i="3"/>
  <c r="W242" i="3" s="1"/>
  <c r="Y241" i="3"/>
  <c r="Y240" i="3"/>
  <c r="W240" i="3"/>
  <c r="Y239" i="3"/>
  <c r="W239" i="3" s="1"/>
  <c r="Y238" i="3"/>
  <c r="W238" i="3"/>
  <c r="Y237" i="3"/>
  <c r="W237" i="3"/>
  <c r="Y236" i="3"/>
  <c r="W236" i="3"/>
  <c r="Y235" i="3"/>
  <c r="W235" i="3"/>
  <c r="Y234" i="3"/>
  <c r="Y233" i="3"/>
  <c r="W233" i="3"/>
  <c r="Y232" i="3"/>
  <c r="W232" i="3"/>
  <c r="Y231" i="3"/>
  <c r="W231" i="3"/>
  <c r="Y230" i="3"/>
  <c r="W230" i="3"/>
  <c r="Y229" i="3"/>
  <c r="W229" i="3" s="1"/>
  <c r="Y228" i="3"/>
  <c r="W228" i="3" s="1"/>
  <c r="Y227" i="3"/>
  <c r="Y226" i="3"/>
  <c r="W226" i="3"/>
  <c r="Y225" i="3"/>
  <c r="W225" i="3"/>
  <c r="Y224" i="3"/>
  <c r="W224" i="3" s="1"/>
  <c r="Y223" i="3"/>
  <c r="W223" i="3"/>
  <c r="Y222" i="3"/>
  <c r="W222" i="3" s="1"/>
  <c r="Y221" i="3"/>
  <c r="W221" i="3" s="1"/>
  <c r="Y220" i="3"/>
  <c r="Y219" i="3"/>
  <c r="W219" i="3"/>
  <c r="Y218" i="3"/>
  <c r="W218" i="3" s="1"/>
  <c r="Y217" i="3"/>
  <c r="W217" i="3"/>
  <c r="Y216" i="3"/>
  <c r="W216" i="3"/>
  <c r="Y215" i="3"/>
  <c r="W215" i="3"/>
  <c r="Y214" i="3"/>
  <c r="W214" i="3" s="1"/>
  <c r="Y213" i="3"/>
  <c r="Y212" i="3"/>
  <c r="W212" i="3"/>
  <c r="Y211" i="3"/>
  <c r="W211" i="3" s="1"/>
  <c r="Y210" i="3"/>
  <c r="W210" i="3"/>
  <c r="Y209" i="3"/>
  <c r="W209" i="3"/>
  <c r="Y208" i="3"/>
  <c r="W208" i="3"/>
  <c r="Y207" i="3"/>
  <c r="W207" i="3" s="1"/>
  <c r="Y206" i="3"/>
  <c r="Y205" i="3"/>
  <c r="W205" i="3"/>
  <c r="Y204" i="3"/>
  <c r="W204" i="3" s="1"/>
  <c r="Y203" i="3"/>
  <c r="W203" i="3"/>
  <c r="Y202" i="3"/>
  <c r="W202" i="3"/>
  <c r="Y201" i="3"/>
  <c r="W201" i="3" s="1"/>
  <c r="Y200" i="3"/>
  <c r="W200" i="3"/>
  <c r="Y199" i="3"/>
  <c r="Y198" i="3"/>
  <c r="W198" i="3"/>
  <c r="Y197" i="3"/>
  <c r="W197" i="3"/>
  <c r="Y196" i="3"/>
  <c r="W196" i="3"/>
  <c r="Y195" i="3"/>
  <c r="W195" i="3" s="1"/>
  <c r="Y194" i="3"/>
  <c r="W194" i="3" s="1"/>
  <c r="Y193" i="3"/>
  <c r="W193" i="3"/>
  <c r="Y192" i="3"/>
  <c r="Y191" i="3"/>
  <c r="W191" i="3" s="1"/>
  <c r="Y190" i="3"/>
  <c r="W190" i="3" s="1"/>
  <c r="Y189" i="3"/>
  <c r="W189" i="3" s="1"/>
  <c r="Y188" i="3"/>
  <c r="W188" i="3" s="1"/>
  <c r="Y187" i="3"/>
  <c r="W187" i="3"/>
  <c r="Y186" i="3"/>
  <c r="W186" i="3"/>
  <c r="Y185" i="3"/>
  <c r="Y184" i="3"/>
  <c r="W184" i="3" s="1"/>
  <c r="Y183" i="3"/>
  <c r="W183" i="3"/>
  <c r="Y182" i="3"/>
  <c r="W182" i="3"/>
  <c r="Y181" i="3"/>
  <c r="W181" i="3" s="1"/>
  <c r="Y180" i="3"/>
  <c r="W180" i="3"/>
  <c r="Y179" i="3"/>
  <c r="W179" i="3" s="1"/>
  <c r="Y178" i="3"/>
  <c r="Y177" i="3"/>
  <c r="W177" i="3"/>
  <c r="Y176" i="3"/>
  <c r="W176" i="3"/>
  <c r="Y175" i="3"/>
  <c r="W175" i="3"/>
  <c r="Y174" i="3"/>
  <c r="W174" i="3"/>
  <c r="Y173" i="3"/>
  <c r="W173" i="3" s="1"/>
  <c r="Y172" i="3"/>
  <c r="W172" i="3"/>
  <c r="Y171" i="3"/>
  <c r="Y170" i="3"/>
  <c r="W170" i="3"/>
  <c r="Y169" i="3"/>
  <c r="W169" i="3" s="1"/>
  <c r="Y168" i="3"/>
  <c r="W168" i="3" s="1"/>
  <c r="Y167" i="3"/>
  <c r="W167" i="3"/>
  <c r="Y166" i="3"/>
  <c r="W166" i="3"/>
  <c r="Y165" i="3"/>
  <c r="W165" i="3"/>
  <c r="Y164" i="3"/>
  <c r="Y163" i="3"/>
  <c r="W163" i="3"/>
  <c r="Y162" i="3"/>
  <c r="W162" i="3" s="1"/>
  <c r="Y161" i="3"/>
  <c r="W161" i="3" s="1"/>
  <c r="Y160" i="3"/>
  <c r="W160" i="3" s="1"/>
  <c r="Y159" i="3"/>
  <c r="W159" i="3"/>
  <c r="Y158" i="3"/>
  <c r="W158" i="3"/>
  <c r="Y157" i="3"/>
  <c r="Y156" i="3"/>
  <c r="W156" i="3"/>
  <c r="Y155" i="3"/>
  <c r="W155" i="3"/>
  <c r="Y154" i="3"/>
  <c r="W154" i="3"/>
  <c r="Y153" i="3"/>
  <c r="W153" i="3"/>
  <c r="Y152" i="3"/>
  <c r="W152" i="3"/>
  <c r="Y151" i="3"/>
  <c r="W151" i="3" s="1"/>
  <c r="Y150" i="3"/>
  <c r="Y149" i="3"/>
  <c r="W149" i="3"/>
  <c r="Y148" i="3"/>
  <c r="W148" i="3"/>
  <c r="Y147" i="3"/>
  <c r="W147" i="3"/>
  <c r="Y146" i="3"/>
  <c r="W146" i="3" s="1"/>
  <c r="Y145" i="3"/>
  <c r="W145" i="3"/>
  <c r="Y144" i="3"/>
  <c r="W144" i="3"/>
  <c r="Y143" i="3"/>
  <c r="Y142" i="3"/>
  <c r="W142" i="3" s="1"/>
  <c r="Y141" i="3"/>
  <c r="W141" i="3"/>
  <c r="Y140" i="3"/>
  <c r="W140" i="3"/>
  <c r="Y139" i="3"/>
  <c r="W139" i="3" s="1"/>
  <c r="Y138" i="3"/>
  <c r="W138" i="3"/>
  <c r="Y137" i="3"/>
  <c r="W137" i="3" s="1"/>
  <c r="Y136" i="3"/>
  <c r="Y135" i="3"/>
  <c r="W135" i="3" s="1"/>
  <c r="Y134" i="3"/>
  <c r="W134" i="3"/>
  <c r="Y133" i="3"/>
  <c r="W133" i="3"/>
  <c r="Y132" i="3"/>
  <c r="W132" i="3" s="1"/>
  <c r="Y131" i="3"/>
  <c r="W131" i="3" s="1"/>
  <c r="Y130" i="3"/>
  <c r="W130" i="3"/>
  <c r="Y129" i="3"/>
  <c r="Y128" i="3"/>
  <c r="W128" i="3"/>
  <c r="Y127" i="3"/>
  <c r="W127" i="3"/>
  <c r="Y126" i="3"/>
  <c r="W126" i="3" s="1"/>
  <c r="Y125" i="3"/>
  <c r="W125" i="3"/>
  <c r="Y124" i="3"/>
  <c r="W124" i="3"/>
  <c r="Y123" i="3"/>
  <c r="W123" i="3"/>
  <c r="Y122" i="3"/>
  <c r="Y121" i="3"/>
  <c r="W121" i="3"/>
  <c r="Y120" i="3"/>
  <c r="W120" i="3"/>
  <c r="Y119" i="3"/>
  <c r="W119" i="3" s="1"/>
  <c r="Y118" i="3"/>
  <c r="W118" i="3"/>
  <c r="Y117" i="3"/>
  <c r="W117" i="3"/>
  <c r="Y116" i="3"/>
  <c r="W116" i="3" s="1"/>
  <c r="Y115" i="3"/>
  <c r="Y114" i="3"/>
  <c r="W114" i="3" s="1"/>
  <c r="Y113" i="3"/>
  <c r="W113" i="3"/>
  <c r="Y112" i="3"/>
  <c r="W112" i="3" s="1"/>
  <c r="Y111" i="3"/>
  <c r="W111" i="3" s="1"/>
  <c r="Y110" i="3"/>
  <c r="W110" i="3"/>
  <c r="Y109" i="3"/>
  <c r="W109" i="3" s="1"/>
  <c r="Y108" i="3"/>
  <c r="Y107" i="3"/>
  <c r="W107" i="3"/>
  <c r="Y106" i="3"/>
  <c r="W106" i="3"/>
  <c r="Y105" i="3"/>
  <c r="W105" i="3"/>
  <c r="Y104" i="3"/>
  <c r="W104" i="3" s="1"/>
  <c r="Y103" i="3"/>
  <c r="W103" i="3"/>
  <c r="Y102" i="3"/>
  <c r="W102" i="3"/>
  <c r="Y101" i="3"/>
  <c r="Y100" i="3"/>
  <c r="W100" i="3"/>
  <c r="Y99" i="3"/>
  <c r="W99" i="3"/>
  <c r="Y98" i="3"/>
  <c r="W98" i="3" s="1"/>
  <c r="Y97" i="3"/>
  <c r="W97" i="3"/>
  <c r="Y96" i="3"/>
  <c r="W96" i="3"/>
  <c r="Y95" i="3"/>
  <c r="W95" i="3" s="1"/>
  <c r="Y94" i="3"/>
  <c r="Y93" i="3"/>
  <c r="W93" i="3"/>
  <c r="Y92" i="3"/>
  <c r="W92" i="3"/>
  <c r="Y91" i="3"/>
  <c r="W91" i="3" s="1"/>
  <c r="Y90" i="3"/>
  <c r="W90" i="3"/>
  <c r="Y89" i="3"/>
  <c r="W89" i="3"/>
  <c r="Y88" i="3"/>
  <c r="W88" i="3"/>
  <c r="Y87" i="3"/>
  <c r="Y86" i="3"/>
  <c r="W86" i="3"/>
  <c r="Y85" i="3"/>
  <c r="W85" i="3" s="1"/>
  <c r="Y84" i="3"/>
  <c r="W84" i="3"/>
  <c r="Y83" i="3"/>
  <c r="W83" i="3"/>
  <c r="Y82" i="3"/>
  <c r="W82" i="3"/>
  <c r="Y81" i="3"/>
  <c r="W81" i="3" s="1"/>
  <c r="Y80" i="3"/>
  <c r="Y79" i="3"/>
  <c r="W79" i="3"/>
  <c r="Y78" i="3"/>
  <c r="W78" i="3"/>
  <c r="Y77" i="3"/>
  <c r="W77" i="3"/>
  <c r="Y76" i="3"/>
  <c r="W76" i="3" s="1"/>
  <c r="Y75" i="3"/>
  <c r="W75" i="3"/>
  <c r="Y74" i="3"/>
  <c r="W74" i="3" s="1"/>
  <c r="Y73" i="3"/>
  <c r="Y72" i="3"/>
  <c r="W72" i="3"/>
  <c r="Y71" i="3"/>
  <c r="W71" i="3" s="1"/>
  <c r="Y70" i="3"/>
  <c r="W70" i="3" s="1"/>
  <c r="Y69" i="3"/>
  <c r="W69" i="3"/>
  <c r="Y68" i="3"/>
  <c r="W68" i="3"/>
  <c r="Y67" i="3"/>
  <c r="W67" i="3"/>
  <c r="Y66" i="3"/>
  <c r="Y65" i="3"/>
  <c r="W65" i="3"/>
  <c r="Y64" i="3"/>
  <c r="W64" i="3" s="1"/>
  <c r="Y63" i="3"/>
  <c r="W63" i="3" s="1"/>
  <c r="Y62" i="3"/>
  <c r="W62" i="3"/>
  <c r="Y61" i="3"/>
  <c r="W61" i="3" s="1"/>
  <c r="Y60" i="3"/>
  <c r="W60" i="3"/>
  <c r="Y59" i="3"/>
  <c r="Y58" i="3"/>
  <c r="W58" i="3" s="1"/>
  <c r="Y57" i="3"/>
  <c r="W57" i="3" s="1"/>
  <c r="Y56" i="3"/>
  <c r="W56" i="3" s="1"/>
  <c r="Y55" i="3"/>
  <c r="W55" i="3"/>
  <c r="Y54" i="3"/>
  <c r="W54" i="3"/>
  <c r="Y53" i="3"/>
  <c r="W53" i="3"/>
  <c r="Y52" i="3"/>
  <c r="Y51" i="3"/>
  <c r="W51" i="3" s="1"/>
  <c r="Y50" i="3"/>
  <c r="W50" i="3" s="1"/>
  <c r="Y49" i="3"/>
  <c r="W49" i="3"/>
  <c r="Y48" i="3"/>
  <c r="W48" i="3"/>
  <c r="Y47" i="3"/>
  <c r="W47" i="3" s="1"/>
  <c r="Y46" i="3"/>
  <c r="W46" i="3" s="1"/>
  <c r="Y45" i="3"/>
  <c r="Y44" i="3"/>
  <c r="W44" i="3" s="1"/>
  <c r="Y43" i="3"/>
  <c r="W43" i="3"/>
  <c r="Y42" i="3"/>
  <c r="W42" i="3" s="1"/>
  <c r="Y41" i="3"/>
  <c r="W41" i="3" s="1"/>
  <c r="Y40" i="3"/>
  <c r="W40" i="3"/>
  <c r="Y39" i="3"/>
  <c r="W39" i="3"/>
  <c r="Y38" i="3"/>
  <c r="Y37" i="3"/>
  <c r="W37" i="3"/>
  <c r="Y36" i="3"/>
  <c r="W36" i="3"/>
  <c r="Y35" i="3"/>
  <c r="W35" i="3" s="1"/>
  <c r="Y34" i="3"/>
  <c r="W34" i="3"/>
  <c r="Y33" i="3"/>
  <c r="W33" i="3"/>
  <c r="Y32" i="3"/>
  <c r="W32" i="3"/>
  <c r="Y31" i="3"/>
  <c r="Y30" i="3"/>
  <c r="W30" i="3" s="1"/>
  <c r="Y29" i="3"/>
  <c r="W29" i="3" s="1"/>
  <c r="Y28" i="3"/>
  <c r="W28" i="3"/>
  <c r="Y27" i="3"/>
  <c r="W27" i="3"/>
  <c r="Y26" i="3"/>
  <c r="W26" i="3"/>
  <c r="Y25" i="3"/>
  <c r="W25" i="3"/>
  <c r="Y24" i="3"/>
  <c r="Y23" i="3"/>
  <c r="W23" i="3"/>
  <c r="Y22" i="3"/>
  <c r="W22" i="3"/>
  <c r="Y21" i="3"/>
  <c r="W21" i="3"/>
  <c r="Y20" i="3"/>
  <c r="W20" i="3"/>
  <c r="Y19" i="3"/>
  <c r="W19" i="3" s="1"/>
  <c r="Y18" i="3"/>
  <c r="W18" i="3"/>
  <c r="Y17" i="3"/>
  <c r="Y16" i="3"/>
  <c r="W16" i="3"/>
  <c r="Y15" i="3"/>
  <c r="W15" i="3"/>
  <c r="Y14" i="3"/>
  <c r="W14" i="3"/>
  <c r="Y13" i="3"/>
  <c r="W13" i="3"/>
  <c r="Y12" i="3"/>
  <c r="W12" i="3"/>
  <c r="Y11" i="3"/>
  <c r="W11" i="3" s="1"/>
  <c r="Y10" i="3"/>
  <c r="Y9" i="3"/>
  <c r="W9" i="3"/>
  <c r="Y8" i="3"/>
  <c r="W8" i="3" s="1"/>
  <c r="Y7" i="3"/>
  <c r="W7" i="3"/>
  <c r="Y6" i="3"/>
  <c r="W6" i="3" s="1"/>
  <c r="Y5" i="3"/>
  <c r="W5" i="3" s="1"/>
  <c r="Y4" i="3"/>
  <c r="W4" i="3"/>
  <c r="Y3" i="3"/>
  <c r="Y2" i="3"/>
  <c r="W2" i="3"/>
  <c r="T2" i="3"/>
  <c r="V2" i="3" s="1"/>
  <c r="S2" i="3"/>
  <c r="U2" i="3" s="1"/>
  <c r="Q3" i="3" s="1"/>
  <c r="D3" i="3"/>
  <c r="K2" i="3"/>
  <c r="I2" i="3" s="1"/>
  <c r="E2" i="3"/>
  <c r="G2" i="3" s="1"/>
  <c r="K3" i="3"/>
  <c r="K4" i="3"/>
  <c r="I4" i="3" s="1"/>
  <c r="K5" i="3"/>
  <c r="I5" i="3" s="1"/>
  <c r="K6" i="3"/>
  <c r="I6" i="3" s="1"/>
  <c r="K7" i="3"/>
  <c r="I7" i="3" s="1"/>
  <c r="K8" i="3"/>
  <c r="I8" i="3" s="1"/>
  <c r="K9" i="3"/>
  <c r="I9" i="3" s="1"/>
  <c r="K10" i="3"/>
  <c r="K11" i="3"/>
  <c r="I11" i="3" s="1"/>
  <c r="K12" i="3"/>
  <c r="I12" i="3" s="1"/>
  <c r="K13" i="3"/>
  <c r="I13" i="3" s="1"/>
  <c r="K14" i="3"/>
  <c r="I14" i="3" s="1"/>
  <c r="K15" i="3"/>
  <c r="I15" i="3" s="1"/>
  <c r="K16" i="3"/>
  <c r="I16" i="3" s="1"/>
  <c r="K17" i="3"/>
  <c r="K18" i="3"/>
  <c r="I18" i="3" s="1"/>
  <c r="K19" i="3"/>
  <c r="I19" i="3" s="1"/>
  <c r="K20" i="3"/>
  <c r="I20" i="3" s="1"/>
  <c r="K21" i="3"/>
  <c r="I21" i="3" s="1"/>
  <c r="K22" i="3"/>
  <c r="I22" i="3" s="1"/>
  <c r="K23" i="3"/>
  <c r="I23" i="3" s="1"/>
  <c r="K24" i="3"/>
  <c r="K25" i="3"/>
  <c r="I25" i="3" s="1"/>
  <c r="K26" i="3"/>
  <c r="I26" i="3" s="1"/>
  <c r="K27" i="3"/>
  <c r="I27" i="3" s="1"/>
  <c r="K28" i="3"/>
  <c r="I28" i="3" s="1"/>
  <c r="K29" i="3"/>
  <c r="I29" i="3" s="1"/>
  <c r="K30" i="3"/>
  <c r="I30" i="3" s="1"/>
  <c r="K31" i="3"/>
  <c r="K32" i="3"/>
  <c r="I32" i="3" s="1"/>
  <c r="K33" i="3"/>
  <c r="I33" i="3" s="1"/>
  <c r="K34" i="3"/>
  <c r="I34" i="3" s="1"/>
  <c r="K35" i="3"/>
  <c r="I35" i="3" s="1"/>
  <c r="K36" i="3"/>
  <c r="I36" i="3" s="1"/>
  <c r="K37" i="3"/>
  <c r="I37" i="3" s="1"/>
  <c r="K38" i="3"/>
  <c r="K39" i="3"/>
  <c r="I39" i="3" s="1"/>
  <c r="K40" i="3"/>
  <c r="I40" i="3" s="1"/>
  <c r="K41" i="3"/>
  <c r="I41" i="3" s="1"/>
  <c r="K42" i="3"/>
  <c r="I42" i="3" s="1"/>
  <c r="K43" i="3"/>
  <c r="I43" i="3" s="1"/>
  <c r="K44" i="3"/>
  <c r="I44" i="3" s="1"/>
  <c r="K45" i="3"/>
  <c r="K46" i="3"/>
  <c r="I46" i="3" s="1"/>
  <c r="K47" i="3"/>
  <c r="I47" i="3" s="1"/>
  <c r="K48" i="3"/>
  <c r="I48" i="3" s="1"/>
  <c r="K49" i="3"/>
  <c r="I49" i="3" s="1"/>
  <c r="K50" i="3"/>
  <c r="I50" i="3" s="1"/>
  <c r="K51" i="3"/>
  <c r="I51" i="3" s="1"/>
  <c r="K52" i="3"/>
  <c r="K53" i="3"/>
  <c r="I53" i="3" s="1"/>
  <c r="K54" i="3"/>
  <c r="I54" i="3" s="1"/>
  <c r="K55" i="3"/>
  <c r="I55" i="3" s="1"/>
  <c r="K56" i="3"/>
  <c r="I56" i="3" s="1"/>
  <c r="K57" i="3"/>
  <c r="I57" i="3" s="1"/>
  <c r="K58" i="3"/>
  <c r="I58" i="3" s="1"/>
  <c r="K59" i="3"/>
  <c r="K60" i="3"/>
  <c r="I60" i="3" s="1"/>
  <c r="K61" i="3"/>
  <c r="I61" i="3" s="1"/>
  <c r="K62" i="3"/>
  <c r="I62" i="3" s="1"/>
  <c r="K63" i="3"/>
  <c r="I63" i="3" s="1"/>
  <c r="K64" i="3"/>
  <c r="I64" i="3" s="1"/>
  <c r="K65" i="3"/>
  <c r="I65" i="3" s="1"/>
  <c r="K66" i="3"/>
  <c r="K67" i="3"/>
  <c r="I67" i="3" s="1"/>
  <c r="K68" i="3"/>
  <c r="I68" i="3" s="1"/>
  <c r="K69" i="3"/>
  <c r="I69" i="3" s="1"/>
  <c r="K70" i="3"/>
  <c r="I70" i="3" s="1"/>
  <c r="K71" i="3"/>
  <c r="I71" i="3" s="1"/>
  <c r="K72" i="3"/>
  <c r="I72" i="3" s="1"/>
  <c r="K73" i="3"/>
  <c r="K74" i="3"/>
  <c r="I74" i="3" s="1"/>
  <c r="K75" i="3"/>
  <c r="I75" i="3" s="1"/>
  <c r="K76" i="3"/>
  <c r="I76" i="3" s="1"/>
  <c r="K77" i="3"/>
  <c r="I77" i="3" s="1"/>
  <c r="K78" i="3"/>
  <c r="I78" i="3" s="1"/>
  <c r="K79" i="3"/>
  <c r="I79" i="3" s="1"/>
  <c r="K80" i="3"/>
  <c r="K81" i="3"/>
  <c r="I81" i="3" s="1"/>
  <c r="K82" i="3"/>
  <c r="I82" i="3" s="1"/>
  <c r="K83" i="3"/>
  <c r="I83" i="3" s="1"/>
  <c r="K84" i="3"/>
  <c r="I84" i="3" s="1"/>
  <c r="K85" i="3"/>
  <c r="I85" i="3" s="1"/>
  <c r="K86" i="3"/>
  <c r="I86" i="3" s="1"/>
  <c r="K87" i="3"/>
  <c r="K88" i="3"/>
  <c r="I88" i="3" s="1"/>
  <c r="K89" i="3"/>
  <c r="I89" i="3" s="1"/>
  <c r="K90" i="3"/>
  <c r="I90" i="3" s="1"/>
  <c r="K91" i="3"/>
  <c r="I91" i="3" s="1"/>
  <c r="K92" i="3"/>
  <c r="I92" i="3" s="1"/>
  <c r="K93" i="3"/>
  <c r="I93" i="3" s="1"/>
  <c r="K94" i="3"/>
  <c r="K95" i="3"/>
  <c r="I95" i="3" s="1"/>
  <c r="K96" i="3"/>
  <c r="I96" i="3" s="1"/>
  <c r="K97" i="3"/>
  <c r="I97" i="3" s="1"/>
  <c r="K98" i="3"/>
  <c r="I98" i="3" s="1"/>
  <c r="K99" i="3"/>
  <c r="I99" i="3" s="1"/>
  <c r="K100" i="3"/>
  <c r="I100" i="3" s="1"/>
  <c r="K101" i="3"/>
  <c r="K102" i="3"/>
  <c r="I102" i="3" s="1"/>
  <c r="K103" i="3"/>
  <c r="I103" i="3" s="1"/>
  <c r="K104" i="3"/>
  <c r="I104" i="3" s="1"/>
  <c r="K105" i="3"/>
  <c r="I105" i="3" s="1"/>
  <c r="K106" i="3"/>
  <c r="I106" i="3" s="1"/>
  <c r="K107" i="3"/>
  <c r="I107" i="3" s="1"/>
  <c r="K108" i="3"/>
  <c r="K109" i="3"/>
  <c r="I109" i="3" s="1"/>
  <c r="K110" i="3"/>
  <c r="I110" i="3" s="1"/>
  <c r="K111" i="3"/>
  <c r="I111" i="3" s="1"/>
  <c r="K112" i="3"/>
  <c r="I112" i="3" s="1"/>
  <c r="K113" i="3"/>
  <c r="I113" i="3" s="1"/>
  <c r="K114" i="3"/>
  <c r="I114" i="3" s="1"/>
  <c r="K115" i="3"/>
  <c r="K116" i="3"/>
  <c r="I116" i="3" s="1"/>
  <c r="K117" i="3"/>
  <c r="I117" i="3" s="1"/>
  <c r="K118" i="3"/>
  <c r="I118" i="3" s="1"/>
  <c r="K119" i="3"/>
  <c r="I119" i="3" s="1"/>
  <c r="K120" i="3"/>
  <c r="I120" i="3" s="1"/>
  <c r="K121" i="3"/>
  <c r="I121" i="3" s="1"/>
  <c r="K122" i="3"/>
  <c r="K123" i="3"/>
  <c r="I123" i="3" s="1"/>
  <c r="K124" i="3"/>
  <c r="I124" i="3" s="1"/>
  <c r="K125" i="3"/>
  <c r="I125" i="3" s="1"/>
  <c r="K126" i="3"/>
  <c r="I126" i="3" s="1"/>
  <c r="K127" i="3"/>
  <c r="I127" i="3" s="1"/>
  <c r="K128" i="3"/>
  <c r="I128" i="3" s="1"/>
  <c r="K129" i="3"/>
  <c r="K130" i="3"/>
  <c r="I130" i="3" s="1"/>
  <c r="K131" i="3"/>
  <c r="I131" i="3" s="1"/>
  <c r="K132" i="3"/>
  <c r="I132" i="3" s="1"/>
  <c r="K133" i="3"/>
  <c r="I133" i="3" s="1"/>
  <c r="K134" i="3"/>
  <c r="I134" i="3" s="1"/>
  <c r="K135" i="3"/>
  <c r="I135" i="3" s="1"/>
  <c r="K136" i="3"/>
  <c r="K137" i="3"/>
  <c r="I137" i="3" s="1"/>
  <c r="K138" i="3"/>
  <c r="I138" i="3" s="1"/>
  <c r="K139" i="3"/>
  <c r="I139" i="3" s="1"/>
  <c r="K140" i="3"/>
  <c r="I140" i="3" s="1"/>
  <c r="K141" i="3"/>
  <c r="I141" i="3" s="1"/>
  <c r="K142" i="3"/>
  <c r="I142" i="3" s="1"/>
  <c r="K143" i="3"/>
  <c r="K144" i="3"/>
  <c r="I144" i="3" s="1"/>
  <c r="K145" i="3"/>
  <c r="I145" i="3" s="1"/>
  <c r="K146" i="3"/>
  <c r="I146" i="3" s="1"/>
  <c r="K147" i="3"/>
  <c r="I147" i="3" s="1"/>
  <c r="K148" i="3"/>
  <c r="I148" i="3" s="1"/>
  <c r="K149" i="3"/>
  <c r="I149" i="3" s="1"/>
  <c r="K150" i="3"/>
  <c r="K151" i="3"/>
  <c r="I151" i="3" s="1"/>
  <c r="K152" i="3"/>
  <c r="I152" i="3" s="1"/>
  <c r="K153" i="3"/>
  <c r="I153" i="3" s="1"/>
  <c r="K154" i="3"/>
  <c r="I154" i="3" s="1"/>
  <c r="K155" i="3"/>
  <c r="I155" i="3" s="1"/>
  <c r="K156" i="3"/>
  <c r="I156" i="3" s="1"/>
  <c r="K157" i="3"/>
  <c r="K158" i="3"/>
  <c r="I158" i="3" s="1"/>
  <c r="K159" i="3"/>
  <c r="I159" i="3" s="1"/>
  <c r="K160" i="3"/>
  <c r="I160" i="3" s="1"/>
  <c r="K161" i="3"/>
  <c r="I161" i="3" s="1"/>
  <c r="K162" i="3"/>
  <c r="I162" i="3" s="1"/>
  <c r="K163" i="3"/>
  <c r="I163" i="3" s="1"/>
  <c r="K164" i="3"/>
  <c r="K165" i="3"/>
  <c r="I165" i="3" s="1"/>
  <c r="K166" i="3"/>
  <c r="I166" i="3" s="1"/>
  <c r="K167" i="3"/>
  <c r="I167" i="3" s="1"/>
  <c r="K168" i="3"/>
  <c r="I168" i="3" s="1"/>
  <c r="K169" i="3"/>
  <c r="I169" i="3" s="1"/>
  <c r="K170" i="3"/>
  <c r="I170" i="3" s="1"/>
  <c r="K171" i="3"/>
  <c r="K172" i="3"/>
  <c r="I172" i="3" s="1"/>
  <c r="K173" i="3"/>
  <c r="I173" i="3" s="1"/>
  <c r="K174" i="3"/>
  <c r="I174" i="3" s="1"/>
  <c r="K175" i="3"/>
  <c r="I175" i="3" s="1"/>
  <c r="K176" i="3"/>
  <c r="I176" i="3" s="1"/>
  <c r="K177" i="3"/>
  <c r="I177" i="3" s="1"/>
  <c r="K178" i="3"/>
  <c r="K179" i="3"/>
  <c r="I179" i="3" s="1"/>
  <c r="K180" i="3"/>
  <c r="I180" i="3" s="1"/>
  <c r="K181" i="3"/>
  <c r="I181" i="3" s="1"/>
  <c r="K182" i="3"/>
  <c r="I182" i="3" s="1"/>
  <c r="K183" i="3"/>
  <c r="I183" i="3" s="1"/>
  <c r="K184" i="3"/>
  <c r="I184" i="3" s="1"/>
  <c r="K185" i="3"/>
  <c r="K186" i="3"/>
  <c r="I186" i="3" s="1"/>
  <c r="K187" i="3"/>
  <c r="I187" i="3" s="1"/>
  <c r="K188" i="3"/>
  <c r="I188" i="3" s="1"/>
  <c r="K189" i="3"/>
  <c r="I189" i="3" s="1"/>
  <c r="K190" i="3"/>
  <c r="I190" i="3" s="1"/>
  <c r="K191" i="3"/>
  <c r="I191" i="3" s="1"/>
  <c r="K192" i="3"/>
  <c r="K193" i="3"/>
  <c r="I193" i="3" s="1"/>
  <c r="K194" i="3"/>
  <c r="I194" i="3" s="1"/>
  <c r="K195" i="3"/>
  <c r="I195" i="3" s="1"/>
  <c r="K196" i="3"/>
  <c r="I196" i="3" s="1"/>
  <c r="K197" i="3"/>
  <c r="I197" i="3" s="1"/>
  <c r="K198" i="3"/>
  <c r="I198" i="3" s="1"/>
  <c r="K199" i="3"/>
  <c r="K200" i="3"/>
  <c r="I200" i="3" s="1"/>
  <c r="K201" i="3"/>
  <c r="I201" i="3" s="1"/>
  <c r="K202" i="3"/>
  <c r="I202" i="3" s="1"/>
  <c r="K203" i="3"/>
  <c r="I203" i="3" s="1"/>
  <c r="K204" i="3"/>
  <c r="I204" i="3" s="1"/>
  <c r="K205" i="3"/>
  <c r="I205" i="3" s="1"/>
  <c r="K206" i="3"/>
  <c r="K207" i="3"/>
  <c r="I207" i="3" s="1"/>
  <c r="K208" i="3"/>
  <c r="I208" i="3" s="1"/>
  <c r="K209" i="3"/>
  <c r="I209" i="3" s="1"/>
  <c r="K210" i="3"/>
  <c r="I210" i="3" s="1"/>
  <c r="K211" i="3"/>
  <c r="I211" i="3" s="1"/>
  <c r="K212" i="3"/>
  <c r="I212" i="3" s="1"/>
  <c r="K213" i="3"/>
  <c r="K214" i="3"/>
  <c r="I214" i="3" s="1"/>
  <c r="K215" i="3"/>
  <c r="I215" i="3" s="1"/>
  <c r="K216" i="3"/>
  <c r="I216" i="3" s="1"/>
  <c r="K217" i="3"/>
  <c r="I217" i="3" s="1"/>
  <c r="K218" i="3"/>
  <c r="I218" i="3" s="1"/>
  <c r="K219" i="3"/>
  <c r="I219" i="3" s="1"/>
  <c r="K220" i="3"/>
  <c r="K221" i="3"/>
  <c r="I221" i="3" s="1"/>
  <c r="K222" i="3"/>
  <c r="I222" i="3" s="1"/>
  <c r="K223" i="3"/>
  <c r="I223" i="3" s="1"/>
  <c r="K224" i="3"/>
  <c r="I224" i="3" s="1"/>
  <c r="K225" i="3"/>
  <c r="I225" i="3" s="1"/>
  <c r="K226" i="3"/>
  <c r="I226" i="3" s="1"/>
  <c r="K227" i="3"/>
  <c r="K228" i="3"/>
  <c r="I228" i="3" s="1"/>
  <c r="K229" i="3"/>
  <c r="I229" i="3" s="1"/>
  <c r="K230" i="3"/>
  <c r="I230" i="3" s="1"/>
  <c r="K231" i="3"/>
  <c r="I231" i="3" s="1"/>
  <c r="K232" i="3"/>
  <c r="I232" i="3" s="1"/>
  <c r="K233" i="3"/>
  <c r="I233" i="3" s="1"/>
  <c r="K234" i="3"/>
  <c r="K235" i="3"/>
  <c r="I235" i="3" s="1"/>
  <c r="K236" i="3"/>
  <c r="I236" i="3" s="1"/>
  <c r="K237" i="3"/>
  <c r="I237" i="3" s="1"/>
  <c r="K238" i="3"/>
  <c r="I238" i="3" s="1"/>
  <c r="K239" i="3"/>
  <c r="I239" i="3" s="1"/>
  <c r="K240" i="3"/>
  <c r="I240" i="3" s="1"/>
  <c r="K241" i="3"/>
  <c r="K242" i="3"/>
  <c r="I242" i="3" s="1"/>
  <c r="K243" i="3"/>
  <c r="I243" i="3" s="1"/>
  <c r="K244" i="3"/>
  <c r="I244" i="3" s="1"/>
  <c r="K245" i="3"/>
  <c r="I245" i="3" s="1"/>
  <c r="K246" i="3"/>
  <c r="I246" i="3" s="1"/>
  <c r="K247" i="3"/>
  <c r="I247" i="3" s="1"/>
  <c r="K248" i="3"/>
  <c r="K249" i="3"/>
  <c r="I249" i="3" s="1"/>
  <c r="K250" i="3"/>
  <c r="I250" i="3" s="1"/>
  <c r="K251" i="3"/>
  <c r="I251" i="3" s="1"/>
  <c r="K252" i="3"/>
  <c r="I252" i="3" s="1"/>
  <c r="K253" i="3"/>
  <c r="I253" i="3" s="1"/>
  <c r="K254" i="3"/>
  <c r="I254" i="3" s="1"/>
  <c r="K255" i="3"/>
  <c r="K256" i="3"/>
  <c r="I256" i="3" s="1"/>
  <c r="K257" i="3"/>
  <c r="I257" i="3" s="1"/>
  <c r="K258" i="3"/>
  <c r="I258" i="3" s="1"/>
  <c r="K259" i="3"/>
  <c r="I259" i="3" s="1"/>
  <c r="K260" i="3"/>
  <c r="I260" i="3" s="1"/>
  <c r="K261" i="3"/>
  <c r="I261" i="3" s="1"/>
  <c r="K262" i="3"/>
  <c r="K263" i="3"/>
  <c r="I263" i="3" s="1"/>
  <c r="K264" i="3"/>
  <c r="I264" i="3" s="1"/>
  <c r="K265" i="3"/>
  <c r="I265" i="3" s="1"/>
  <c r="K266" i="3"/>
  <c r="I266" i="3" s="1"/>
  <c r="K267" i="3"/>
  <c r="I267" i="3" s="1"/>
  <c r="K268" i="3"/>
  <c r="I268" i="3" s="1"/>
  <c r="K269" i="3"/>
  <c r="K270" i="3"/>
  <c r="I270" i="3" s="1"/>
  <c r="K271" i="3"/>
  <c r="I271" i="3" s="1"/>
  <c r="K272" i="3"/>
  <c r="I272" i="3" s="1"/>
  <c r="K273" i="3"/>
  <c r="I273" i="3" s="1"/>
  <c r="K274" i="3"/>
  <c r="I274" i="3" s="1"/>
  <c r="K275" i="3"/>
  <c r="I275" i="3" s="1"/>
  <c r="K276" i="3"/>
  <c r="K277" i="3"/>
  <c r="I277" i="3" s="1"/>
  <c r="K278" i="3"/>
  <c r="I278" i="3" s="1"/>
  <c r="K279" i="3"/>
  <c r="I279" i="3" s="1"/>
  <c r="K280" i="3"/>
  <c r="I280" i="3" s="1"/>
  <c r="K281" i="3"/>
  <c r="I281" i="3" s="1"/>
  <c r="K282" i="3"/>
  <c r="I282" i="3" s="1"/>
  <c r="K283" i="3"/>
  <c r="K284" i="3"/>
  <c r="I284" i="3" s="1"/>
  <c r="K285" i="3"/>
  <c r="I285" i="3" s="1"/>
  <c r="K286" i="3"/>
  <c r="I286" i="3" s="1"/>
  <c r="K287" i="3"/>
  <c r="I287" i="3" s="1"/>
  <c r="K288" i="3"/>
  <c r="I288" i="3" s="1"/>
  <c r="K289" i="3"/>
  <c r="I289" i="3" s="1"/>
  <c r="K290" i="3"/>
  <c r="K291" i="3"/>
  <c r="I291" i="3" s="1"/>
  <c r="K292" i="3"/>
  <c r="I292" i="3" s="1"/>
  <c r="K293" i="3"/>
  <c r="I293" i="3" s="1"/>
  <c r="K294" i="3"/>
  <c r="I294" i="3" s="1"/>
  <c r="K295" i="3"/>
  <c r="I295" i="3" s="1"/>
  <c r="K296" i="3"/>
  <c r="I296" i="3" s="1"/>
  <c r="K297" i="3"/>
  <c r="K298" i="3"/>
  <c r="I298" i="3" s="1"/>
  <c r="K299" i="3"/>
  <c r="I299" i="3" s="1"/>
  <c r="K300" i="3"/>
  <c r="I300" i="3" s="1"/>
  <c r="K301" i="3"/>
  <c r="I301" i="3" s="1"/>
  <c r="K302" i="3"/>
  <c r="I302" i="3" s="1"/>
  <c r="K303" i="3"/>
  <c r="I303" i="3" s="1"/>
  <c r="K304" i="3"/>
  <c r="K305" i="3"/>
  <c r="I305" i="3" s="1"/>
  <c r="K306" i="3"/>
  <c r="I306" i="3" s="1"/>
  <c r="K307" i="3"/>
  <c r="I307" i="3" s="1"/>
  <c r="K308" i="3"/>
  <c r="I308" i="3" s="1"/>
  <c r="K309" i="3"/>
  <c r="I309" i="3" s="1"/>
  <c r="K310" i="3"/>
  <c r="I310" i="3" s="1"/>
  <c r="K311" i="3"/>
  <c r="K312" i="3"/>
  <c r="I312" i="3" s="1"/>
  <c r="K313" i="3"/>
  <c r="I313" i="3" s="1"/>
  <c r="K314" i="3"/>
  <c r="I314" i="3" s="1"/>
  <c r="K315" i="3"/>
  <c r="I315" i="3" s="1"/>
  <c r="K316" i="3"/>
  <c r="I316" i="3" s="1"/>
  <c r="K317" i="3"/>
  <c r="I317" i="3" s="1"/>
  <c r="K318" i="3"/>
  <c r="K319" i="3"/>
  <c r="I319" i="3" s="1"/>
  <c r="K320" i="3"/>
  <c r="I320" i="3" s="1"/>
  <c r="K321" i="3"/>
  <c r="I321" i="3" s="1"/>
  <c r="K322" i="3"/>
  <c r="I322" i="3" s="1"/>
  <c r="K323" i="3"/>
  <c r="I323" i="3" s="1"/>
  <c r="K324" i="3"/>
  <c r="I324" i="3" s="1"/>
  <c r="K325" i="3"/>
  <c r="K326" i="3"/>
  <c r="I326" i="3" s="1"/>
  <c r="K327" i="3"/>
  <c r="I327" i="3" s="1"/>
  <c r="K328" i="3"/>
  <c r="I328" i="3" s="1"/>
  <c r="K329" i="3"/>
  <c r="I329" i="3" s="1"/>
  <c r="K330" i="3"/>
  <c r="I330" i="3" s="1"/>
  <c r="K331" i="3"/>
  <c r="I331" i="3" s="1"/>
  <c r="K332" i="3"/>
  <c r="K333" i="3"/>
  <c r="I333" i="3" s="1"/>
  <c r="K334" i="3"/>
  <c r="I334" i="3" s="1"/>
  <c r="K335" i="3"/>
  <c r="I335" i="3" s="1"/>
  <c r="K336" i="3"/>
  <c r="I336" i="3" s="1"/>
  <c r="K337" i="3"/>
  <c r="I337" i="3" s="1"/>
  <c r="K338" i="3"/>
  <c r="I338" i="3" s="1"/>
  <c r="K339" i="3"/>
  <c r="K340" i="3"/>
  <c r="I340" i="3" s="1"/>
  <c r="K341" i="3"/>
  <c r="I341" i="3" s="1"/>
  <c r="K342" i="3"/>
  <c r="I342" i="3" s="1"/>
  <c r="K343" i="3"/>
  <c r="I343" i="3" s="1"/>
  <c r="K344" i="3"/>
  <c r="I344" i="3" s="1"/>
  <c r="K345" i="3"/>
  <c r="I345" i="3" s="1"/>
  <c r="K346" i="3"/>
  <c r="K347" i="3"/>
  <c r="I347" i="3" s="1"/>
  <c r="K348" i="3"/>
  <c r="I348" i="3" s="1"/>
  <c r="K349" i="3"/>
  <c r="I349" i="3" s="1"/>
  <c r="K350" i="3"/>
  <c r="I350" i="3" s="1"/>
  <c r="K351" i="3"/>
  <c r="I351" i="3" s="1"/>
  <c r="K352" i="3"/>
  <c r="I352" i="3" s="1"/>
  <c r="K353" i="3"/>
  <c r="K354" i="3"/>
  <c r="I354" i="3" s="1"/>
  <c r="K355" i="3"/>
  <c r="I355" i="3" s="1"/>
  <c r="K356" i="3"/>
  <c r="I356" i="3" s="1"/>
  <c r="K357" i="3"/>
  <c r="I357" i="3" s="1"/>
  <c r="K358" i="3"/>
  <c r="I358" i="3" s="1"/>
  <c r="K359" i="3"/>
  <c r="I359" i="3" s="1"/>
  <c r="K360" i="3"/>
  <c r="K361" i="3"/>
  <c r="I361" i="3" s="1"/>
  <c r="K362" i="3"/>
  <c r="I362" i="3" s="1"/>
  <c r="K363" i="3"/>
  <c r="I363" i="3" s="1"/>
  <c r="K364" i="3"/>
  <c r="I364" i="3" s="1"/>
  <c r="K365" i="3"/>
  <c r="I365" i="3" s="1"/>
  <c r="K366" i="3"/>
  <c r="I366" i="3" s="1"/>
  <c r="F2" i="3"/>
  <c r="H2" i="3" s="1"/>
  <c r="J2" i="3" s="1"/>
  <c r="X2" i="3" l="1"/>
  <c r="R3" i="3"/>
  <c r="C3" i="3"/>
  <c r="E3" i="3"/>
  <c r="S3" i="3" l="1"/>
  <c r="U3" i="3" s="1"/>
  <c r="T3" i="3"/>
  <c r="V3" i="3" s="1"/>
  <c r="G3" i="3"/>
  <c r="F3" i="3"/>
  <c r="H3" i="3" s="1"/>
  <c r="I3" i="3"/>
  <c r="C4" i="3" s="1"/>
  <c r="X3" i="3" l="1"/>
  <c r="R4" i="3"/>
  <c r="W3" i="3"/>
  <c r="Q4" i="3" s="1"/>
  <c r="J3" i="3"/>
  <c r="D4" i="3"/>
  <c r="E4" i="3"/>
  <c r="G4" i="3" s="1"/>
  <c r="F4" i="3"/>
  <c r="H4" i="3" s="1"/>
  <c r="T4" i="3" l="1"/>
  <c r="V4" i="3" s="1"/>
  <c r="S4" i="3"/>
  <c r="U4" i="3" s="1"/>
  <c r="Q5" i="3" s="1"/>
  <c r="J4" i="3"/>
  <c r="D5" i="3" s="1"/>
  <c r="E5" i="3" s="1"/>
  <c r="C5" i="3"/>
  <c r="X4" i="3" l="1"/>
  <c r="R5" i="3" s="1"/>
  <c r="G5" i="3"/>
  <c r="C6" i="3" s="1"/>
  <c r="F5" i="3"/>
  <c r="H5" i="3" s="1"/>
  <c r="T5" i="3" l="1"/>
  <c r="V5" i="3" s="1"/>
  <c r="S5" i="3"/>
  <c r="U5" i="3" s="1"/>
  <c r="Q6" i="3" s="1"/>
  <c r="J5" i="3"/>
  <c r="D6" i="3" s="1"/>
  <c r="X5" i="3" l="1"/>
  <c r="R6" i="3"/>
  <c r="E6" i="3"/>
  <c r="F6" i="3"/>
  <c r="H6" i="3" s="1"/>
  <c r="T6" i="3" l="1"/>
  <c r="V6" i="3"/>
  <c r="S6" i="3"/>
  <c r="U6" i="3" s="1"/>
  <c r="Q7" i="3" s="1"/>
  <c r="G6" i="3"/>
  <c r="C7" i="3" s="1"/>
  <c r="J6" i="3"/>
  <c r="D7" i="3" s="1"/>
  <c r="X6" i="3" l="1"/>
  <c r="R7" i="3" s="1"/>
  <c r="E7" i="3"/>
  <c r="F7" i="3"/>
  <c r="H7" i="3" s="1"/>
  <c r="S7" i="3" l="1"/>
  <c r="U7" i="3" s="1"/>
  <c r="Q8" i="3" s="1"/>
  <c r="T7" i="3"/>
  <c r="V7" i="3" s="1"/>
  <c r="G7" i="3"/>
  <c r="C8" i="3" s="1"/>
  <c r="J7" i="3"/>
  <c r="D8" i="3" s="1"/>
  <c r="X7" i="3" l="1"/>
  <c r="R8" i="3"/>
  <c r="E8" i="3"/>
  <c r="F8" i="3"/>
  <c r="H8" i="3"/>
  <c r="T8" i="3" l="1"/>
  <c r="V8" i="3" s="1"/>
  <c r="S8" i="3"/>
  <c r="U8" i="3" s="1"/>
  <c r="Q9" i="3" s="1"/>
  <c r="G8" i="3"/>
  <c r="C9" i="3" s="1"/>
  <c r="J8" i="3"/>
  <c r="D9" i="3" s="1"/>
  <c r="X8" i="3" l="1"/>
  <c r="R9" i="3" s="1"/>
  <c r="F9" i="3"/>
  <c r="H9" i="3"/>
  <c r="E9" i="3"/>
  <c r="T9" i="3" l="1"/>
  <c r="V9" i="3" s="1"/>
  <c r="S9" i="3"/>
  <c r="U9" i="3" s="1"/>
  <c r="Q10" i="3" s="1"/>
  <c r="G9" i="3"/>
  <c r="C10" i="3" s="1"/>
  <c r="J9" i="3"/>
  <c r="D10" i="3" s="1"/>
  <c r="X9" i="3" l="1"/>
  <c r="R10" i="3" s="1"/>
  <c r="E10" i="3"/>
  <c r="G10" i="3" s="1"/>
  <c r="F10" i="3"/>
  <c r="H10" i="3" s="1"/>
  <c r="S10" i="3" l="1"/>
  <c r="U10" i="3" s="1"/>
  <c r="T10" i="3"/>
  <c r="V10" i="3" s="1"/>
  <c r="J10" i="3"/>
  <c r="D11" i="3" s="1"/>
  <c r="I10" i="3"/>
  <c r="C11" i="3" s="1"/>
  <c r="X10" i="3" l="1"/>
  <c r="R11" i="3"/>
  <c r="W10" i="3"/>
  <c r="Q11" i="3" s="1"/>
  <c r="E11" i="3"/>
  <c r="G11" i="3" s="1"/>
  <c r="C12" i="3" s="1"/>
  <c r="F11" i="3"/>
  <c r="H11" i="3" s="1"/>
  <c r="T11" i="3" l="1"/>
  <c r="V11" i="3" s="1"/>
  <c r="S11" i="3"/>
  <c r="U11" i="3" s="1"/>
  <c r="Q12" i="3" s="1"/>
  <c r="J11" i="3"/>
  <c r="D12" i="3" s="1"/>
  <c r="X11" i="3" l="1"/>
  <c r="R12" i="3"/>
  <c r="F12" i="3"/>
  <c r="H12" i="3"/>
  <c r="E12" i="3"/>
  <c r="T12" i="3" l="1"/>
  <c r="V12" i="3" s="1"/>
  <c r="S12" i="3"/>
  <c r="U12" i="3" s="1"/>
  <c r="Q13" i="3" s="1"/>
  <c r="G12" i="3"/>
  <c r="C13" i="3" s="1"/>
  <c r="J12" i="3"/>
  <c r="D13" i="3" s="1"/>
  <c r="X12" i="3" l="1"/>
  <c r="R13" i="3"/>
  <c r="E13" i="3"/>
  <c r="F13" i="3"/>
  <c r="H13" i="3" s="1"/>
  <c r="T13" i="3" l="1"/>
  <c r="V13" i="3"/>
  <c r="S13" i="3"/>
  <c r="U13" i="3" s="1"/>
  <c r="Q14" i="3" s="1"/>
  <c r="G13" i="3"/>
  <c r="C14" i="3" s="1"/>
  <c r="J13" i="3"/>
  <c r="D14" i="3" s="1"/>
  <c r="X13" i="3" l="1"/>
  <c r="R14" i="3"/>
  <c r="F14" i="3"/>
  <c r="H14" i="3"/>
  <c r="E14" i="3"/>
  <c r="T14" i="3" l="1"/>
  <c r="S14" i="3"/>
  <c r="U14" i="3" s="1"/>
  <c r="Q15" i="3" s="1"/>
  <c r="V14" i="3"/>
  <c r="G14" i="3"/>
  <c r="C15" i="3" s="1"/>
  <c r="J14" i="3"/>
  <c r="D15" i="3" s="1"/>
  <c r="X14" i="3" l="1"/>
  <c r="R15" i="3"/>
  <c r="E15" i="3"/>
  <c r="F15" i="3"/>
  <c r="H15" i="3" s="1"/>
  <c r="S15" i="3" l="1"/>
  <c r="U15" i="3" s="1"/>
  <c r="Q16" i="3" s="1"/>
  <c r="T15" i="3"/>
  <c r="V15" i="3" s="1"/>
  <c r="G15" i="3"/>
  <c r="C16" i="3" s="1"/>
  <c r="J15" i="3"/>
  <c r="D16" i="3" s="1"/>
  <c r="X15" i="3" l="1"/>
  <c r="R16" i="3" s="1"/>
  <c r="E16" i="3"/>
  <c r="F16" i="3"/>
  <c r="H16" i="3" s="1"/>
  <c r="T16" i="3" l="1"/>
  <c r="V16" i="3" s="1"/>
  <c r="S16" i="3"/>
  <c r="U16" i="3" s="1"/>
  <c r="Q17" i="3" s="1"/>
  <c r="G16" i="3"/>
  <c r="C17" i="3" s="1"/>
  <c r="J16" i="3"/>
  <c r="D17" i="3" s="1"/>
  <c r="X16" i="3" l="1"/>
  <c r="R17" i="3" s="1"/>
  <c r="F17" i="3"/>
  <c r="E17" i="3"/>
  <c r="G17" i="3" s="1"/>
  <c r="H17" i="3"/>
  <c r="S17" i="3" l="1"/>
  <c r="U17" i="3" s="1"/>
  <c r="T17" i="3"/>
  <c r="V17" i="3" s="1"/>
  <c r="J17" i="3"/>
  <c r="D18" i="3" s="1"/>
  <c r="I17" i="3"/>
  <c r="C18" i="3"/>
  <c r="X17" i="3" l="1"/>
  <c r="R18" i="3"/>
  <c r="W17" i="3"/>
  <c r="Q18" i="3" s="1"/>
  <c r="F18" i="3"/>
  <c r="E18" i="3"/>
  <c r="G18" i="3" s="1"/>
  <c r="C19" i="3" s="1"/>
  <c r="H18" i="3"/>
  <c r="T18" i="3" l="1"/>
  <c r="V18" i="3"/>
  <c r="S18" i="3"/>
  <c r="U18" i="3" s="1"/>
  <c r="Q19" i="3" s="1"/>
  <c r="J18" i="3"/>
  <c r="D19" i="3" s="1"/>
  <c r="X18" i="3" l="1"/>
  <c r="R19" i="3"/>
  <c r="F19" i="3"/>
  <c r="H19" i="3" s="1"/>
  <c r="E19" i="3"/>
  <c r="T19" i="3" l="1"/>
  <c r="V19" i="3" s="1"/>
  <c r="S19" i="3"/>
  <c r="U19" i="3" s="1"/>
  <c r="Q20" i="3" s="1"/>
  <c r="G19" i="3"/>
  <c r="C20" i="3" s="1"/>
  <c r="J19" i="3"/>
  <c r="D20" i="3" s="1"/>
  <c r="X19" i="3" l="1"/>
  <c r="R20" i="3"/>
  <c r="F20" i="3"/>
  <c r="H20" i="3" s="1"/>
  <c r="E20" i="3"/>
  <c r="S20" i="3" l="1"/>
  <c r="U20" i="3" s="1"/>
  <c r="Q21" i="3" s="1"/>
  <c r="T20" i="3"/>
  <c r="V20" i="3" s="1"/>
  <c r="G20" i="3"/>
  <c r="C21" i="3" s="1"/>
  <c r="J20" i="3"/>
  <c r="D21" i="3" s="1"/>
  <c r="X20" i="3" l="1"/>
  <c r="R21" i="3" s="1"/>
  <c r="F21" i="3"/>
  <c r="H21" i="3" s="1"/>
  <c r="E21" i="3"/>
  <c r="T21" i="3" l="1"/>
  <c r="V21" i="3" s="1"/>
  <c r="S21" i="3"/>
  <c r="U21" i="3" s="1"/>
  <c r="Q22" i="3" s="1"/>
  <c r="G21" i="3"/>
  <c r="C22" i="3" s="1"/>
  <c r="J21" i="3"/>
  <c r="D22" i="3" s="1"/>
  <c r="X21" i="3" l="1"/>
  <c r="R22" i="3"/>
  <c r="E22" i="3"/>
  <c r="F22" i="3"/>
  <c r="H22" i="3" s="1"/>
  <c r="T22" i="3" l="1"/>
  <c r="V22" i="3" s="1"/>
  <c r="S22" i="3"/>
  <c r="U22" i="3" s="1"/>
  <c r="Q23" i="3" s="1"/>
  <c r="G22" i="3"/>
  <c r="C23" i="3" s="1"/>
  <c r="J22" i="3"/>
  <c r="D23" i="3" s="1"/>
  <c r="X22" i="3" l="1"/>
  <c r="R23" i="3"/>
  <c r="F23" i="3"/>
  <c r="H23" i="3" s="1"/>
  <c r="E23" i="3"/>
  <c r="T23" i="3" l="1"/>
  <c r="S23" i="3"/>
  <c r="U23" i="3" s="1"/>
  <c r="Q24" i="3" s="1"/>
  <c r="V23" i="3"/>
  <c r="G23" i="3"/>
  <c r="C24" i="3" s="1"/>
  <c r="J23" i="3"/>
  <c r="D24" i="3" s="1"/>
  <c r="X23" i="3" l="1"/>
  <c r="R24" i="3" s="1"/>
  <c r="F24" i="3"/>
  <c r="H24" i="3"/>
  <c r="E24" i="3"/>
  <c r="G24" i="3" s="1"/>
  <c r="T24" i="3" l="1"/>
  <c r="V24" i="3" s="1"/>
  <c r="S24" i="3"/>
  <c r="U24" i="3" s="1"/>
  <c r="J24" i="3"/>
  <c r="D25" i="3" s="1"/>
  <c r="I24" i="3"/>
  <c r="C25" i="3" s="1"/>
  <c r="X24" i="3" l="1"/>
  <c r="R25" i="3" s="1"/>
  <c r="W24" i="3"/>
  <c r="Q25" i="3" s="1"/>
  <c r="E25" i="3"/>
  <c r="G25" i="3" s="1"/>
  <c r="C26" i="3" s="1"/>
  <c r="F25" i="3"/>
  <c r="H25" i="3"/>
  <c r="S25" i="3" l="1"/>
  <c r="U25" i="3" s="1"/>
  <c r="Q26" i="3" s="1"/>
  <c r="T25" i="3"/>
  <c r="V25" i="3"/>
  <c r="J25" i="3"/>
  <c r="D26" i="3" s="1"/>
  <c r="X25" i="3" l="1"/>
  <c r="R26" i="3" s="1"/>
  <c r="F26" i="3"/>
  <c r="H26" i="3" s="1"/>
  <c r="E26" i="3"/>
  <c r="S26" i="3" l="1"/>
  <c r="U26" i="3" s="1"/>
  <c r="Q27" i="3" s="1"/>
  <c r="T26" i="3"/>
  <c r="V26" i="3"/>
  <c r="G26" i="3"/>
  <c r="C27" i="3" s="1"/>
  <c r="J26" i="3"/>
  <c r="D27" i="3" s="1"/>
  <c r="X26" i="3" l="1"/>
  <c r="R27" i="3" s="1"/>
  <c r="F27" i="3"/>
  <c r="E27" i="3"/>
  <c r="H27" i="3"/>
  <c r="S27" i="3" l="1"/>
  <c r="U27" i="3" s="1"/>
  <c r="Q28" i="3" s="1"/>
  <c r="T27" i="3"/>
  <c r="V27" i="3"/>
  <c r="G27" i="3"/>
  <c r="C28" i="3" s="1"/>
  <c r="J27" i="3"/>
  <c r="D28" i="3" s="1"/>
  <c r="X27" i="3" l="1"/>
  <c r="R28" i="3"/>
  <c r="E28" i="3"/>
  <c r="F28" i="3"/>
  <c r="H28" i="3" s="1"/>
  <c r="S28" i="3" l="1"/>
  <c r="U28" i="3" s="1"/>
  <c r="Q29" i="3" s="1"/>
  <c r="T28" i="3"/>
  <c r="V28" i="3" s="1"/>
  <c r="G28" i="3"/>
  <c r="C29" i="3" s="1"/>
  <c r="J28" i="3"/>
  <c r="D29" i="3" s="1"/>
  <c r="X28" i="3" l="1"/>
  <c r="R29" i="3"/>
  <c r="F29" i="3"/>
  <c r="H29" i="3" s="1"/>
  <c r="E29" i="3"/>
  <c r="S29" i="3" l="1"/>
  <c r="U29" i="3" s="1"/>
  <c r="Q30" i="3" s="1"/>
  <c r="T29" i="3"/>
  <c r="V29" i="3" s="1"/>
  <c r="G29" i="3"/>
  <c r="C30" i="3" s="1"/>
  <c r="J29" i="3"/>
  <c r="D30" i="3" s="1"/>
  <c r="X29" i="3" l="1"/>
  <c r="R30" i="3"/>
  <c r="E30" i="3"/>
  <c r="F30" i="3"/>
  <c r="H30" i="3" s="1"/>
  <c r="T30" i="3" l="1"/>
  <c r="V30" i="3" s="1"/>
  <c r="S30" i="3"/>
  <c r="U30" i="3" s="1"/>
  <c r="Q31" i="3" s="1"/>
  <c r="G30" i="3"/>
  <c r="C31" i="3" s="1"/>
  <c r="J30" i="3"/>
  <c r="D31" i="3" s="1"/>
  <c r="X30" i="3" l="1"/>
  <c r="R31" i="3" s="1"/>
  <c r="E31" i="3"/>
  <c r="G31" i="3" s="1"/>
  <c r="F31" i="3"/>
  <c r="H31" i="3" s="1"/>
  <c r="T31" i="3" l="1"/>
  <c r="S31" i="3"/>
  <c r="U31" i="3" s="1"/>
  <c r="V31" i="3"/>
  <c r="J31" i="3"/>
  <c r="D32" i="3" s="1"/>
  <c r="I31" i="3"/>
  <c r="C32" i="3" s="1"/>
  <c r="X31" i="3" l="1"/>
  <c r="R32" i="3" s="1"/>
  <c r="W31" i="3"/>
  <c r="Q32" i="3" s="1"/>
  <c r="E32" i="3"/>
  <c r="F32" i="3"/>
  <c r="H32" i="3" s="1"/>
  <c r="T32" i="3" l="1"/>
  <c r="S32" i="3"/>
  <c r="U32" i="3" s="1"/>
  <c r="Q33" i="3" s="1"/>
  <c r="V32" i="3"/>
  <c r="G32" i="3"/>
  <c r="C33" i="3" s="1"/>
  <c r="J32" i="3"/>
  <c r="D33" i="3" s="1"/>
  <c r="X32" i="3" l="1"/>
  <c r="R33" i="3" s="1"/>
  <c r="E33" i="3"/>
  <c r="F33" i="3"/>
  <c r="H33" i="3" s="1"/>
  <c r="T33" i="3" l="1"/>
  <c r="S33" i="3"/>
  <c r="U33" i="3" s="1"/>
  <c r="Q34" i="3" s="1"/>
  <c r="V33" i="3"/>
  <c r="G33" i="3"/>
  <c r="C34" i="3" s="1"/>
  <c r="J33" i="3"/>
  <c r="D34" i="3" s="1"/>
  <c r="X33" i="3" l="1"/>
  <c r="R34" i="3" s="1"/>
  <c r="E34" i="3"/>
  <c r="F34" i="3"/>
  <c r="H34" i="3" s="1"/>
  <c r="S34" i="3" l="1"/>
  <c r="U34" i="3" s="1"/>
  <c r="Q35" i="3" s="1"/>
  <c r="T34" i="3"/>
  <c r="V34" i="3"/>
  <c r="G34" i="3"/>
  <c r="C35" i="3" s="1"/>
  <c r="J34" i="3"/>
  <c r="D35" i="3" s="1"/>
  <c r="X34" i="3" l="1"/>
  <c r="R35" i="3" s="1"/>
  <c r="F35" i="3"/>
  <c r="E35" i="3"/>
  <c r="H35" i="3"/>
  <c r="S35" i="3" l="1"/>
  <c r="U35" i="3" s="1"/>
  <c r="Q36" i="3" s="1"/>
  <c r="T35" i="3"/>
  <c r="V35" i="3" s="1"/>
  <c r="G35" i="3"/>
  <c r="C36" i="3" s="1"/>
  <c r="J35" i="3"/>
  <c r="D36" i="3" s="1"/>
  <c r="X35" i="3" l="1"/>
  <c r="R36" i="3" s="1"/>
  <c r="F36" i="3"/>
  <c r="H36" i="3"/>
  <c r="E36" i="3"/>
  <c r="T36" i="3" l="1"/>
  <c r="V36" i="3" s="1"/>
  <c r="S36" i="3"/>
  <c r="U36" i="3" s="1"/>
  <c r="Q37" i="3" s="1"/>
  <c r="G36" i="3"/>
  <c r="C37" i="3" s="1"/>
  <c r="J36" i="3"/>
  <c r="D37" i="3" s="1"/>
  <c r="X36" i="3" l="1"/>
  <c r="R37" i="3" s="1"/>
  <c r="F37" i="3"/>
  <c r="H37" i="3"/>
  <c r="E37" i="3"/>
  <c r="T37" i="3" l="1"/>
  <c r="S37" i="3"/>
  <c r="U37" i="3" s="1"/>
  <c r="Q38" i="3" s="1"/>
  <c r="V37" i="3"/>
  <c r="G37" i="3"/>
  <c r="C38" i="3" s="1"/>
  <c r="J37" i="3"/>
  <c r="D38" i="3" s="1"/>
  <c r="X37" i="3" l="1"/>
  <c r="R38" i="3" s="1"/>
  <c r="F38" i="3"/>
  <c r="H38" i="3" s="1"/>
  <c r="E38" i="3"/>
  <c r="G38" i="3" s="1"/>
  <c r="T38" i="3" l="1"/>
  <c r="S38" i="3"/>
  <c r="U38" i="3" s="1"/>
  <c r="V38" i="3"/>
  <c r="J38" i="3"/>
  <c r="D39" i="3" s="1"/>
  <c r="I38" i="3"/>
  <c r="C39" i="3" s="1"/>
  <c r="X38" i="3" l="1"/>
  <c r="R39" i="3"/>
  <c r="W38" i="3"/>
  <c r="Q39" i="3"/>
  <c r="F39" i="3"/>
  <c r="H39" i="3" s="1"/>
  <c r="E39" i="3"/>
  <c r="S39" i="3" l="1"/>
  <c r="U39" i="3" s="1"/>
  <c r="Q40" i="3" s="1"/>
  <c r="T39" i="3"/>
  <c r="V39" i="3" s="1"/>
  <c r="G39" i="3"/>
  <c r="C40" i="3" s="1"/>
  <c r="J39" i="3"/>
  <c r="D40" i="3" s="1"/>
  <c r="X39" i="3" l="1"/>
  <c r="R40" i="3" s="1"/>
  <c r="E40" i="3"/>
  <c r="F40" i="3"/>
  <c r="H40" i="3" s="1"/>
  <c r="T40" i="3" l="1"/>
  <c r="V40" i="3" s="1"/>
  <c r="S40" i="3"/>
  <c r="U40" i="3" s="1"/>
  <c r="Q41" i="3" s="1"/>
  <c r="G40" i="3"/>
  <c r="C41" i="3" s="1"/>
  <c r="J40" i="3"/>
  <c r="D41" i="3" s="1"/>
  <c r="X40" i="3" l="1"/>
  <c r="R41" i="3"/>
  <c r="F41" i="3"/>
  <c r="H41" i="3"/>
  <c r="E41" i="3"/>
  <c r="S41" i="3" l="1"/>
  <c r="U41" i="3" s="1"/>
  <c r="Q42" i="3" s="1"/>
  <c r="T41" i="3"/>
  <c r="V41" i="3"/>
  <c r="G41" i="3"/>
  <c r="C42" i="3" s="1"/>
  <c r="J41" i="3"/>
  <c r="D42" i="3" s="1"/>
  <c r="X41" i="3" l="1"/>
  <c r="R42" i="3"/>
  <c r="F42" i="3"/>
  <c r="H42" i="3" s="1"/>
  <c r="E42" i="3"/>
  <c r="T42" i="3" l="1"/>
  <c r="V42" i="3" s="1"/>
  <c r="S42" i="3"/>
  <c r="U42" i="3" s="1"/>
  <c r="Q43" i="3" s="1"/>
  <c r="G42" i="3"/>
  <c r="C43" i="3" s="1"/>
  <c r="J42" i="3"/>
  <c r="D43" i="3" s="1"/>
  <c r="X42" i="3" l="1"/>
  <c r="R43" i="3"/>
  <c r="E43" i="3"/>
  <c r="F43" i="3"/>
  <c r="H43" i="3" s="1"/>
  <c r="T43" i="3" l="1"/>
  <c r="V43" i="3" s="1"/>
  <c r="S43" i="3"/>
  <c r="U43" i="3" s="1"/>
  <c r="Q44" i="3" s="1"/>
  <c r="G43" i="3"/>
  <c r="C44" i="3" s="1"/>
  <c r="J43" i="3"/>
  <c r="D44" i="3" s="1"/>
  <c r="X43" i="3" l="1"/>
  <c r="R44" i="3" s="1"/>
  <c r="E44" i="3"/>
  <c r="F44" i="3"/>
  <c r="H44" i="3" s="1"/>
  <c r="T44" i="3" l="1"/>
  <c r="V44" i="3" s="1"/>
  <c r="S44" i="3"/>
  <c r="U44" i="3" s="1"/>
  <c r="Q45" i="3" s="1"/>
  <c r="G44" i="3"/>
  <c r="C45" i="3" s="1"/>
  <c r="J44" i="3"/>
  <c r="D45" i="3" s="1"/>
  <c r="X44" i="3" l="1"/>
  <c r="R45" i="3" s="1"/>
  <c r="F45" i="3"/>
  <c r="H45" i="3"/>
  <c r="E45" i="3"/>
  <c r="G45" i="3" s="1"/>
  <c r="T45" i="3" l="1"/>
  <c r="V45" i="3" s="1"/>
  <c r="S45" i="3"/>
  <c r="U45" i="3" s="1"/>
  <c r="J45" i="3"/>
  <c r="I45" i="3" s="1"/>
  <c r="C46" i="3" s="1"/>
  <c r="X45" i="3" l="1"/>
  <c r="R46" i="3" s="1"/>
  <c r="W45" i="3"/>
  <c r="Q46" i="3" s="1"/>
  <c r="D46" i="3"/>
  <c r="F46" i="3"/>
  <c r="H46" i="3"/>
  <c r="E46" i="3"/>
  <c r="G46" i="3" s="1"/>
  <c r="C47" i="3" s="1"/>
  <c r="T46" i="3" l="1"/>
  <c r="V46" i="3" s="1"/>
  <c r="S46" i="3"/>
  <c r="U46" i="3" s="1"/>
  <c r="Q47" i="3" s="1"/>
  <c r="J46" i="3"/>
  <c r="D47" i="3" s="1"/>
  <c r="X46" i="3" l="1"/>
  <c r="R47" i="3" s="1"/>
  <c r="F47" i="3"/>
  <c r="H47" i="3"/>
  <c r="E47" i="3"/>
  <c r="S47" i="3" l="1"/>
  <c r="U47" i="3" s="1"/>
  <c r="Q48" i="3" s="1"/>
  <c r="T47" i="3"/>
  <c r="V47" i="3" s="1"/>
  <c r="G47" i="3"/>
  <c r="C48" i="3" s="1"/>
  <c r="J47" i="3"/>
  <c r="D48" i="3" s="1"/>
  <c r="X47" i="3" l="1"/>
  <c r="R48" i="3" s="1"/>
  <c r="E48" i="3"/>
  <c r="F48" i="3"/>
  <c r="H48" i="3" s="1"/>
  <c r="S48" i="3" l="1"/>
  <c r="U48" i="3" s="1"/>
  <c r="Q49" i="3" s="1"/>
  <c r="T48" i="3"/>
  <c r="V48" i="3" s="1"/>
  <c r="G48" i="3"/>
  <c r="C49" i="3" s="1"/>
  <c r="J48" i="3"/>
  <c r="D49" i="3" s="1"/>
  <c r="X48" i="3" l="1"/>
  <c r="R49" i="3" s="1"/>
  <c r="F49" i="3"/>
  <c r="H49" i="3"/>
  <c r="E49" i="3"/>
  <c r="S49" i="3" l="1"/>
  <c r="U49" i="3" s="1"/>
  <c r="Q50" i="3" s="1"/>
  <c r="T49" i="3"/>
  <c r="V49" i="3" s="1"/>
  <c r="G49" i="3"/>
  <c r="C50" i="3" s="1"/>
  <c r="J49" i="3"/>
  <c r="D50" i="3" s="1"/>
  <c r="X49" i="3" l="1"/>
  <c r="R50" i="3"/>
  <c r="E50" i="3"/>
  <c r="F50" i="3"/>
  <c r="H50" i="3"/>
  <c r="T50" i="3" l="1"/>
  <c r="V50" i="3" s="1"/>
  <c r="S50" i="3"/>
  <c r="U50" i="3" s="1"/>
  <c r="Q51" i="3" s="1"/>
  <c r="G50" i="3"/>
  <c r="C51" i="3" s="1"/>
  <c r="J50" i="3"/>
  <c r="D51" i="3" s="1"/>
  <c r="X50" i="3" l="1"/>
  <c r="R51" i="3"/>
  <c r="F51" i="3"/>
  <c r="H51" i="3"/>
  <c r="E51" i="3"/>
  <c r="T51" i="3" l="1"/>
  <c r="V51" i="3" s="1"/>
  <c r="S51" i="3"/>
  <c r="U51" i="3" s="1"/>
  <c r="Q52" i="3" s="1"/>
  <c r="G51" i="3"/>
  <c r="C52" i="3" s="1"/>
  <c r="J51" i="3"/>
  <c r="D52" i="3" s="1"/>
  <c r="X51" i="3" l="1"/>
  <c r="R52" i="3" s="1"/>
  <c r="E52" i="3"/>
  <c r="G52" i="3" s="1"/>
  <c r="F52" i="3"/>
  <c r="H52" i="3" s="1"/>
  <c r="T52" i="3" l="1"/>
  <c r="V52" i="3" s="1"/>
  <c r="S52" i="3"/>
  <c r="U52" i="3" s="1"/>
  <c r="J52" i="3"/>
  <c r="D53" i="3" s="1"/>
  <c r="I52" i="3"/>
  <c r="C53" i="3" s="1"/>
  <c r="X52" i="3" l="1"/>
  <c r="R53" i="3"/>
  <c r="W52" i="3"/>
  <c r="Q53" i="3"/>
  <c r="F53" i="3"/>
  <c r="H53" i="3"/>
  <c r="E53" i="3"/>
  <c r="T53" i="3" l="1"/>
  <c r="V53" i="3" s="1"/>
  <c r="S53" i="3"/>
  <c r="U53" i="3" s="1"/>
  <c r="Q54" i="3" s="1"/>
  <c r="G53" i="3"/>
  <c r="C54" i="3" s="1"/>
  <c r="J53" i="3"/>
  <c r="D54" i="3" s="1"/>
  <c r="X53" i="3" l="1"/>
  <c r="R54" i="3" s="1"/>
  <c r="E54" i="3"/>
  <c r="F54" i="3"/>
  <c r="H54" i="3" s="1"/>
  <c r="T54" i="3" l="1"/>
  <c r="V54" i="3"/>
  <c r="S54" i="3"/>
  <c r="U54" i="3" s="1"/>
  <c r="Q55" i="3" s="1"/>
  <c r="G54" i="3"/>
  <c r="C55" i="3" s="1"/>
  <c r="J54" i="3"/>
  <c r="D55" i="3" s="1"/>
  <c r="X54" i="3" l="1"/>
  <c r="R55" i="3" s="1"/>
  <c r="F55" i="3"/>
  <c r="E55" i="3"/>
  <c r="H55" i="3"/>
  <c r="T55" i="3" l="1"/>
  <c r="V55" i="3" s="1"/>
  <c r="S55" i="3"/>
  <c r="U55" i="3" s="1"/>
  <c r="Q56" i="3" s="1"/>
  <c r="G55" i="3"/>
  <c r="C56" i="3" s="1"/>
  <c r="J55" i="3"/>
  <c r="D56" i="3" s="1"/>
  <c r="X55" i="3" l="1"/>
  <c r="R56" i="3" s="1"/>
  <c r="F56" i="3"/>
  <c r="H56" i="3" s="1"/>
  <c r="E56" i="3"/>
  <c r="T56" i="3" l="1"/>
  <c r="V56" i="3" s="1"/>
  <c r="S56" i="3"/>
  <c r="U56" i="3" s="1"/>
  <c r="Q57" i="3" s="1"/>
  <c r="G56" i="3"/>
  <c r="C57" i="3" s="1"/>
  <c r="J56" i="3"/>
  <c r="D57" i="3" s="1"/>
  <c r="X56" i="3" l="1"/>
  <c r="R57" i="3" s="1"/>
  <c r="F57" i="3"/>
  <c r="H57" i="3" s="1"/>
  <c r="E57" i="3"/>
  <c r="S57" i="3" l="1"/>
  <c r="U57" i="3" s="1"/>
  <c r="Q58" i="3" s="1"/>
  <c r="T57" i="3"/>
  <c r="V57" i="3" s="1"/>
  <c r="G57" i="3"/>
  <c r="C58" i="3" s="1"/>
  <c r="J57" i="3"/>
  <c r="D58" i="3" s="1"/>
  <c r="X57" i="3" l="1"/>
  <c r="R58" i="3" s="1"/>
  <c r="E58" i="3"/>
  <c r="F58" i="3"/>
  <c r="H58" i="3"/>
  <c r="T58" i="3" l="1"/>
  <c r="V58" i="3"/>
  <c r="S58" i="3"/>
  <c r="U58" i="3" s="1"/>
  <c r="Q59" i="3" s="1"/>
  <c r="G58" i="3"/>
  <c r="C59" i="3" s="1"/>
  <c r="J58" i="3"/>
  <c r="D59" i="3" s="1"/>
  <c r="X58" i="3" l="1"/>
  <c r="R59" i="3" s="1"/>
  <c r="F59" i="3"/>
  <c r="H59" i="3" s="1"/>
  <c r="E59" i="3"/>
  <c r="G59" i="3" s="1"/>
  <c r="T59" i="3" l="1"/>
  <c r="V59" i="3" s="1"/>
  <c r="S59" i="3"/>
  <c r="U59" i="3" s="1"/>
  <c r="J59" i="3"/>
  <c r="I59" i="3" s="1"/>
  <c r="C60" i="3" s="1"/>
  <c r="X59" i="3" l="1"/>
  <c r="R60" i="3"/>
  <c r="W59" i="3"/>
  <c r="Q60" i="3"/>
  <c r="D60" i="3"/>
  <c r="F60" i="3"/>
  <c r="H60" i="3" s="1"/>
  <c r="E60" i="3"/>
  <c r="G60" i="3" s="1"/>
  <c r="C61" i="3" s="1"/>
  <c r="T60" i="3" l="1"/>
  <c r="V60" i="3" s="1"/>
  <c r="S60" i="3"/>
  <c r="U60" i="3" s="1"/>
  <c r="Q61" i="3" s="1"/>
  <c r="J60" i="3"/>
  <c r="D61" i="3" s="1"/>
  <c r="X60" i="3" l="1"/>
  <c r="R61" i="3" s="1"/>
  <c r="F61" i="3"/>
  <c r="H61" i="3"/>
  <c r="E61" i="3"/>
  <c r="T61" i="3" l="1"/>
  <c r="V61" i="3"/>
  <c r="S61" i="3"/>
  <c r="U61" i="3" s="1"/>
  <c r="Q62" i="3" s="1"/>
  <c r="G61" i="3"/>
  <c r="C62" i="3" s="1"/>
  <c r="J61" i="3"/>
  <c r="D62" i="3" s="1"/>
  <c r="X61" i="3" l="1"/>
  <c r="R62" i="3" s="1"/>
  <c r="F62" i="3"/>
  <c r="H62" i="3"/>
  <c r="E62" i="3"/>
  <c r="T62" i="3" l="1"/>
  <c r="V62" i="3" s="1"/>
  <c r="S62" i="3"/>
  <c r="U62" i="3" s="1"/>
  <c r="Q63" i="3" s="1"/>
  <c r="G62" i="3"/>
  <c r="C63" i="3" s="1"/>
  <c r="J62" i="3"/>
  <c r="D63" i="3" s="1"/>
  <c r="X62" i="3" l="1"/>
  <c r="R63" i="3"/>
  <c r="F63" i="3"/>
  <c r="H63" i="3"/>
  <c r="E63" i="3"/>
  <c r="T63" i="3" l="1"/>
  <c r="V63" i="3" s="1"/>
  <c r="S63" i="3"/>
  <c r="U63" i="3" s="1"/>
  <c r="Q64" i="3" s="1"/>
  <c r="G63" i="3"/>
  <c r="C64" i="3" s="1"/>
  <c r="J63" i="3"/>
  <c r="D64" i="3" s="1"/>
  <c r="X63" i="3" l="1"/>
  <c r="R64" i="3"/>
  <c r="E64" i="3"/>
  <c r="F64" i="3"/>
  <c r="H64" i="3" s="1"/>
  <c r="T64" i="3" l="1"/>
  <c r="V64" i="3" s="1"/>
  <c r="S64" i="3"/>
  <c r="U64" i="3" s="1"/>
  <c r="Q65" i="3" s="1"/>
  <c r="G64" i="3"/>
  <c r="C65" i="3" s="1"/>
  <c r="J64" i="3"/>
  <c r="D65" i="3" s="1"/>
  <c r="X64" i="3" l="1"/>
  <c r="R65" i="3" s="1"/>
  <c r="F65" i="3"/>
  <c r="H65" i="3" s="1"/>
  <c r="E65" i="3"/>
  <c r="T65" i="3" l="1"/>
  <c r="S65" i="3"/>
  <c r="U65" i="3" s="1"/>
  <c r="Q66" i="3" s="1"/>
  <c r="V65" i="3"/>
  <c r="G65" i="3"/>
  <c r="C66" i="3" s="1"/>
  <c r="J65" i="3"/>
  <c r="D66" i="3" s="1"/>
  <c r="X65" i="3" l="1"/>
  <c r="R66" i="3" s="1"/>
  <c r="E66" i="3"/>
  <c r="G66" i="3" s="1"/>
  <c r="F66" i="3"/>
  <c r="H66" i="3" s="1"/>
  <c r="T66" i="3" l="1"/>
  <c r="V66" i="3"/>
  <c r="S66" i="3"/>
  <c r="U66" i="3" s="1"/>
  <c r="J66" i="3"/>
  <c r="D67" i="3" s="1"/>
  <c r="I66" i="3"/>
  <c r="C67" i="3" s="1"/>
  <c r="X66" i="3" l="1"/>
  <c r="R67" i="3"/>
  <c r="W66" i="3"/>
  <c r="Q67" i="3"/>
  <c r="E67" i="3"/>
  <c r="G67" i="3" s="1"/>
  <c r="C68" i="3" s="1"/>
  <c r="F67" i="3"/>
  <c r="H67" i="3" s="1"/>
  <c r="S67" i="3" l="1"/>
  <c r="U67" i="3" s="1"/>
  <c r="Q68" i="3" s="1"/>
  <c r="T67" i="3"/>
  <c r="V67" i="3" s="1"/>
  <c r="J67" i="3"/>
  <c r="D68" i="3" s="1"/>
  <c r="X67" i="3" l="1"/>
  <c r="R68" i="3"/>
  <c r="E68" i="3"/>
  <c r="F68" i="3"/>
  <c r="H68" i="3" s="1"/>
  <c r="T68" i="3" l="1"/>
  <c r="V68" i="3"/>
  <c r="S68" i="3"/>
  <c r="U68" i="3" s="1"/>
  <c r="Q69" i="3" s="1"/>
  <c r="G68" i="3"/>
  <c r="C69" i="3" s="1"/>
  <c r="J68" i="3"/>
  <c r="D69" i="3" s="1"/>
  <c r="X68" i="3" l="1"/>
  <c r="R69" i="3" s="1"/>
  <c r="F69" i="3"/>
  <c r="H69" i="3" s="1"/>
  <c r="E69" i="3"/>
  <c r="S69" i="3" l="1"/>
  <c r="U69" i="3" s="1"/>
  <c r="Q70" i="3" s="1"/>
  <c r="T69" i="3"/>
  <c r="V69" i="3" s="1"/>
  <c r="G69" i="3"/>
  <c r="C70" i="3" s="1"/>
  <c r="J69" i="3"/>
  <c r="D70" i="3" s="1"/>
  <c r="X69" i="3" l="1"/>
  <c r="R70" i="3" s="1"/>
  <c r="F70" i="3"/>
  <c r="H70" i="3" s="1"/>
  <c r="E70" i="3"/>
  <c r="T70" i="3" l="1"/>
  <c r="V70" i="3" s="1"/>
  <c r="S70" i="3"/>
  <c r="U70" i="3" s="1"/>
  <c r="Q71" i="3" s="1"/>
  <c r="G70" i="3"/>
  <c r="C71" i="3" s="1"/>
  <c r="J70" i="3"/>
  <c r="D71" i="3" s="1"/>
  <c r="X70" i="3" l="1"/>
  <c r="R71" i="3"/>
  <c r="F71" i="3"/>
  <c r="E71" i="3"/>
  <c r="H71" i="3"/>
  <c r="T71" i="3" l="1"/>
  <c r="V71" i="3" s="1"/>
  <c r="S71" i="3"/>
  <c r="U71" i="3" s="1"/>
  <c r="Q72" i="3" s="1"/>
  <c r="G71" i="3"/>
  <c r="C72" i="3" s="1"/>
  <c r="J71" i="3"/>
  <c r="D72" i="3" s="1"/>
  <c r="X71" i="3" l="1"/>
  <c r="R72" i="3" s="1"/>
  <c r="F72" i="3"/>
  <c r="H72" i="3" s="1"/>
  <c r="E72" i="3"/>
  <c r="T72" i="3" l="1"/>
  <c r="S72" i="3"/>
  <c r="U72" i="3" s="1"/>
  <c r="Q73" i="3" s="1"/>
  <c r="V72" i="3"/>
  <c r="G72" i="3"/>
  <c r="C73" i="3" s="1"/>
  <c r="J72" i="3"/>
  <c r="D73" i="3" s="1"/>
  <c r="X72" i="3" l="1"/>
  <c r="R73" i="3" s="1"/>
  <c r="F73" i="3"/>
  <c r="H73" i="3"/>
  <c r="E73" i="3"/>
  <c r="G73" i="3" s="1"/>
  <c r="T73" i="3" l="1"/>
  <c r="V73" i="3" s="1"/>
  <c r="S73" i="3"/>
  <c r="U73" i="3" s="1"/>
  <c r="J73" i="3"/>
  <c r="I73" i="3" s="1"/>
  <c r="C74" i="3" s="1"/>
  <c r="X73" i="3" l="1"/>
  <c r="R74" i="3"/>
  <c r="W73" i="3"/>
  <c r="Q74" i="3" s="1"/>
  <c r="D74" i="3"/>
  <c r="E74" i="3"/>
  <c r="F74" i="3"/>
  <c r="H74" i="3" s="1"/>
  <c r="T74" i="3" l="1"/>
  <c r="V74" i="3" s="1"/>
  <c r="S74" i="3"/>
  <c r="U74" i="3" s="1"/>
  <c r="Q75" i="3" s="1"/>
  <c r="G74" i="3"/>
  <c r="C75" i="3" s="1"/>
  <c r="J74" i="3"/>
  <c r="D75" i="3" s="1"/>
  <c r="X74" i="3" l="1"/>
  <c r="R75" i="3" s="1"/>
  <c r="F75" i="3"/>
  <c r="E75" i="3"/>
  <c r="H75" i="3"/>
  <c r="S75" i="3" l="1"/>
  <c r="U75" i="3" s="1"/>
  <c r="Q76" i="3" s="1"/>
  <c r="T75" i="3"/>
  <c r="V75" i="3" s="1"/>
  <c r="G75" i="3"/>
  <c r="C76" i="3" s="1"/>
  <c r="J75" i="3"/>
  <c r="D76" i="3" s="1"/>
  <c r="X75" i="3" l="1"/>
  <c r="R76" i="3" s="1"/>
  <c r="F76" i="3"/>
  <c r="E76" i="3"/>
  <c r="H76" i="3"/>
  <c r="T76" i="3" l="1"/>
  <c r="V76" i="3" s="1"/>
  <c r="S76" i="3"/>
  <c r="U76" i="3" s="1"/>
  <c r="Q77" i="3" s="1"/>
  <c r="G76" i="3"/>
  <c r="C77" i="3" s="1"/>
  <c r="J76" i="3"/>
  <c r="D77" i="3" s="1"/>
  <c r="X76" i="3" l="1"/>
  <c r="R77" i="3"/>
  <c r="E77" i="3"/>
  <c r="F77" i="3"/>
  <c r="H77" i="3" s="1"/>
  <c r="T77" i="3" l="1"/>
  <c r="V77" i="3" s="1"/>
  <c r="S77" i="3"/>
  <c r="U77" i="3" s="1"/>
  <c r="Q78" i="3" s="1"/>
  <c r="G77" i="3"/>
  <c r="C78" i="3" s="1"/>
  <c r="J77" i="3"/>
  <c r="D78" i="3" s="1"/>
  <c r="X77" i="3" l="1"/>
  <c r="R78" i="3"/>
  <c r="E78" i="3"/>
  <c r="F78" i="3"/>
  <c r="H78" i="3" s="1"/>
  <c r="T78" i="3" l="1"/>
  <c r="V78" i="3"/>
  <c r="S78" i="3"/>
  <c r="U78" i="3" s="1"/>
  <c r="Q79" i="3" s="1"/>
  <c r="G78" i="3"/>
  <c r="C79" i="3" s="1"/>
  <c r="J78" i="3"/>
  <c r="D79" i="3" s="1"/>
  <c r="X78" i="3" l="1"/>
  <c r="R79" i="3" s="1"/>
  <c r="E79" i="3"/>
  <c r="F79" i="3"/>
  <c r="H79" i="3" s="1"/>
  <c r="S79" i="3" l="1"/>
  <c r="U79" i="3" s="1"/>
  <c r="Q80" i="3" s="1"/>
  <c r="T79" i="3"/>
  <c r="V79" i="3" s="1"/>
  <c r="G79" i="3"/>
  <c r="C80" i="3" s="1"/>
  <c r="J79" i="3"/>
  <c r="D80" i="3" s="1"/>
  <c r="X79" i="3" l="1"/>
  <c r="R80" i="3"/>
  <c r="F80" i="3"/>
  <c r="E80" i="3"/>
  <c r="G80" i="3" s="1"/>
  <c r="H80" i="3"/>
  <c r="T80" i="3" l="1"/>
  <c r="V80" i="3" s="1"/>
  <c r="S80" i="3"/>
  <c r="U80" i="3" s="1"/>
  <c r="J80" i="3"/>
  <c r="D81" i="3" s="1"/>
  <c r="I80" i="3"/>
  <c r="C81" i="3" s="1"/>
  <c r="X80" i="3" l="1"/>
  <c r="R81" i="3"/>
  <c r="W80" i="3"/>
  <c r="Q81" i="3" s="1"/>
  <c r="E81" i="3"/>
  <c r="F81" i="3"/>
  <c r="H81" i="3" s="1"/>
  <c r="T81" i="3" l="1"/>
  <c r="V81" i="3" s="1"/>
  <c r="S81" i="3"/>
  <c r="U81" i="3" s="1"/>
  <c r="Q82" i="3" s="1"/>
  <c r="G81" i="3"/>
  <c r="C82" i="3" s="1"/>
  <c r="J81" i="3"/>
  <c r="D82" i="3" s="1"/>
  <c r="X81" i="3" l="1"/>
  <c r="R82" i="3" s="1"/>
  <c r="E82" i="3"/>
  <c r="F82" i="3"/>
  <c r="H82" i="3" s="1"/>
  <c r="S82" i="3" l="1"/>
  <c r="U82" i="3" s="1"/>
  <c r="Q83" i="3" s="1"/>
  <c r="T82" i="3"/>
  <c r="V82" i="3" s="1"/>
  <c r="G82" i="3"/>
  <c r="C83" i="3" s="1"/>
  <c r="J82" i="3"/>
  <c r="D83" i="3" s="1"/>
  <c r="X82" i="3" l="1"/>
  <c r="R83" i="3"/>
  <c r="F83" i="3"/>
  <c r="H83" i="3"/>
  <c r="E83" i="3"/>
  <c r="T83" i="3" l="1"/>
  <c r="V83" i="3" s="1"/>
  <c r="S83" i="3"/>
  <c r="U83" i="3" s="1"/>
  <c r="Q84" i="3" s="1"/>
  <c r="G83" i="3"/>
  <c r="C84" i="3" s="1"/>
  <c r="J83" i="3"/>
  <c r="D84" i="3" s="1"/>
  <c r="X83" i="3" l="1"/>
  <c r="R84" i="3" s="1"/>
  <c r="F84" i="3"/>
  <c r="H84" i="3" s="1"/>
  <c r="E84" i="3"/>
  <c r="S84" i="3" l="1"/>
  <c r="U84" i="3" s="1"/>
  <c r="Q85" i="3" s="1"/>
  <c r="T84" i="3"/>
  <c r="V84" i="3" s="1"/>
  <c r="G84" i="3"/>
  <c r="C85" i="3" s="1"/>
  <c r="J84" i="3"/>
  <c r="D85" i="3" s="1"/>
  <c r="R85" i="3" l="1"/>
  <c r="X84" i="3"/>
  <c r="F85" i="3"/>
  <c r="E85" i="3"/>
  <c r="H85" i="3"/>
  <c r="T85" i="3" l="1"/>
  <c r="V85" i="3" s="1"/>
  <c r="S85" i="3"/>
  <c r="U85" i="3" s="1"/>
  <c r="Q86" i="3" s="1"/>
  <c r="G85" i="3"/>
  <c r="C86" i="3" s="1"/>
  <c r="J85" i="3"/>
  <c r="D86" i="3" s="1"/>
  <c r="X85" i="3" l="1"/>
  <c r="R86" i="3"/>
  <c r="E86" i="3"/>
  <c r="F86" i="3"/>
  <c r="H86" i="3" s="1"/>
  <c r="T86" i="3" l="1"/>
  <c r="V86" i="3" s="1"/>
  <c r="S86" i="3"/>
  <c r="U86" i="3" s="1"/>
  <c r="Q87" i="3" s="1"/>
  <c r="G86" i="3"/>
  <c r="C87" i="3" s="1"/>
  <c r="J86" i="3"/>
  <c r="D87" i="3" s="1"/>
  <c r="X86" i="3" l="1"/>
  <c r="R87" i="3"/>
  <c r="E87" i="3"/>
  <c r="G87" i="3" s="1"/>
  <c r="F87" i="3"/>
  <c r="H87" i="3"/>
  <c r="S87" i="3" l="1"/>
  <c r="U87" i="3" s="1"/>
  <c r="T87" i="3"/>
  <c r="V87" i="3" s="1"/>
  <c r="J87" i="3"/>
  <c r="D88" i="3" s="1"/>
  <c r="I87" i="3"/>
  <c r="C88" i="3" s="1"/>
  <c r="X87" i="3" l="1"/>
  <c r="R88" i="3"/>
  <c r="W87" i="3"/>
  <c r="Q88" i="3" s="1"/>
  <c r="F88" i="3"/>
  <c r="H88" i="3"/>
  <c r="E88" i="3"/>
  <c r="G88" i="3" s="1"/>
  <c r="C89" i="3" s="1"/>
  <c r="T88" i="3" l="1"/>
  <c r="V88" i="3" s="1"/>
  <c r="S88" i="3"/>
  <c r="U88" i="3" s="1"/>
  <c r="Q89" i="3" s="1"/>
  <c r="J88" i="3"/>
  <c r="D89" i="3" s="1"/>
  <c r="X88" i="3" l="1"/>
  <c r="R89" i="3" s="1"/>
  <c r="F89" i="3"/>
  <c r="H89" i="3"/>
  <c r="E89" i="3"/>
  <c r="S89" i="3" l="1"/>
  <c r="U89" i="3" s="1"/>
  <c r="Q90" i="3" s="1"/>
  <c r="T89" i="3"/>
  <c r="V89" i="3" s="1"/>
  <c r="G89" i="3"/>
  <c r="C90" i="3" s="1"/>
  <c r="J89" i="3"/>
  <c r="D90" i="3" s="1"/>
  <c r="X89" i="3" l="1"/>
  <c r="R90" i="3" s="1"/>
  <c r="F90" i="3"/>
  <c r="H90" i="3" s="1"/>
  <c r="E90" i="3"/>
  <c r="T90" i="3" l="1"/>
  <c r="V90" i="3" s="1"/>
  <c r="S90" i="3"/>
  <c r="U90" i="3" s="1"/>
  <c r="Q91" i="3" s="1"/>
  <c r="G90" i="3"/>
  <c r="C91" i="3" s="1"/>
  <c r="J90" i="3"/>
  <c r="D91" i="3" s="1"/>
  <c r="X90" i="3" l="1"/>
  <c r="R91" i="3" s="1"/>
  <c r="F91" i="3"/>
  <c r="H91" i="3" s="1"/>
  <c r="E91" i="3"/>
  <c r="T91" i="3" l="1"/>
  <c r="V91" i="3" s="1"/>
  <c r="S91" i="3"/>
  <c r="U91" i="3" s="1"/>
  <c r="Q92" i="3" s="1"/>
  <c r="G91" i="3"/>
  <c r="C92" i="3" s="1"/>
  <c r="J91" i="3"/>
  <c r="D92" i="3" s="1"/>
  <c r="X91" i="3" l="1"/>
  <c r="R92" i="3"/>
  <c r="E92" i="3"/>
  <c r="F92" i="3"/>
  <c r="H92" i="3" s="1"/>
  <c r="T92" i="3" l="1"/>
  <c r="V92" i="3" s="1"/>
  <c r="S92" i="3"/>
  <c r="U92" i="3" s="1"/>
  <c r="Q93" i="3" s="1"/>
  <c r="G92" i="3"/>
  <c r="C93" i="3" s="1"/>
  <c r="J92" i="3"/>
  <c r="D93" i="3" s="1"/>
  <c r="X92" i="3" l="1"/>
  <c r="R93" i="3" s="1"/>
  <c r="E93" i="3"/>
  <c r="F93" i="3"/>
  <c r="H93" i="3"/>
  <c r="S93" i="3" l="1"/>
  <c r="U93" i="3" s="1"/>
  <c r="Q94" i="3" s="1"/>
  <c r="T93" i="3"/>
  <c r="V93" i="3" s="1"/>
  <c r="G93" i="3"/>
  <c r="C94" i="3" s="1"/>
  <c r="J93" i="3"/>
  <c r="D94" i="3" s="1"/>
  <c r="X93" i="3" l="1"/>
  <c r="R94" i="3"/>
  <c r="F94" i="3"/>
  <c r="E94" i="3"/>
  <c r="G94" i="3" s="1"/>
  <c r="H94" i="3"/>
  <c r="T94" i="3" l="1"/>
  <c r="S94" i="3"/>
  <c r="U94" i="3" s="1"/>
  <c r="V94" i="3"/>
  <c r="J94" i="3"/>
  <c r="D95" i="3" s="1"/>
  <c r="I94" i="3"/>
  <c r="C95" i="3"/>
  <c r="X94" i="3" l="1"/>
  <c r="R95" i="3"/>
  <c r="W94" i="3"/>
  <c r="Q95" i="3" s="1"/>
  <c r="F95" i="3"/>
  <c r="H95" i="3" s="1"/>
  <c r="E95" i="3"/>
  <c r="T95" i="3" l="1"/>
  <c r="V95" i="3" s="1"/>
  <c r="S95" i="3"/>
  <c r="U95" i="3" s="1"/>
  <c r="Q96" i="3" s="1"/>
  <c r="G95" i="3"/>
  <c r="C96" i="3" s="1"/>
  <c r="J95" i="3"/>
  <c r="D96" i="3" s="1"/>
  <c r="X95" i="3" l="1"/>
  <c r="R96" i="3" s="1"/>
  <c r="E96" i="3"/>
  <c r="F96" i="3"/>
  <c r="H96" i="3" s="1"/>
  <c r="S96" i="3" l="1"/>
  <c r="U96" i="3" s="1"/>
  <c r="Q97" i="3" s="1"/>
  <c r="T96" i="3"/>
  <c r="V96" i="3" s="1"/>
  <c r="G96" i="3"/>
  <c r="C97" i="3" s="1"/>
  <c r="J96" i="3"/>
  <c r="D97" i="3" s="1"/>
  <c r="X96" i="3" l="1"/>
  <c r="R97" i="3"/>
  <c r="F97" i="3"/>
  <c r="H97" i="3"/>
  <c r="E97" i="3"/>
  <c r="S97" i="3" l="1"/>
  <c r="U97" i="3" s="1"/>
  <c r="Q98" i="3" s="1"/>
  <c r="T97" i="3"/>
  <c r="V97" i="3"/>
  <c r="G97" i="3"/>
  <c r="C98" i="3" s="1"/>
  <c r="J97" i="3"/>
  <c r="D98" i="3" s="1"/>
  <c r="X97" i="3" l="1"/>
  <c r="R98" i="3"/>
  <c r="E98" i="3"/>
  <c r="F98" i="3"/>
  <c r="H98" i="3" s="1"/>
  <c r="T98" i="3" l="1"/>
  <c r="V98" i="3"/>
  <c r="S98" i="3"/>
  <c r="U98" i="3" s="1"/>
  <c r="Q99" i="3" s="1"/>
  <c r="G98" i="3"/>
  <c r="C99" i="3" s="1"/>
  <c r="J98" i="3"/>
  <c r="D99" i="3" s="1"/>
  <c r="X98" i="3" l="1"/>
  <c r="R99" i="3"/>
  <c r="F99" i="3"/>
  <c r="H99" i="3" s="1"/>
  <c r="E99" i="3"/>
  <c r="T99" i="3" l="1"/>
  <c r="V99" i="3"/>
  <c r="S99" i="3"/>
  <c r="U99" i="3" s="1"/>
  <c r="Q100" i="3" s="1"/>
  <c r="G99" i="3"/>
  <c r="C100" i="3" s="1"/>
  <c r="J99" i="3"/>
  <c r="D100" i="3" s="1"/>
  <c r="X99" i="3" l="1"/>
  <c r="R100" i="3" s="1"/>
  <c r="F100" i="3"/>
  <c r="H100" i="3"/>
  <c r="E100" i="3"/>
  <c r="T100" i="3" l="1"/>
  <c r="V100" i="3" s="1"/>
  <c r="S100" i="3"/>
  <c r="U100" i="3" s="1"/>
  <c r="Q101" i="3" s="1"/>
  <c r="G100" i="3"/>
  <c r="C101" i="3" s="1"/>
  <c r="J100" i="3"/>
  <c r="D101" i="3" s="1"/>
  <c r="X100" i="3" l="1"/>
  <c r="R101" i="3" s="1"/>
  <c r="E101" i="3"/>
  <c r="G101" i="3" s="1"/>
  <c r="F101" i="3"/>
  <c r="H101" i="3" s="1"/>
  <c r="T101" i="3" l="1"/>
  <c r="S101" i="3"/>
  <c r="U101" i="3" s="1"/>
  <c r="V101" i="3"/>
  <c r="J101" i="3"/>
  <c r="D102" i="3" s="1"/>
  <c r="I101" i="3"/>
  <c r="C102" i="3"/>
  <c r="X101" i="3" l="1"/>
  <c r="R102" i="3" s="1"/>
  <c r="W101" i="3"/>
  <c r="Q102" i="3" s="1"/>
  <c r="E102" i="3"/>
  <c r="G102" i="3" s="1"/>
  <c r="C103" i="3" s="1"/>
  <c r="F102" i="3"/>
  <c r="H102" i="3" s="1"/>
  <c r="T102" i="3" l="1"/>
  <c r="S102" i="3"/>
  <c r="U102" i="3" s="1"/>
  <c r="Q103" i="3" s="1"/>
  <c r="V102" i="3"/>
  <c r="J102" i="3"/>
  <c r="D103" i="3" s="1"/>
  <c r="X102" i="3" l="1"/>
  <c r="R103" i="3"/>
  <c r="F103" i="3"/>
  <c r="E103" i="3"/>
  <c r="H103" i="3"/>
  <c r="S103" i="3" l="1"/>
  <c r="U103" i="3" s="1"/>
  <c r="Q104" i="3" s="1"/>
  <c r="T103" i="3"/>
  <c r="V103" i="3" s="1"/>
  <c r="G103" i="3"/>
  <c r="C104" i="3" s="1"/>
  <c r="J103" i="3"/>
  <c r="D104" i="3" s="1"/>
  <c r="X103" i="3" l="1"/>
  <c r="R104" i="3" s="1"/>
  <c r="F104" i="3"/>
  <c r="H104" i="3" s="1"/>
  <c r="E104" i="3"/>
  <c r="T104" i="3" l="1"/>
  <c r="V104" i="3" s="1"/>
  <c r="S104" i="3"/>
  <c r="U104" i="3" s="1"/>
  <c r="Q105" i="3" s="1"/>
  <c r="G104" i="3"/>
  <c r="C105" i="3" s="1"/>
  <c r="J104" i="3"/>
  <c r="D105" i="3" s="1"/>
  <c r="X104" i="3" l="1"/>
  <c r="R105" i="3"/>
  <c r="F105" i="3"/>
  <c r="H105" i="3"/>
  <c r="E105" i="3"/>
  <c r="T105" i="3" l="1"/>
  <c r="V105" i="3" s="1"/>
  <c r="S105" i="3"/>
  <c r="U105" i="3" s="1"/>
  <c r="Q106" i="3" s="1"/>
  <c r="G105" i="3"/>
  <c r="C106" i="3" s="1"/>
  <c r="J105" i="3"/>
  <c r="D106" i="3" s="1"/>
  <c r="X105" i="3" l="1"/>
  <c r="R106" i="3" s="1"/>
  <c r="E106" i="3"/>
  <c r="F106" i="3"/>
  <c r="H106" i="3" s="1"/>
  <c r="T106" i="3" l="1"/>
  <c r="V106" i="3"/>
  <c r="S106" i="3"/>
  <c r="U106" i="3" s="1"/>
  <c r="Q107" i="3" s="1"/>
  <c r="G106" i="3"/>
  <c r="C107" i="3" s="1"/>
  <c r="J106" i="3"/>
  <c r="D107" i="3" s="1"/>
  <c r="X106" i="3" l="1"/>
  <c r="R107" i="3" s="1"/>
  <c r="F107" i="3"/>
  <c r="H107" i="3"/>
  <c r="E107" i="3"/>
  <c r="S107" i="3" l="1"/>
  <c r="U107" i="3" s="1"/>
  <c r="Q108" i="3" s="1"/>
  <c r="T107" i="3"/>
  <c r="V107" i="3" s="1"/>
  <c r="G107" i="3"/>
  <c r="C108" i="3" s="1"/>
  <c r="J107" i="3"/>
  <c r="D108" i="3" s="1"/>
  <c r="X107" i="3" l="1"/>
  <c r="R108" i="3"/>
  <c r="E108" i="3"/>
  <c r="G108" i="3" s="1"/>
  <c r="F108" i="3"/>
  <c r="H108" i="3"/>
  <c r="T108" i="3" l="1"/>
  <c r="V108" i="3" s="1"/>
  <c r="S108" i="3"/>
  <c r="U108" i="3" s="1"/>
  <c r="J108" i="3"/>
  <c r="D109" i="3" s="1"/>
  <c r="I108" i="3"/>
  <c r="C109" i="3" s="1"/>
  <c r="X108" i="3" l="1"/>
  <c r="R109" i="3" s="1"/>
  <c r="W108" i="3"/>
  <c r="Q109" i="3" s="1"/>
  <c r="E109" i="3"/>
  <c r="G109" i="3" s="1"/>
  <c r="C110" i="3" s="1"/>
  <c r="F109" i="3"/>
  <c r="H109" i="3"/>
  <c r="T109" i="3" l="1"/>
  <c r="V109" i="3" s="1"/>
  <c r="S109" i="3"/>
  <c r="U109" i="3" s="1"/>
  <c r="Q110" i="3" s="1"/>
  <c r="J109" i="3"/>
  <c r="D110" i="3" s="1"/>
  <c r="X109" i="3" l="1"/>
  <c r="R110" i="3"/>
  <c r="F110" i="3"/>
  <c r="E110" i="3"/>
  <c r="H110" i="3"/>
  <c r="S110" i="3" l="1"/>
  <c r="U110" i="3" s="1"/>
  <c r="Q111" i="3" s="1"/>
  <c r="T110" i="3"/>
  <c r="V110" i="3" s="1"/>
  <c r="G110" i="3"/>
  <c r="C111" i="3" s="1"/>
  <c r="J110" i="3"/>
  <c r="D111" i="3" s="1"/>
  <c r="X110" i="3" l="1"/>
  <c r="R111" i="3" s="1"/>
  <c r="E111" i="3"/>
  <c r="F111" i="3"/>
  <c r="H111" i="3" s="1"/>
  <c r="T111" i="3" l="1"/>
  <c r="V111" i="3" s="1"/>
  <c r="S111" i="3"/>
  <c r="U111" i="3" s="1"/>
  <c r="Q112" i="3" s="1"/>
  <c r="G111" i="3"/>
  <c r="C112" i="3" s="1"/>
  <c r="J111" i="3"/>
  <c r="D112" i="3" s="1"/>
  <c r="X111" i="3" l="1"/>
  <c r="R112" i="3" s="1"/>
  <c r="E112" i="3"/>
  <c r="F112" i="3"/>
  <c r="H112" i="3" s="1"/>
  <c r="S112" i="3" l="1"/>
  <c r="U112" i="3" s="1"/>
  <c r="Q113" i="3" s="1"/>
  <c r="T112" i="3"/>
  <c r="V112" i="3" s="1"/>
  <c r="G112" i="3"/>
  <c r="C113" i="3" s="1"/>
  <c r="J112" i="3"/>
  <c r="D113" i="3" s="1"/>
  <c r="X112" i="3" l="1"/>
  <c r="R113" i="3"/>
  <c r="E113" i="3"/>
  <c r="F113" i="3"/>
  <c r="H113" i="3" s="1"/>
  <c r="T113" i="3" l="1"/>
  <c r="V113" i="3"/>
  <c r="S113" i="3"/>
  <c r="U113" i="3" s="1"/>
  <c r="Q114" i="3" s="1"/>
  <c r="G113" i="3"/>
  <c r="C114" i="3" s="1"/>
  <c r="J113" i="3"/>
  <c r="D114" i="3" s="1"/>
  <c r="X113" i="3" l="1"/>
  <c r="R114" i="3" s="1"/>
  <c r="F114" i="3"/>
  <c r="H114" i="3" s="1"/>
  <c r="E114" i="3"/>
  <c r="T114" i="3" l="1"/>
  <c r="V114" i="3" s="1"/>
  <c r="S114" i="3"/>
  <c r="U114" i="3" s="1"/>
  <c r="Q115" i="3" s="1"/>
  <c r="G114" i="3"/>
  <c r="C115" i="3" s="1"/>
  <c r="J114" i="3"/>
  <c r="D115" i="3" s="1"/>
  <c r="X114" i="3" l="1"/>
  <c r="R115" i="3"/>
  <c r="F115" i="3"/>
  <c r="H115" i="3"/>
  <c r="E115" i="3"/>
  <c r="G115" i="3" s="1"/>
  <c r="T115" i="3" l="1"/>
  <c r="V115" i="3" s="1"/>
  <c r="S115" i="3"/>
  <c r="U115" i="3" s="1"/>
  <c r="J115" i="3"/>
  <c r="I115" i="3" s="1"/>
  <c r="C116" i="3" s="1"/>
  <c r="X115" i="3" l="1"/>
  <c r="R116" i="3" s="1"/>
  <c r="W115" i="3"/>
  <c r="Q116" i="3" s="1"/>
  <c r="D116" i="3"/>
  <c r="F116" i="3"/>
  <c r="H116" i="3" s="1"/>
  <c r="E116" i="3"/>
  <c r="G116" i="3" s="1"/>
  <c r="C117" i="3" s="1"/>
  <c r="T116" i="3" l="1"/>
  <c r="V116" i="3" s="1"/>
  <c r="S116" i="3"/>
  <c r="U116" i="3" s="1"/>
  <c r="Q117" i="3" s="1"/>
  <c r="J116" i="3"/>
  <c r="D117" i="3" s="1"/>
  <c r="X116" i="3" l="1"/>
  <c r="R117" i="3" s="1"/>
  <c r="F117" i="3"/>
  <c r="H117" i="3" s="1"/>
  <c r="E117" i="3"/>
  <c r="T117" i="3" l="1"/>
  <c r="S117" i="3"/>
  <c r="U117" i="3" s="1"/>
  <c r="Q118" i="3" s="1"/>
  <c r="V117" i="3"/>
  <c r="G117" i="3"/>
  <c r="C118" i="3" s="1"/>
  <c r="J117" i="3"/>
  <c r="D118" i="3" s="1"/>
  <c r="X117" i="3" l="1"/>
  <c r="R118" i="3" s="1"/>
  <c r="E118" i="3"/>
  <c r="F118" i="3"/>
  <c r="H118" i="3" s="1"/>
  <c r="T118" i="3" l="1"/>
  <c r="S118" i="3"/>
  <c r="U118" i="3" s="1"/>
  <c r="Q119" i="3" s="1"/>
  <c r="V118" i="3"/>
  <c r="G118" i="3"/>
  <c r="C119" i="3" s="1"/>
  <c r="J118" i="3"/>
  <c r="D119" i="3" s="1"/>
  <c r="X118" i="3" l="1"/>
  <c r="R119" i="3" s="1"/>
  <c r="E119" i="3"/>
  <c r="F119" i="3"/>
  <c r="H119" i="3" s="1"/>
  <c r="T119" i="3" l="1"/>
  <c r="V119" i="3" s="1"/>
  <c r="S119" i="3"/>
  <c r="U119" i="3" s="1"/>
  <c r="Q120" i="3" s="1"/>
  <c r="G119" i="3"/>
  <c r="C120" i="3" s="1"/>
  <c r="J119" i="3"/>
  <c r="D120" i="3" s="1"/>
  <c r="X119" i="3" l="1"/>
  <c r="R120" i="3"/>
  <c r="E120" i="3"/>
  <c r="F120" i="3"/>
  <c r="H120" i="3" s="1"/>
  <c r="S120" i="3" l="1"/>
  <c r="U120" i="3" s="1"/>
  <c r="Q121" i="3" s="1"/>
  <c r="T120" i="3"/>
  <c r="V120" i="3" s="1"/>
  <c r="G120" i="3"/>
  <c r="C121" i="3" s="1"/>
  <c r="J120" i="3"/>
  <c r="D121" i="3" s="1"/>
  <c r="X120" i="3" l="1"/>
  <c r="R121" i="3" s="1"/>
  <c r="E121" i="3"/>
  <c r="F121" i="3"/>
  <c r="H121" i="3" s="1"/>
  <c r="T121" i="3" l="1"/>
  <c r="S121" i="3"/>
  <c r="U121" i="3" s="1"/>
  <c r="Q122" i="3" s="1"/>
  <c r="V121" i="3"/>
  <c r="G121" i="3"/>
  <c r="C122" i="3" s="1"/>
  <c r="J121" i="3"/>
  <c r="D122" i="3" s="1"/>
  <c r="X121" i="3" l="1"/>
  <c r="R122" i="3"/>
  <c r="E122" i="3"/>
  <c r="G122" i="3" s="1"/>
  <c r="F122" i="3"/>
  <c r="H122" i="3" s="1"/>
  <c r="T122" i="3" l="1"/>
  <c r="V122" i="3" s="1"/>
  <c r="S122" i="3"/>
  <c r="U122" i="3" s="1"/>
  <c r="J122" i="3"/>
  <c r="D123" i="3" s="1"/>
  <c r="I122" i="3"/>
  <c r="C123" i="3"/>
  <c r="X122" i="3" l="1"/>
  <c r="R123" i="3"/>
  <c r="W122" i="3"/>
  <c r="Q123" i="3" s="1"/>
  <c r="F123" i="3"/>
  <c r="H123" i="3" s="1"/>
  <c r="E123" i="3"/>
  <c r="T123" i="3" l="1"/>
  <c r="V123" i="3" s="1"/>
  <c r="S123" i="3"/>
  <c r="U123" i="3" s="1"/>
  <c r="Q124" i="3" s="1"/>
  <c r="G123" i="3"/>
  <c r="C124" i="3" s="1"/>
  <c r="J123" i="3"/>
  <c r="D124" i="3" s="1"/>
  <c r="X123" i="3" l="1"/>
  <c r="R124" i="3" s="1"/>
  <c r="F124" i="3"/>
  <c r="E124" i="3"/>
  <c r="H124" i="3"/>
  <c r="T124" i="3" l="1"/>
  <c r="V124" i="3" s="1"/>
  <c r="S124" i="3"/>
  <c r="U124" i="3" s="1"/>
  <c r="Q125" i="3" s="1"/>
  <c r="G124" i="3"/>
  <c r="C125" i="3" s="1"/>
  <c r="J124" i="3"/>
  <c r="D125" i="3" s="1"/>
  <c r="X124" i="3" l="1"/>
  <c r="R125" i="3"/>
  <c r="F125" i="3"/>
  <c r="H125" i="3"/>
  <c r="E125" i="3"/>
  <c r="T125" i="3" l="1"/>
  <c r="V125" i="3" s="1"/>
  <c r="S125" i="3"/>
  <c r="U125" i="3" s="1"/>
  <c r="Q126" i="3" s="1"/>
  <c r="G125" i="3"/>
  <c r="C126" i="3" s="1"/>
  <c r="J125" i="3"/>
  <c r="D126" i="3" s="1"/>
  <c r="X125" i="3" l="1"/>
  <c r="R126" i="3" s="1"/>
  <c r="F126" i="3"/>
  <c r="H126" i="3"/>
  <c r="E126" i="3"/>
  <c r="S126" i="3" l="1"/>
  <c r="U126" i="3" s="1"/>
  <c r="Q127" i="3" s="1"/>
  <c r="T126" i="3"/>
  <c r="V126" i="3" s="1"/>
  <c r="G126" i="3"/>
  <c r="C127" i="3" s="1"/>
  <c r="J126" i="3"/>
  <c r="D127" i="3" s="1"/>
  <c r="X126" i="3" l="1"/>
  <c r="R127" i="3"/>
  <c r="E127" i="3"/>
  <c r="F127" i="3"/>
  <c r="H127" i="3" s="1"/>
  <c r="S127" i="3" l="1"/>
  <c r="U127" i="3" s="1"/>
  <c r="Q128" i="3" s="1"/>
  <c r="T127" i="3"/>
  <c r="V127" i="3" s="1"/>
  <c r="G127" i="3"/>
  <c r="C128" i="3" s="1"/>
  <c r="J127" i="3"/>
  <c r="D128" i="3" s="1"/>
  <c r="X127" i="3" l="1"/>
  <c r="R128" i="3"/>
  <c r="F128" i="3"/>
  <c r="H128" i="3"/>
  <c r="E128" i="3"/>
  <c r="T128" i="3" l="1"/>
  <c r="V128" i="3" s="1"/>
  <c r="S128" i="3"/>
  <c r="U128" i="3" s="1"/>
  <c r="Q129" i="3" s="1"/>
  <c r="G128" i="3"/>
  <c r="C129" i="3" s="1"/>
  <c r="J128" i="3"/>
  <c r="D129" i="3" s="1"/>
  <c r="X128" i="3" l="1"/>
  <c r="R129" i="3"/>
  <c r="E129" i="3"/>
  <c r="G129" i="3" s="1"/>
  <c r="F129" i="3"/>
  <c r="H129" i="3" s="1"/>
  <c r="T129" i="3" l="1"/>
  <c r="S129" i="3"/>
  <c r="U129" i="3" s="1"/>
  <c r="V129" i="3"/>
  <c r="J129" i="3"/>
  <c r="D130" i="3" s="1"/>
  <c r="I129" i="3"/>
  <c r="C130" i="3" s="1"/>
  <c r="X129" i="3" l="1"/>
  <c r="R130" i="3" s="1"/>
  <c r="W129" i="3"/>
  <c r="Q130" i="3" s="1"/>
  <c r="E130" i="3"/>
  <c r="F130" i="3"/>
  <c r="H130" i="3" s="1"/>
  <c r="T130" i="3" l="1"/>
  <c r="S130" i="3"/>
  <c r="U130" i="3" s="1"/>
  <c r="Q131" i="3" s="1"/>
  <c r="V130" i="3"/>
  <c r="G130" i="3"/>
  <c r="C131" i="3" s="1"/>
  <c r="J130" i="3"/>
  <c r="D131" i="3" s="1"/>
  <c r="X130" i="3" l="1"/>
  <c r="R131" i="3" s="1"/>
  <c r="F131" i="3"/>
  <c r="H131" i="3"/>
  <c r="E131" i="3"/>
  <c r="T131" i="3" l="1"/>
  <c r="S131" i="3"/>
  <c r="U131" i="3" s="1"/>
  <c r="Q132" i="3" s="1"/>
  <c r="V131" i="3"/>
  <c r="G131" i="3"/>
  <c r="C132" i="3" s="1"/>
  <c r="J131" i="3"/>
  <c r="D132" i="3" s="1"/>
  <c r="X131" i="3" l="1"/>
  <c r="R132" i="3" s="1"/>
  <c r="F132" i="3"/>
  <c r="H132" i="3"/>
  <c r="E132" i="3"/>
  <c r="T132" i="3" l="1"/>
  <c r="V132" i="3" s="1"/>
  <c r="S132" i="3"/>
  <c r="U132" i="3" s="1"/>
  <c r="Q133" i="3" s="1"/>
  <c r="G132" i="3"/>
  <c r="C133" i="3" s="1"/>
  <c r="J132" i="3"/>
  <c r="D133" i="3" s="1"/>
  <c r="X132" i="3" l="1"/>
  <c r="R133" i="3"/>
  <c r="F133" i="3"/>
  <c r="H133" i="3" s="1"/>
  <c r="E133" i="3"/>
  <c r="T133" i="3" l="1"/>
  <c r="V133" i="3" s="1"/>
  <c r="S133" i="3"/>
  <c r="U133" i="3" s="1"/>
  <c r="Q134" i="3" s="1"/>
  <c r="G133" i="3"/>
  <c r="C134" i="3" s="1"/>
  <c r="J133" i="3"/>
  <c r="D134" i="3" s="1"/>
  <c r="X133" i="3" l="1"/>
  <c r="R134" i="3" s="1"/>
  <c r="E134" i="3"/>
  <c r="F134" i="3"/>
  <c r="H134" i="3" s="1"/>
  <c r="S134" i="3" l="1"/>
  <c r="U134" i="3" s="1"/>
  <c r="Q135" i="3" s="1"/>
  <c r="T134" i="3"/>
  <c r="V134" i="3" s="1"/>
  <c r="G134" i="3"/>
  <c r="C135" i="3" s="1"/>
  <c r="J134" i="3"/>
  <c r="D135" i="3" s="1"/>
  <c r="X134" i="3" l="1"/>
  <c r="R135" i="3" s="1"/>
  <c r="E135" i="3"/>
  <c r="F135" i="3"/>
  <c r="H135" i="3" s="1"/>
  <c r="S135" i="3" l="1"/>
  <c r="U135" i="3" s="1"/>
  <c r="Q136" i="3" s="1"/>
  <c r="T135" i="3"/>
  <c r="V135" i="3" s="1"/>
  <c r="G135" i="3"/>
  <c r="C136" i="3" s="1"/>
  <c r="J135" i="3"/>
  <c r="D136" i="3" s="1"/>
  <c r="X135" i="3" l="1"/>
  <c r="R136" i="3" s="1"/>
  <c r="F136" i="3"/>
  <c r="H136" i="3" s="1"/>
  <c r="E136" i="3"/>
  <c r="G136" i="3" s="1"/>
  <c r="T136" i="3" l="1"/>
  <c r="V136" i="3" s="1"/>
  <c r="S136" i="3"/>
  <c r="U136" i="3" s="1"/>
  <c r="J136" i="3"/>
  <c r="D137" i="3" s="1"/>
  <c r="I136" i="3"/>
  <c r="C137" i="3" s="1"/>
  <c r="X136" i="3" l="1"/>
  <c r="R137" i="3"/>
  <c r="W136" i="3"/>
  <c r="Q137" i="3" s="1"/>
  <c r="F137" i="3"/>
  <c r="H137" i="3" s="1"/>
  <c r="E137" i="3"/>
  <c r="T137" i="3" l="1"/>
  <c r="V137" i="3" s="1"/>
  <c r="S137" i="3"/>
  <c r="U137" i="3" s="1"/>
  <c r="Q138" i="3" s="1"/>
  <c r="G137" i="3"/>
  <c r="C138" i="3" s="1"/>
  <c r="J137" i="3"/>
  <c r="D138" i="3" s="1"/>
  <c r="X137" i="3" l="1"/>
  <c r="R138" i="3" s="1"/>
  <c r="F138" i="3"/>
  <c r="H138" i="3" s="1"/>
  <c r="E138" i="3"/>
  <c r="T138" i="3" l="1"/>
  <c r="S138" i="3"/>
  <c r="U138" i="3" s="1"/>
  <c r="Q139" i="3" s="1"/>
  <c r="V138" i="3"/>
  <c r="G138" i="3"/>
  <c r="C139" i="3" s="1"/>
  <c r="J138" i="3"/>
  <c r="D139" i="3" s="1"/>
  <c r="X138" i="3" l="1"/>
  <c r="R139" i="3" s="1"/>
  <c r="F139" i="3"/>
  <c r="E139" i="3"/>
  <c r="H139" i="3"/>
  <c r="T139" i="3" l="1"/>
  <c r="V139" i="3" s="1"/>
  <c r="S139" i="3"/>
  <c r="U139" i="3" s="1"/>
  <c r="Q140" i="3" s="1"/>
  <c r="G139" i="3"/>
  <c r="C140" i="3" s="1"/>
  <c r="J139" i="3"/>
  <c r="D140" i="3" s="1"/>
  <c r="X139" i="3" l="1"/>
  <c r="R140" i="3" s="1"/>
  <c r="F140" i="3"/>
  <c r="E140" i="3"/>
  <c r="H140" i="3"/>
  <c r="T140" i="3" l="1"/>
  <c r="V140" i="3" s="1"/>
  <c r="S140" i="3"/>
  <c r="U140" i="3" s="1"/>
  <c r="Q141" i="3" s="1"/>
  <c r="G140" i="3"/>
  <c r="C141" i="3" s="1"/>
  <c r="J140" i="3"/>
  <c r="D141" i="3" s="1"/>
  <c r="X140" i="3" l="1"/>
  <c r="R141" i="3"/>
  <c r="E141" i="3"/>
  <c r="F141" i="3"/>
  <c r="H141" i="3" s="1"/>
  <c r="S141" i="3" l="1"/>
  <c r="U141" i="3" s="1"/>
  <c r="Q142" i="3" s="1"/>
  <c r="T141" i="3"/>
  <c r="V141" i="3" s="1"/>
  <c r="G141" i="3"/>
  <c r="C142" i="3" s="1"/>
  <c r="J141" i="3"/>
  <c r="D142" i="3" s="1"/>
  <c r="X141" i="3" l="1"/>
  <c r="R142" i="3" s="1"/>
  <c r="E142" i="3"/>
  <c r="F142" i="3"/>
  <c r="H142" i="3" s="1"/>
  <c r="T142" i="3" l="1"/>
  <c r="V142" i="3" s="1"/>
  <c r="S142" i="3"/>
  <c r="U142" i="3" s="1"/>
  <c r="Q143" i="3" s="1"/>
  <c r="G142" i="3"/>
  <c r="C143" i="3" s="1"/>
  <c r="J142" i="3"/>
  <c r="D143" i="3" s="1"/>
  <c r="X142" i="3" l="1"/>
  <c r="R143" i="3"/>
  <c r="E143" i="3"/>
  <c r="G143" i="3" s="1"/>
  <c r="F143" i="3"/>
  <c r="H143" i="3" s="1"/>
  <c r="T143" i="3" l="1"/>
  <c r="V143" i="3" s="1"/>
  <c r="S143" i="3"/>
  <c r="U143" i="3" s="1"/>
  <c r="J143" i="3"/>
  <c r="D144" i="3" s="1"/>
  <c r="I143" i="3"/>
  <c r="C144" i="3"/>
  <c r="X143" i="3" l="1"/>
  <c r="R144" i="3" s="1"/>
  <c r="W143" i="3"/>
  <c r="Q144" i="3" s="1"/>
  <c r="F144" i="3"/>
  <c r="H144" i="3" s="1"/>
  <c r="E144" i="3"/>
  <c r="T144" i="3" l="1"/>
  <c r="S144" i="3"/>
  <c r="U144" i="3" s="1"/>
  <c r="Q145" i="3" s="1"/>
  <c r="V144" i="3"/>
  <c r="G144" i="3"/>
  <c r="C145" i="3" s="1"/>
  <c r="J144" i="3"/>
  <c r="D145" i="3" s="1"/>
  <c r="X144" i="3" l="1"/>
  <c r="R145" i="3" s="1"/>
  <c r="F145" i="3"/>
  <c r="H145" i="3"/>
  <c r="E145" i="3"/>
  <c r="T145" i="3" l="1"/>
  <c r="V145" i="3"/>
  <c r="S145" i="3"/>
  <c r="U145" i="3" s="1"/>
  <c r="Q146" i="3" s="1"/>
  <c r="G145" i="3"/>
  <c r="C146" i="3" s="1"/>
  <c r="J145" i="3"/>
  <c r="D146" i="3" s="1"/>
  <c r="X145" i="3" l="1"/>
  <c r="R146" i="3" s="1"/>
  <c r="E146" i="3"/>
  <c r="F146" i="3"/>
  <c r="H146" i="3" s="1"/>
  <c r="T146" i="3" l="1"/>
  <c r="S146" i="3"/>
  <c r="U146" i="3" s="1"/>
  <c r="Q147" i="3" s="1"/>
  <c r="V146" i="3"/>
  <c r="G146" i="3"/>
  <c r="C147" i="3" s="1"/>
  <c r="J146" i="3"/>
  <c r="D147" i="3" s="1"/>
  <c r="X146" i="3" l="1"/>
  <c r="R147" i="3"/>
  <c r="F147" i="3"/>
  <c r="H147" i="3"/>
  <c r="E147" i="3"/>
  <c r="S147" i="3" l="1"/>
  <c r="U147" i="3" s="1"/>
  <c r="Q148" i="3" s="1"/>
  <c r="T147" i="3"/>
  <c r="V147" i="3" s="1"/>
  <c r="G147" i="3"/>
  <c r="C148" i="3" s="1"/>
  <c r="J147" i="3"/>
  <c r="D148" i="3" s="1"/>
  <c r="X147" i="3" l="1"/>
  <c r="R148" i="3"/>
  <c r="E148" i="3"/>
  <c r="F148" i="3"/>
  <c r="H148" i="3" s="1"/>
  <c r="S148" i="3" l="1"/>
  <c r="U148" i="3" s="1"/>
  <c r="Q149" i="3" s="1"/>
  <c r="T148" i="3"/>
  <c r="V148" i="3" s="1"/>
  <c r="G148" i="3"/>
  <c r="C149" i="3" s="1"/>
  <c r="J148" i="3"/>
  <c r="D149" i="3" s="1"/>
  <c r="X148" i="3" l="1"/>
  <c r="R149" i="3"/>
  <c r="E149" i="3"/>
  <c r="F149" i="3"/>
  <c r="H149" i="3" s="1"/>
  <c r="T149" i="3" l="1"/>
  <c r="V149" i="3" s="1"/>
  <c r="S149" i="3"/>
  <c r="U149" i="3" s="1"/>
  <c r="Q150" i="3" s="1"/>
  <c r="G149" i="3"/>
  <c r="C150" i="3" s="1"/>
  <c r="J149" i="3"/>
  <c r="D150" i="3" s="1"/>
  <c r="X149" i="3" l="1"/>
  <c r="R150" i="3"/>
  <c r="E150" i="3"/>
  <c r="G150" i="3" s="1"/>
  <c r="F150" i="3"/>
  <c r="H150" i="3" s="1"/>
  <c r="T150" i="3" l="1"/>
  <c r="V150" i="3" s="1"/>
  <c r="S150" i="3"/>
  <c r="U150" i="3" s="1"/>
  <c r="J150" i="3"/>
  <c r="D151" i="3" s="1"/>
  <c r="I150" i="3"/>
  <c r="C151" i="3" s="1"/>
  <c r="X150" i="3" l="1"/>
  <c r="R151" i="3"/>
  <c r="W150" i="3"/>
  <c r="Q151" i="3" s="1"/>
  <c r="F151" i="3"/>
  <c r="H151" i="3"/>
  <c r="E151" i="3"/>
  <c r="T151" i="3" l="1"/>
  <c r="V151" i="3" s="1"/>
  <c r="S151" i="3"/>
  <c r="U151" i="3" s="1"/>
  <c r="Q152" i="3" s="1"/>
  <c r="G151" i="3"/>
  <c r="C152" i="3" s="1"/>
  <c r="J151" i="3"/>
  <c r="D152" i="3" s="1"/>
  <c r="X151" i="3" l="1"/>
  <c r="R152" i="3" s="1"/>
  <c r="F152" i="3"/>
  <c r="H152" i="3"/>
  <c r="E152" i="3"/>
  <c r="S152" i="3" l="1"/>
  <c r="U152" i="3" s="1"/>
  <c r="Q153" i="3" s="1"/>
  <c r="V152" i="3"/>
  <c r="T152" i="3"/>
  <c r="G152" i="3"/>
  <c r="C153" i="3" s="1"/>
  <c r="J152" i="3"/>
  <c r="D153" i="3" s="1"/>
  <c r="X152" i="3" l="1"/>
  <c r="R153" i="3" s="1"/>
  <c r="F153" i="3"/>
  <c r="H153" i="3"/>
  <c r="E153" i="3"/>
  <c r="T153" i="3" l="1"/>
  <c r="V153" i="3" s="1"/>
  <c r="S153" i="3"/>
  <c r="U153" i="3" s="1"/>
  <c r="Q154" i="3" s="1"/>
  <c r="G153" i="3"/>
  <c r="C154" i="3" s="1"/>
  <c r="J153" i="3"/>
  <c r="D154" i="3" s="1"/>
  <c r="X153" i="3" l="1"/>
  <c r="R154" i="3" s="1"/>
  <c r="F154" i="3"/>
  <c r="E154" i="3"/>
  <c r="H154" i="3"/>
  <c r="T154" i="3" l="1"/>
  <c r="S154" i="3"/>
  <c r="U154" i="3" s="1"/>
  <c r="Q155" i="3" s="1"/>
  <c r="V154" i="3"/>
  <c r="G154" i="3"/>
  <c r="C155" i="3" s="1"/>
  <c r="J154" i="3"/>
  <c r="D155" i="3" s="1"/>
  <c r="X154" i="3" l="1"/>
  <c r="R155" i="3" s="1"/>
  <c r="E155" i="3"/>
  <c r="F155" i="3"/>
  <c r="H155" i="3" s="1"/>
  <c r="S155" i="3" l="1"/>
  <c r="U155" i="3" s="1"/>
  <c r="Q156" i="3" s="1"/>
  <c r="V155" i="3"/>
  <c r="T155" i="3"/>
  <c r="G155" i="3"/>
  <c r="C156" i="3" s="1"/>
  <c r="J155" i="3"/>
  <c r="D156" i="3" s="1"/>
  <c r="X155" i="3" l="1"/>
  <c r="R156" i="3"/>
  <c r="E156" i="3"/>
  <c r="F156" i="3"/>
  <c r="H156" i="3" s="1"/>
  <c r="T156" i="3" l="1"/>
  <c r="V156" i="3"/>
  <c r="S156" i="3"/>
  <c r="U156" i="3" s="1"/>
  <c r="Q157" i="3" s="1"/>
  <c r="G156" i="3"/>
  <c r="C157" i="3" s="1"/>
  <c r="J156" i="3"/>
  <c r="D157" i="3" s="1"/>
  <c r="X156" i="3" l="1"/>
  <c r="R157" i="3" s="1"/>
  <c r="E157" i="3"/>
  <c r="G157" i="3" s="1"/>
  <c r="F157" i="3"/>
  <c r="H157" i="3" s="1"/>
  <c r="S157" i="3" l="1"/>
  <c r="U157" i="3" s="1"/>
  <c r="T157" i="3"/>
  <c r="V157" i="3" s="1"/>
  <c r="J157" i="3"/>
  <c r="D158" i="3" s="1"/>
  <c r="I157" i="3"/>
  <c r="C158" i="3" s="1"/>
  <c r="X157" i="3" l="1"/>
  <c r="R158" i="3"/>
  <c r="W157" i="3"/>
  <c r="Q158" i="3" s="1"/>
  <c r="E158" i="3"/>
  <c r="F158" i="3"/>
  <c r="H158" i="3" s="1"/>
  <c r="T158" i="3" l="1"/>
  <c r="S158" i="3"/>
  <c r="U158" i="3" s="1"/>
  <c r="Q159" i="3" s="1"/>
  <c r="V158" i="3"/>
  <c r="G158" i="3"/>
  <c r="C159" i="3" s="1"/>
  <c r="J158" i="3"/>
  <c r="D159" i="3" s="1"/>
  <c r="X158" i="3" l="1"/>
  <c r="R159" i="3"/>
  <c r="F159" i="3"/>
  <c r="H159" i="3" s="1"/>
  <c r="E159" i="3"/>
  <c r="T159" i="3" l="1"/>
  <c r="V159" i="3" s="1"/>
  <c r="S159" i="3"/>
  <c r="U159" i="3" s="1"/>
  <c r="Q160" i="3" s="1"/>
  <c r="G159" i="3"/>
  <c r="C160" i="3" s="1"/>
  <c r="J159" i="3"/>
  <c r="D160" i="3" s="1"/>
  <c r="X159" i="3" l="1"/>
  <c r="R160" i="3" s="1"/>
  <c r="F160" i="3"/>
  <c r="H160" i="3" s="1"/>
  <c r="E160" i="3"/>
  <c r="S160" i="3" l="1"/>
  <c r="U160" i="3" s="1"/>
  <c r="Q161" i="3" s="1"/>
  <c r="T160" i="3"/>
  <c r="V160" i="3"/>
  <c r="G160" i="3"/>
  <c r="C161" i="3" s="1"/>
  <c r="J160" i="3"/>
  <c r="D161" i="3" s="1"/>
  <c r="X160" i="3" l="1"/>
  <c r="R161" i="3" s="1"/>
  <c r="E161" i="3"/>
  <c r="F161" i="3"/>
  <c r="H161" i="3" s="1"/>
  <c r="S161" i="3" l="1"/>
  <c r="U161" i="3" s="1"/>
  <c r="Q162" i="3" s="1"/>
  <c r="T161" i="3"/>
  <c r="V161" i="3" s="1"/>
  <c r="G161" i="3"/>
  <c r="C162" i="3" s="1"/>
  <c r="J161" i="3"/>
  <c r="D162" i="3" s="1"/>
  <c r="X161" i="3" l="1"/>
  <c r="R162" i="3" s="1"/>
  <c r="F162" i="3"/>
  <c r="H162" i="3" s="1"/>
  <c r="E162" i="3"/>
  <c r="T162" i="3" l="1"/>
  <c r="V162" i="3" s="1"/>
  <c r="S162" i="3"/>
  <c r="U162" i="3" s="1"/>
  <c r="Q163" i="3" s="1"/>
  <c r="G162" i="3"/>
  <c r="C163" i="3" s="1"/>
  <c r="J162" i="3"/>
  <c r="D163" i="3" s="1"/>
  <c r="X162" i="3" l="1"/>
  <c r="R163" i="3"/>
  <c r="E163" i="3"/>
  <c r="F163" i="3"/>
  <c r="H163" i="3" s="1"/>
  <c r="T163" i="3" l="1"/>
  <c r="V163" i="3"/>
  <c r="S163" i="3"/>
  <c r="U163" i="3" s="1"/>
  <c r="Q164" i="3" s="1"/>
  <c r="G163" i="3"/>
  <c r="C164" i="3" s="1"/>
  <c r="J163" i="3"/>
  <c r="D164" i="3" s="1"/>
  <c r="X163" i="3" l="1"/>
  <c r="R164" i="3"/>
  <c r="F164" i="3"/>
  <c r="H164" i="3"/>
  <c r="E164" i="3"/>
  <c r="G164" i="3" s="1"/>
  <c r="S164" i="3" l="1"/>
  <c r="U164" i="3" s="1"/>
  <c r="T164" i="3"/>
  <c r="V164" i="3" s="1"/>
  <c r="J164" i="3"/>
  <c r="I164" i="3" s="1"/>
  <c r="C165" i="3" s="1"/>
  <c r="X164" i="3" l="1"/>
  <c r="R165" i="3" s="1"/>
  <c r="W164" i="3"/>
  <c r="Q165" i="3" s="1"/>
  <c r="D165" i="3"/>
  <c r="F165" i="3"/>
  <c r="H165" i="3" s="1"/>
  <c r="E165" i="3"/>
  <c r="U165" i="3" l="1"/>
  <c r="Q166" i="3" s="1"/>
  <c r="T165" i="3"/>
  <c r="S165" i="3"/>
  <c r="V165" i="3"/>
  <c r="G165" i="3"/>
  <c r="C166" i="3" s="1"/>
  <c r="J165" i="3"/>
  <c r="D166" i="3" s="1"/>
  <c r="X165" i="3" l="1"/>
  <c r="R166" i="3" s="1"/>
  <c r="E166" i="3"/>
  <c r="F166" i="3"/>
  <c r="H166" i="3" s="1"/>
  <c r="T166" i="3" l="1"/>
  <c r="V166" i="3" s="1"/>
  <c r="S166" i="3"/>
  <c r="U166" i="3" s="1"/>
  <c r="Q167" i="3" s="1"/>
  <c r="G166" i="3"/>
  <c r="C167" i="3" s="1"/>
  <c r="J166" i="3"/>
  <c r="D167" i="3" s="1"/>
  <c r="X166" i="3" l="1"/>
  <c r="R167" i="3" s="1"/>
  <c r="E167" i="3"/>
  <c r="F167" i="3"/>
  <c r="H167" i="3" s="1"/>
  <c r="T167" i="3" l="1"/>
  <c r="V167" i="3" s="1"/>
  <c r="S167" i="3"/>
  <c r="U167" i="3" s="1"/>
  <c r="Q168" i="3" s="1"/>
  <c r="G167" i="3"/>
  <c r="C168" i="3" s="1"/>
  <c r="J167" i="3"/>
  <c r="D168" i="3" s="1"/>
  <c r="X167" i="3" l="1"/>
  <c r="R168" i="3"/>
  <c r="F168" i="3"/>
  <c r="H168" i="3" s="1"/>
  <c r="E168" i="3"/>
  <c r="T168" i="3" l="1"/>
  <c r="V168" i="3" s="1"/>
  <c r="S168" i="3"/>
  <c r="U168" i="3" s="1"/>
  <c r="Q169" i="3" s="1"/>
  <c r="G168" i="3"/>
  <c r="C169" i="3" s="1"/>
  <c r="J168" i="3"/>
  <c r="D169" i="3" s="1"/>
  <c r="X168" i="3" l="1"/>
  <c r="R169" i="3" s="1"/>
  <c r="F169" i="3"/>
  <c r="H169" i="3" s="1"/>
  <c r="E169" i="3"/>
  <c r="T169" i="3" l="1"/>
  <c r="V169" i="3" s="1"/>
  <c r="S169" i="3"/>
  <c r="U169" i="3" s="1"/>
  <c r="Q170" i="3" s="1"/>
  <c r="G169" i="3"/>
  <c r="C170" i="3" s="1"/>
  <c r="J169" i="3"/>
  <c r="D170" i="3" s="1"/>
  <c r="X169" i="3" l="1"/>
  <c r="R170" i="3" s="1"/>
  <c r="F170" i="3"/>
  <c r="E170" i="3"/>
  <c r="H170" i="3"/>
  <c r="T170" i="3" l="1"/>
  <c r="V170" i="3" s="1"/>
  <c r="S170" i="3"/>
  <c r="U170" i="3" s="1"/>
  <c r="Q171" i="3" s="1"/>
  <c r="G170" i="3"/>
  <c r="C171" i="3" s="1"/>
  <c r="J170" i="3"/>
  <c r="D171" i="3" s="1"/>
  <c r="X170" i="3" l="1"/>
  <c r="R171" i="3" s="1"/>
  <c r="F171" i="3"/>
  <c r="E171" i="3"/>
  <c r="G171" i="3" s="1"/>
  <c r="H171" i="3"/>
  <c r="T171" i="3" l="1"/>
  <c r="S171" i="3"/>
  <c r="U171" i="3" s="1"/>
  <c r="V171" i="3"/>
  <c r="J171" i="3"/>
  <c r="D172" i="3" s="1"/>
  <c r="I171" i="3"/>
  <c r="C172" i="3" s="1"/>
  <c r="X171" i="3" l="1"/>
  <c r="R172" i="3" s="1"/>
  <c r="W171" i="3"/>
  <c r="Q172" i="3" s="1"/>
  <c r="E172" i="3"/>
  <c r="F172" i="3"/>
  <c r="H172" i="3" s="1"/>
  <c r="S172" i="3" l="1"/>
  <c r="U172" i="3" s="1"/>
  <c r="Q173" i="3" s="1"/>
  <c r="T172" i="3"/>
  <c r="V172" i="3"/>
  <c r="G172" i="3"/>
  <c r="C173" i="3" s="1"/>
  <c r="J172" i="3"/>
  <c r="D173" i="3" s="1"/>
  <c r="X172" i="3" l="1"/>
  <c r="R173" i="3"/>
  <c r="F173" i="3"/>
  <c r="H173" i="3" s="1"/>
  <c r="E173" i="3"/>
  <c r="T173" i="3" l="1"/>
  <c r="V173" i="3" s="1"/>
  <c r="S173" i="3"/>
  <c r="U173" i="3" s="1"/>
  <c r="Q174" i="3" s="1"/>
  <c r="G173" i="3"/>
  <c r="C174" i="3" s="1"/>
  <c r="J173" i="3"/>
  <c r="D174" i="3" s="1"/>
  <c r="X173" i="3" l="1"/>
  <c r="R174" i="3"/>
  <c r="F174" i="3"/>
  <c r="H174" i="3" s="1"/>
  <c r="E174" i="3"/>
  <c r="T174" i="3" l="1"/>
  <c r="V174" i="3" s="1"/>
  <c r="S174" i="3"/>
  <c r="U174" i="3" s="1"/>
  <c r="Q175" i="3" s="1"/>
  <c r="G174" i="3"/>
  <c r="C175" i="3" s="1"/>
  <c r="J174" i="3"/>
  <c r="D175" i="3" s="1"/>
  <c r="X174" i="3" l="1"/>
  <c r="R175" i="3"/>
  <c r="F175" i="3"/>
  <c r="H175" i="3"/>
  <c r="E175" i="3"/>
  <c r="T175" i="3" l="1"/>
  <c r="V175" i="3" s="1"/>
  <c r="S175" i="3"/>
  <c r="U175" i="3" s="1"/>
  <c r="Q176" i="3" s="1"/>
  <c r="G175" i="3"/>
  <c r="C176" i="3" s="1"/>
  <c r="J175" i="3"/>
  <c r="D176" i="3" s="1"/>
  <c r="X175" i="3" l="1"/>
  <c r="R176" i="3"/>
  <c r="F176" i="3"/>
  <c r="H176" i="3"/>
  <c r="E176" i="3"/>
  <c r="S176" i="3" l="1"/>
  <c r="U176" i="3" s="1"/>
  <c r="Q177" i="3" s="1"/>
  <c r="T176" i="3"/>
  <c r="V176" i="3" s="1"/>
  <c r="G176" i="3"/>
  <c r="C177" i="3" s="1"/>
  <c r="J176" i="3"/>
  <c r="D177" i="3" s="1"/>
  <c r="X176" i="3" l="1"/>
  <c r="R177" i="3" s="1"/>
  <c r="F177" i="3"/>
  <c r="H177" i="3"/>
  <c r="E177" i="3"/>
  <c r="S177" i="3" l="1"/>
  <c r="U177" i="3" s="1"/>
  <c r="Q178" i="3" s="1"/>
  <c r="T177" i="3"/>
  <c r="V177" i="3" s="1"/>
  <c r="G177" i="3"/>
  <c r="C178" i="3" s="1"/>
  <c r="J177" i="3"/>
  <c r="D178" i="3" s="1"/>
  <c r="X177" i="3" l="1"/>
  <c r="R178" i="3" s="1"/>
  <c r="F178" i="3"/>
  <c r="H178" i="3" s="1"/>
  <c r="E178" i="3"/>
  <c r="G178" i="3" s="1"/>
  <c r="T178" i="3" l="1"/>
  <c r="V178" i="3"/>
  <c r="S178" i="3"/>
  <c r="U178" i="3" s="1"/>
  <c r="J178" i="3"/>
  <c r="I178" i="3" s="1"/>
  <c r="C179" i="3" s="1"/>
  <c r="W178" i="3" l="1"/>
  <c r="Q179" i="3" s="1"/>
  <c r="X178" i="3"/>
  <c r="R179" i="3" s="1"/>
  <c r="D179" i="3"/>
  <c r="F179" i="3"/>
  <c r="H179" i="3" s="1"/>
  <c r="E179" i="3"/>
  <c r="G179" i="3" s="1"/>
  <c r="C180" i="3" s="1"/>
  <c r="T179" i="3" l="1"/>
  <c r="V179" i="3" s="1"/>
  <c r="S179" i="3"/>
  <c r="U179" i="3" s="1"/>
  <c r="Q180" i="3" s="1"/>
  <c r="J179" i="3"/>
  <c r="D180" i="3" s="1"/>
  <c r="X179" i="3" l="1"/>
  <c r="R180" i="3" s="1"/>
  <c r="F180" i="3"/>
  <c r="H180" i="3"/>
  <c r="E180" i="3"/>
  <c r="S180" i="3" l="1"/>
  <c r="U180" i="3" s="1"/>
  <c r="Q181" i="3" s="1"/>
  <c r="T180" i="3"/>
  <c r="V180" i="3" s="1"/>
  <c r="G180" i="3"/>
  <c r="C181" i="3" s="1"/>
  <c r="J180" i="3"/>
  <c r="D181" i="3" s="1"/>
  <c r="X180" i="3" l="1"/>
  <c r="R181" i="3"/>
  <c r="E181" i="3"/>
  <c r="F181" i="3"/>
  <c r="H181" i="3" s="1"/>
  <c r="T181" i="3" l="1"/>
  <c r="V181" i="3" s="1"/>
  <c r="S181" i="3"/>
  <c r="U181" i="3" s="1"/>
  <c r="Q182" i="3" s="1"/>
  <c r="G181" i="3"/>
  <c r="C182" i="3" s="1"/>
  <c r="J181" i="3"/>
  <c r="D182" i="3" s="1"/>
  <c r="X181" i="3" l="1"/>
  <c r="R182" i="3" s="1"/>
  <c r="F182" i="3"/>
  <c r="E182" i="3"/>
  <c r="H182" i="3"/>
  <c r="S182" i="3" l="1"/>
  <c r="U182" i="3" s="1"/>
  <c r="Q183" i="3" s="1"/>
  <c r="T182" i="3"/>
  <c r="V182" i="3"/>
  <c r="G182" i="3"/>
  <c r="C183" i="3" s="1"/>
  <c r="J182" i="3"/>
  <c r="D183" i="3" s="1"/>
  <c r="X182" i="3" l="1"/>
  <c r="R183" i="3" s="1"/>
  <c r="E183" i="3"/>
  <c r="F183" i="3"/>
  <c r="H183" i="3" s="1"/>
  <c r="S183" i="3" l="1"/>
  <c r="U183" i="3" s="1"/>
  <c r="Q184" i="3" s="1"/>
  <c r="T183" i="3"/>
  <c r="V183" i="3" s="1"/>
  <c r="G183" i="3"/>
  <c r="C184" i="3" s="1"/>
  <c r="J183" i="3"/>
  <c r="D184" i="3" s="1"/>
  <c r="X183" i="3" l="1"/>
  <c r="R184" i="3" s="1"/>
  <c r="F184" i="3"/>
  <c r="H184" i="3" s="1"/>
  <c r="E184" i="3"/>
  <c r="T184" i="3" l="1"/>
  <c r="V184" i="3" s="1"/>
  <c r="S184" i="3"/>
  <c r="U184" i="3" s="1"/>
  <c r="Q185" i="3" s="1"/>
  <c r="G184" i="3"/>
  <c r="C185" i="3" s="1"/>
  <c r="J184" i="3"/>
  <c r="D185" i="3" s="1"/>
  <c r="X184" i="3" l="1"/>
  <c r="R185" i="3"/>
  <c r="F185" i="3"/>
  <c r="H185" i="3"/>
  <c r="E185" i="3"/>
  <c r="G185" i="3" s="1"/>
  <c r="T185" i="3" l="1"/>
  <c r="V185" i="3" s="1"/>
  <c r="S185" i="3"/>
  <c r="U185" i="3" s="1"/>
  <c r="J185" i="3"/>
  <c r="D186" i="3" s="1"/>
  <c r="I185" i="3"/>
  <c r="C186" i="3" s="1"/>
  <c r="X185" i="3" l="1"/>
  <c r="R186" i="3" s="1"/>
  <c r="W185" i="3"/>
  <c r="Q186" i="3" s="1"/>
  <c r="F186" i="3"/>
  <c r="H186" i="3"/>
  <c r="E186" i="3"/>
  <c r="S186" i="3" l="1"/>
  <c r="U186" i="3" s="1"/>
  <c r="Q187" i="3" s="1"/>
  <c r="T186" i="3"/>
  <c r="V186" i="3"/>
  <c r="G186" i="3"/>
  <c r="C187" i="3" s="1"/>
  <c r="J186" i="3"/>
  <c r="D187" i="3" s="1"/>
  <c r="X186" i="3" l="1"/>
  <c r="R187" i="3" s="1"/>
  <c r="E187" i="3"/>
  <c r="F187" i="3"/>
  <c r="H187" i="3" s="1"/>
  <c r="S187" i="3" l="1"/>
  <c r="U187" i="3" s="1"/>
  <c r="Q188" i="3" s="1"/>
  <c r="T187" i="3"/>
  <c r="V187" i="3" s="1"/>
  <c r="G187" i="3"/>
  <c r="C188" i="3" s="1"/>
  <c r="J187" i="3"/>
  <c r="D188" i="3" s="1"/>
  <c r="X187" i="3" l="1"/>
  <c r="R188" i="3" s="1"/>
  <c r="F188" i="3"/>
  <c r="H188" i="3"/>
  <c r="E188" i="3"/>
  <c r="T188" i="3" l="1"/>
  <c r="S188" i="3"/>
  <c r="U188" i="3" s="1"/>
  <c r="Q189" i="3" s="1"/>
  <c r="V188" i="3"/>
  <c r="G188" i="3"/>
  <c r="C189" i="3" s="1"/>
  <c r="J188" i="3"/>
  <c r="D189" i="3" s="1"/>
  <c r="X188" i="3" l="1"/>
  <c r="R189" i="3" s="1"/>
  <c r="F189" i="3"/>
  <c r="E189" i="3"/>
  <c r="H189" i="3"/>
  <c r="T189" i="3" l="1"/>
  <c r="V189" i="3" s="1"/>
  <c r="S189" i="3"/>
  <c r="U189" i="3" s="1"/>
  <c r="Q190" i="3" s="1"/>
  <c r="G189" i="3"/>
  <c r="C190" i="3" s="1"/>
  <c r="J189" i="3"/>
  <c r="D190" i="3" s="1"/>
  <c r="X189" i="3" l="1"/>
  <c r="R190" i="3" s="1"/>
  <c r="E190" i="3"/>
  <c r="F190" i="3"/>
  <c r="H190" i="3" s="1"/>
  <c r="T190" i="3" l="1"/>
  <c r="V190" i="3" s="1"/>
  <c r="S190" i="3"/>
  <c r="U190" i="3" s="1"/>
  <c r="Q191" i="3" s="1"/>
  <c r="G190" i="3"/>
  <c r="C191" i="3" s="1"/>
  <c r="J190" i="3"/>
  <c r="D191" i="3" s="1"/>
  <c r="X190" i="3" l="1"/>
  <c r="R191" i="3"/>
  <c r="E191" i="3"/>
  <c r="F191" i="3"/>
  <c r="H191" i="3" s="1"/>
  <c r="T191" i="3" l="1"/>
  <c r="V191" i="3"/>
  <c r="S191" i="3"/>
  <c r="U191" i="3" s="1"/>
  <c r="Q192" i="3" s="1"/>
  <c r="G191" i="3"/>
  <c r="C192" i="3" s="1"/>
  <c r="J191" i="3"/>
  <c r="D192" i="3" s="1"/>
  <c r="X191" i="3" l="1"/>
  <c r="R192" i="3" s="1"/>
  <c r="E192" i="3"/>
  <c r="G192" i="3" s="1"/>
  <c r="F192" i="3"/>
  <c r="H192" i="3" s="1"/>
  <c r="S192" i="3" l="1"/>
  <c r="U192" i="3" s="1"/>
  <c r="T192" i="3"/>
  <c r="V192" i="3" s="1"/>
  <c r="J192" i="3"/>
  <c r="D193" i="3" s="1"/>
  <c r="I192" i="3"/>
  <c r="C193" i="3"/>
  <c r="X192" i="3" l="1"/>
  <c r="R193" i="3"/>
  <c r="W192" i="3"/>
  <c r="Q193" i="3" s="1"/>
  <c r="E193" i="3"/>
  <c r="F193" i="3"/>
  <c r="H193" i="3" s="1"/>
  <c r="S193" i="3" l="1"/>
  <c r="U193" i="3" s="1"/>
  <c r="Q194" i="3" s="1"/>
  <c r="T193" i="3"/>
  <c r="V193" i="3" s="1"/>
  <c r="G193" i="3"/>
  <c r="C194" i="3" s="1"/>
  <c r="J193" i="3"/>
  <c r="D194" i="3" s="1"/>
  <c r="X193" i="3" l="1"/>
  <c r="R194" i="3"/>
  <c r="E194" i="3"/>
  <c r="F194" i="3"/>
  <c r="H194" i="3" s="1"/>
  <c r="T194" i="3" l="1"/>
  <c r="S194" i="3"/>
  <c r="U194" i="3" s="1"/>
  <c r="Q195" i="3" s="1"/>
  <c r="V194" i="3"/>
  <c r="G194" i="3"/>
  <c r="C195" i="3" s="1"/>
  <c r="J194" i="3"/>
  <c r="D195" i="3" s="1"/>
  <c r="X194" i="3" l="1"/>
  <c r="R195" i="3"/>
  <c r="E195" i="3"/>
  <c r="F195" i="3"/>
  <c r="H195" i="3" s="1"/>
  <c r="T195" i="3" l="1"/>
  <c r="V195" i="3"/>
  <c r="S195" i="3"/>
  <c r="U195" i="3" s="1"/>
  <c r="Q196" i="3" s="1"/>
  <c r="G195" i="3"/>
  <c r="C196" i="3" s="1"/>
  <c r="J195" i="3"/>
  <c r="D196" i="3" s="1"/>
  <c r="X195" i="3" l="1"/>
  <c r="R196" i="3"/>
  <c r="E196" i="3"/>
  <c r="F196" i="3"/>
  <c r="H196" i="3" s="1"/>
  <c r="T196" i="3" l="1"/>
  <c r="V196" i="3" s="1"/>
  <c r="S196" i="3"/>
  <c r="U196" i="3" s="1"/>
  <c r="Q197" i="3" s="1"/>
  <c r="G196" i="3"/>
  <c r="C197" i="3" s="1"/>
  <c r="J196" i="3"/>
  <c r="D197" i="3" s="1"/>
  <c r="X196" i="3" l="1"/>
  <c r="R197" i="3" s="1"/>
  <c r="F197" i="3"/>
  <c r="H197" i="3"/>
  <c r="E197" i="3"/>
  <c r="S197" i="3" l="1"/>
  <c r="U197" i="3" s="1"/>
  <c r="Q198" i="3" s="1"/>
  <c r="T197" i="3"/>
  <c r="V197" i="3" s="1"/>
  <c r="G197" i="3"/>
  <c r="C198" i="3" s="1"/>
  <c r="J197" i="3"/>
  <c r="D198" i="3" s="1"/>
  <c r="X197" i="3" l="1"/>
  <c r="R198" i="3"/>
  <c r="F198" i="3"/>
  <c r="H198" i="3"/>
  <c r="E198" i="3"/>
  <c r="T198" i="3" l="1"/>
  <c r="S198" i="3"/>
  <c r="U198" i="3" s="1"/>
  <c r="Q199" i="3" s="1"/>
  <c r="V198" i="3"/>
  <c r="G198" i="3"/>
  <c r="C199" i="3" s="1"/>
  <c r="J198" i="3"/>
  <c r="D199" i="3" s="1"/>
  <c r="X198" i="3" l="1"/>
  <c r="R199" i="3" s="1"/>
  <c r="F199" i="3"/>
  <c r="E199" i="3"/>
  <c r="G199" i="3" s="1"/>
  <c r="H199" i="3"/>
  <c r="T199" i="3" l="1"/>
  <c r="V199" i="3" s="1"/>
  <c r="S199" i="3"/>
  <c r="U199" i="3" s="1"/>
  <c r="J199" i="3"/>
  <c r="D200" i="3" s="1"/>
  <c r="I199" i="3"/>
  <c r="C200" i="3" s="1"/>
  <c r="X199" i="3" l="1"/>
  <c r="R200" i="3" s="1"/>
  <c r="W199" i="3"/>
  <c r="Q200" i="3" s="1"/>
  <c r="E200" i="3"/>
  <c r="F200" i="3"/>
  <c r="H200" i="3" s="1"/>
  <c r="S200" i="3" l="1"/>
  <c r="U200" i="3" s="1"/>
  <c r="Q201" i="3" s="1"/>
  <c r="T200" i="3"/>
  <c r="V200" i="3"/>
  <c r="G200" i="3"/>
  <c r="C201" i="3" s="1"/>
  <c r="J200" i="3"/>
  <c r="D201" i="3" s="1"/>
  <c r="X200" i="3" l="1"/>
  <c r="R201" i="3" s="1"/>
  <c r="F201" i="3"/>
  <c r="H201" i="3"/>
  <c r="E201" i="3"/>
  <c r="T201" i="3" l="1"/>
  <c r="S201" i="3"/>
  <c r="U201" i="3" s="1"/>
  <c r="Q202" i="3" s="1"/>
  <c r="V201" i="3"/>
  <c r="G201" i="3"/>
  <c r="C202" i="3" s="1"/>
  <c r="J201" i="3"/>
  <c r="D202" i="3" s="1"/>
  <c r="X201" i="3" l="1"/>
  <c r="R202" i="3" s="1"/>
  <c r="F202" i="3"/>
  <c r="H202" i="3"/>
  <c r="E202" i="3"/>
  <c r="T202" i="3" l="1"/>
  <c r="V202" i="3" s="1"/>
  <c r="S202" i="3"/>
  <c r="U202" i="3" s="1"/>
  <c r="Q203" i="3" s="1"/>
  <c r="G202" i="3"/>
  <c r="C203" i="3" s="1"/>
  <c r="J202" i="3"/>
  <c r="D203" i="3" s="1"/>
  <c r="X202" i="3" l="1"/>
  <c r="R203" i="3"/>
  <c r="E203" i="3"/>
  <c r="F203" i="3"/>
  <c r="H203" i="3" s="1"/>
  <c r="T203" i="3" l="1"/>
  <c r="V203" i="3" s="1"/>
  <c r="S203" i="3"/>
  <c r="U203" i="3" s="1"/>
  <c r="Q204" i="3" s="1"/>
  <c r="G203" i="3"/>
  <c r="C204" i="3" s="1"/>
  <c r="J203" i="3"/>
  <c r="D204" i="3" s="1"/>
  <c r="X203" i="3" l="1"/>
  <c r="R204" i="3" s="1"/>
  <c r="F204" i="3"/>
  <c r="E204" i="3"/>
  <c r="H204" i="3"/>
  <c r="T204" i="3" l="1"/>
  <c r="S204" i="3"/>
  <c r="U204" i="3" s="1"/>
  <c r="Q205" i="3" s="1"/>
  <c r="V204" i="3"/>
  <c r="G204" i="3"/>
  <c r="C205" i="3" s="1"/>
  <c r="J204" i="3"/>
  <c r="D205" i="3" s="1"/>
  <c r="X204" i="3" l="1"/>
  <c r="R205" i="3" s="1"/>
  <c r="F205" i="3"/>
  <c r="H205" i="3" s="1"/>
  <c r="E205" i="3"/>
  <c r="T205" i="3" l="1"/>
  <c r="V205" i="3" s="1"/>
  <c r="S205" i="3"/>
  <c r="U205" i="3" s="1"/>
  <c r="Q206" i="3" s="1"/>
  <c r="G205" i="3"/>
  <c r="C206" i="3" s="1"/>
  <c r="J205" i="3"/>
  <c r="D206" i="3" s="1"/>
  <c r="X205" i="3" l="1"/>
  <c r="R206" i="3" s="1"/>
  <c r="F206" i="3"/>
  <c r="H206" i="3" s="1"/>
  <c r="E206" i="3"/>
  <c r="G206" i="3" s="1"/>
  <c r="T206" i="3" l="1"/>
  <c r="V206" i="3" s="1"/>
  <c r="S206" i="3"/>
  <c r="U206" i="3" s="1"/>
  <c r="J206" i="3"/>
  <c r="D207" i="3" s="1"/>
  <c r="I206" i="3"/>
  <c r="C207" i="3" s="1"/>
  <c r="X206" i="3" l="1"/>
  <c r="R207" i="3" s="1"/>
  <c r="W206" i="3"/>
  <c r="Q207" i="3" s="1"/>
  <c r="E207" i="3"/>
  <c r="F207" i="3"/>
  <c r="H207" i="3" s="1"/>
  <c r="T207" i="3" l="1"/>
  <c r="V207" i="3" s="1"/>
  <c r="S207" i="3"/>
  <c r="U207" i="3" s="1"/>
  <c r="Q208" i="3" s="1"/>
  <c r="G207" i="3"/>
  <c r="C208" i="3" s="1"/>
  <c r="J207" i="3"/>
  <c r="D208" i="3" s="1"/>
  <c r="X207" i="3" l="1"/>
  <c r="R208" i="3" s="1"/>
  <c r="F208" i="3"/>
  <c r="H208" i="3"/>
  <c r="E208" i="3"/>
  <c r="T208" i="3" l="1"/>
  <c r="V208" i="3"/>
  <c r="S208" i="3"/>
  <c r="U208" i="3" s="1"/>
  <c r="Q209" i="3" s="1"/>
  <c r="G208" i="3"/>
  <c r="C209" i="3" s="1"/>
  <c r="J208" i="3"/>
  <c r="D209" i="3" s="1"/>
  <c r="X208" i="3" l="1"/>
  <c r="R209" i="3" s="1"/>
  <c r="E209" i="3"/>
  <c r="F209" i="3"/>
  <c r="H209" i="3" s="1"/>
  <c r="T209" i="3" l="1"/>
  <c r="V209" i="3" s="1"/>
  <c r="S209" i="3"/>
  <c r="U209" i="3" s="1"/>
  <c r="Q210" i="3" s="1"/>
  <c r="G209" i="3"/>
  <c r="C210" i="3" s="1"/>
  <c r="J209" i="3"/>
  <c r="D210" i="3" s="1"/>
  <c r="X209" i="3" l="1"/>
  <c r="R210" i="3"/>
  <c r="E210" i="3"/>
  <c r="F210" i="3"/>
  <c r="H210" i="3" s="1"/>
  <c r="T210" i="3" l="1"/>
  <c r="V210" i="3" s="1"/>
  <c r="S210" i="3"/>
  <c r="U210" i="3" s="1"/>
  <c r="Q211" i="3" s="1"/>
  <c r="G210" i="3"/>
  <c r="C211" i="3" s="1"/>
  <c r="J210" i="3"/>
  <c r="D211" i="3" s="1"/>
  <c r="X210" i="3" l="1"/>
  <c r="R211" i="3"/>
  <c r="E211" i="3"/>
  <c r="F211" i="3"/>
  <c r="H211" i="3" s="1"/>
  <c r="T211" i="3" l="1"/>
  <c r="S211" i="3"/>
  <c r="U211" i="3" s="1"/>
  <c r="Q212" i="3" s="1"/>
  <c r="V211" i="3"/>
  <c r="G211" i="3"/>
  <c r="C212" i="3" s="1"/>
  <c r="J211" i="3"/>
  <c r="D212" i="3" s="1"/>
  <c r="X211" i="3" l="1"/>
  <c r="R212" i="3" s="1"/>
  <c r="F212" i="3"/>
  <c r="H212" i="3"/>
  <c r="E212" i="3"/>
  <c r="T212" i="3" l="1"/>
  <c r="V212" i="3"/>
  <c r="S212" i="3"/>
  <c r="U212" i="3" s="1"/>
  <c r="Q213" i="3" s="1"/>
  <c r="G212" i="3"/>
  <c r="C213" i="3" s="1"/>
  <c r="J212" i="3"/>
  <c r="D213" i="3" s="1"/>
  <c r="X212" i="3" l="1"/>
  <c r="R213" i="3"/>
  <c r="E213" i="3"/>
  <c r="G213" i="3" s="1"/>
  <c r="F213" i="3"/>
  <c r="H213" i="3" s="1"/>
  <c r="T213" i="3" l="1"/>
  <c r="V213" i="3" s="1"/>
  <c r="S213" i="3"/>
  <c r="U213" i="3" s="1"/>
  <c r="J213" i="3"/>
  <c r="D214" i="3" s="1"/>
  <c r="I213" i="3"/>
  <c r="C214" i="3" s="1"/>
  <c r="X213" i="3" l="1"/>
  <c r="R214" i="3"/>
  <c r="W213" i="3"/>
  <c r="Q214" i="3" s="1"/>
  <c r="F214" i="3"/>
  <c r="H214" i="3" s="1"/>
  <c r="E214" i="3"/>
  <c r="T214" i="3" l="1"/>
  <c r="V214" i="3" s="1"/>
  <c r="S214" i="3"/>
  <c r="U214" i="3" s="1"/>
  <c r="Q215" i="3" s="1"/>
  <c r="G214" i="3"/>
  <c r="C215" i="3" s="1"/>
  <c r="J214" i="3"/>
  <c r="D215" i="3" s="1"/>
  <c r="X214" i="3" l="1"/>
  <c r="R215" i="3"/>
  <c r="E215" i="3"/>
  <c r="F215" i="3"/>
  <c r="H215" i="3" s="1"/>
  <c r="S215" i="3" l="1"/>
  <c r="U215" i="3" s="1"/>
  <c r="Q216" i="3" s="1"/>
  <c r="T215" i="3"/>
  <c r="V215" i="3" s="1"/>
  <c r="G215" i="3"/>
  <c r="C216" i="3" s="1"/>
  <c r="J215" i="3"/>
  <c r="D216" i="3" s="1"/>
  <c r="X215" i="3" l="1"/>
  <c r="R216" i="3"/>
  <c r="F216" i="3"/>
  <c r="H216" i="3"/>
  <c r="E216" i="3"/>
  <c r="T216" i="3" l="1"/>
  <c r="V216" i="3" s="1"/>
  <c r="S216" i="3"/>
  <c r="U216" i="3" s="1"/>
  <c r="Q217" i="3" s="1"/>
  <c r="G216" i="3"/>
  <c r="C217" i="3" s="1"/>
  <c r="J216" i="3"/>
  <c r="D217" i="3" s="1"/>
  <c r="X216" i="3" l="1"/>
  <c r="R217" i="3" s="1"/>
  <c r="F217" i="3"/>
  <c r="H217" i="3"/>
  <c r="E217" i="3"/>
  <c r="S217" i="3" l="1"/>
  <c r="U217" i="3" s="1"/>
  <c r="Q218" i="3" s="1"/>
  <c r="T217" i="3"/>
  <c r="V217" i="3"/>
  <c r="G217" i="3"/>
  <c r="C218" i="3" s="1"/>
  <c r="J217" i="3"/>
  <c r="D218" i="3" s="1"/>
  <c r="X217" i="3" l="1"/>
  <c r="R218" i="3"/>
  <c r="F218" i="3"/>
  <c r="H218" i="3"/>
  <c r="E218" i="3"/>
  <c r="T218" i="3" l="1"/>
  <c r="V218" i="3" s="1"/>
  <c r="S218" i="3"/>
  <c r="U218" i="3" s="1"/>
  <c r="Q219" i="3" s="1"/>
  <c r="G218" i="3"/>
  <c r="C219" i="3" s="1"/>
  <c r="J218" i="3"/>
  <c r="D219" i="3" s="1"/>
  <c r="X218" i="3" l="1"/>
  <c r="R219" i="3"/>
  <c r="E219" i="3"/>
  <c r="F219" i="3"/>
  <c r="H219" i="3" s="1"/>
  <c r="T219" i="3" l="1"/>
  <c r="S219" i="3"/>
  <c r="U219" i="3" s="1"/>
  <c r="Q220" i="3" s="1"/>
  <c r="V219" i="3"/>
  <c r="G219" i="3"/>
  <c r="C220" i="3" s="1"/>
  <c r="J219" i="3"/>
  <c r="D220" i="3" s="1"/>
  <c r="X219" i="3" l="1"/>
  <c r="R220" i="3"/>
  <c r="F220" i="3"/>
  <c r="E220" i="3"/>
  <c r="G220" i="3" s="1"/>
  <c r="H220" i="3"/>
  <c r="S220" i="3" l="1"/>
  <c r="U220" i="3" s="1"/>
  <c r="T220" i="3"/>
  <c r="V220" i="3" s="1"/>
  <c r="J220" i="3"/>
  <c r="I220" i="3" s="1"/>
  <c r="C221" i="3" s="1"/>
  <c r="X220" i="3" l="1"/>
  <c r="R221" i="3" s="1"/>
  <c r="W220" i="3"/>
  <c r="Q221" i="3" s="1"/>
  <c r="D221" i="3"/>
  <c r="F221" i="3"/>
  <c r="H221" i="3"/>
  <c r="E221" i="3"/>
  <c r="G221" i="3" s="1"/>
  <c r="C222" i="3" s="1"/>
  <c r="S221" i="3" l="1"/>
  <c r="U221" i="3" s="1"/>
  <c r="Q222" i="3" s="1"/>
  <c r="T221" i="3"/>
  <c r="V221" i="3"/>
  <c r="J221" i="3"/>
  <c r="D222" i="3" s="1"/>
  <c r="X221" i="3" l="1"/>
  <c r="R222" i="3" s="1"/>
  <c r="F222" i="3"/>
  <c r="E222" i="3"/>
  <c r="H222" i="3"/>
  <c r="S222" i="3" l="1"/>
  <c r="U222" i="3" s="1"/>
  <c r="Q223" i="3" s="1"/>
  <c r="T222" i="3"/>
  <c r="V222" i="3" s="1"/>
  <c r="G222" i="3"/>
  <c r="C223" i="3" s="1"/>
  <c r="J222" i="3"/>
  <c r="D223" i="3" s="1"/>
  <c r="X222" i="3" l="1"/>
  <c r="R223" i="3" s="1"/>
  <c r="E223" i="3"/>
  <c r="F223" i="3"/>
  <c r="H223" i="3" s="1"/>
  <c r="S223" i="3" l="1"/>
  <c r="U223" i="3" s="1"/>
  <c r="Q224" i="3" s="1"/>
  <c r="T223" i="3"/>
  <c r="V223" i="3" s="1"/>
  <c r="G223" i="3"/>
  <c r="C224" i="3" s="1"/>
  <c r="J223" i="3"/>
  <c r="D224" i="3" s="1"/>
  <c r="X223" i="3" l="1"/>
  <c r="R224" i="3"/>
  <c r="E224" i="3"/>
  <c r="F224" i="3"/>
  <c r="H224" i="3" s="1"/>
  <c r="S224" i="3" l="1"/>
  <c r="U224" i="3" s="1"/>
  <c r="Q225" i="3" s="1"/>
  <c r="T224" i="3"/>
  <c r="V224" i="3" s="1"/>
  <c r="G224" i="3"/>
  <c r="C225" i="3" s="1"/>
  <c r="J224" i="3"/>
  <c r="D225" i="3" s="1"/>
  <c r="X224" i="3" l="1"/>
  <c r="R225" i="3" s="1"/>
  <c r="E225" i="3"/>
  <c r="F225" i="3"/>
  <c r="H225" i="3" s="1"/>
  <c r="T225" i="3" l="1"/>
  <c r="V225" i="3" s="1"/>
  <c r="S225" i="3"/>
  <c r="U225" i="3" s="1"/>
  <c r="Q226" i="3" s="1"/>
  <c r="G225" i="3"/>
  <c r="C226" i="3" s="1"/>
  <c r="J225" i="3"/>
  <c r="D226" i="3" s="1"/>
  <c r="X225" i="3" l="1"/>
  <c r="R226" i="3" s="1"/>
  <c r="E226" i="3"/>
  <c r="F226" i="3"/>
  <c r="H226" i="3" s="1"/>
  <c r="T226" i="3" l="1"/>
  <c r="S226" i="3"/>
  <c r="U226" i="3" s="1"/>
  <c r="Q227" i="3" s="1"/>
  <c r="V226" i="3"/>
  <c r="G226" i="3"/>
  <c r="C227" i="3" s="1"/>
  <c r="J226" i="3"/>
  <c r="D227" i="3" s="1"/>
  <c r="X226" i="3" l="1"/>
  <c r="R227" i="3" s="1"/>
  <c r="F227" i="3"/>
  <c r="H227" i="3"/>
  <c r="E227" i="3"/>
  <c r="G227" i="3" s="1"/>
  <c r="T227" i="3" l="1"/>
  <c r="S227" i="3"/>
  <c r="U227" i="3" s="1"/>
  <c r="V227" i="3"/>
  <c r="J227" i="3"/>
  <c r="D228" i="3" s="1"/>
  <c r="I227" i="3"/>
  <c r="C228" i="3" s="1"/>
  <c r="W227" i="3" l="1"/>
  <c r="Q228" i="3"/>
  <c r="X227" i="3"/>
  <c r="R228" i="3" s="1"/>
  <c r="E228" i="3"/>
  <c r="F228" i="3"/>
  <c r="H228" i="3" s="1"/>
  <c r="T228" i="3" l="1"/>
  <c r="V228" i="3"/>
  <c r="S228" i="3"/>
  <c r="U228" i="3" s="1"/>
  <c r="Q229" i="3" s="1"/>
  <c r="G228" i="3"/>
  <c r="C229" i="3" s="1"/>
  <c r="J228" i="3"/>
  <c r="D229" i="3" s="1"/>
  <c r="X228" i="3" l="1"/>
  <c r="R229" i="3" s="1"/>
  <c r="E229" i="3"/>
  <c r="F229" i="3"/>
  <c r="H229" i="3" s="1"/>
  <c r="T229" i="3" l="1"/>
  <c r="V229" i="3" s="1"/>
  <c r="S229" i="3"/>
  <c r="U229" i="3" s="1"/>
  <c r="Q230" i="3" s="1"/>
  <c r="G229" i="3"/>
  <c r="C230" i="3" s="1"/>
  <c r="J229" i="3"/>
  <c r="D230" i="3" s="1"/>
  <c r="X229" i="3" l="1"/>
  <c r="R230" i="3" s="1"/>
  <c r="F230" i="3"/>
  <c r="H230" i="3" s="1"/>
  <c r="E230" i="3"/>
  <c r="T230" i="3" l="1"/>
  <c r="V230" i="3" s="1"/>
  <c r="S230" i="3"/>
  <c r="U230" i="3" s="1"/>
  <c r="Q231" i="3" s="1"/>
  <c r="G230" i="3"/>
  <c r="C231" i="3" s="1"/>
  <c r="J230" i="3"/>
  <c r="D231" i="3" s="1"/>
  <c r="X230" i="3" l="1"/>
  <c r="R231" i="3"/>
  <c r="E231" i="3"/>
  <c r="F231" i="3"/>
  <c r="H231" i="3" s="1"/>
  <c r="T231" i="3" l="1"/>
  <c r="S231" i="3"/>
  <c r="U231" i="3" s="1"/>
  <c r="Q232" i="3" s="1"/>
  <c r="V231" i="3"/>
  <c r="G231" i="3"/>
  <c r="C232" i="3" s="1"/>
  <c r="J231" i="3"/>
  <c r="D232" i="3" s="1"/>
  <c r="X231" i="3" l="1"/>
  <c r="R232" i="3" s="1"/>
  <c r="F232" i="3"/>
  <c r="H232" i="3"/>
  <c r="E232" i="3"/>
  <c r="T232" i="3" l="1"/>
  <c r="S232" i="3"/>
  <c r="U232" i="3" s="1"/>
  <c r="Q233" i="3" s="1"/>
  <c r="V232" i="3"/>
  <c r="G232" i="3"/>
  <c r="C233" i="3" s="1"/>
  <c r="J232" i="3"/>
  <c r="D233" i="3" s="1"/>
  <c r="X232" i="3" l="1"/>
  <c r="R233" i="3"/>
  <c r="E233" i="3"/>
  <c r="F233" i="3"/>
  <c r="H233" i="3" s="1"/>
  <c r="T233" i="3" l="1"/>
  <c r="V233" i="3" s="1"/>
  <c r="S233" i="3"/>
  <c r="U233" i="3" s="1"/>
  <c r="Q234" i="3" s="1"/>
  <c r="G233" i="3"/>
  <c r="C234" i="3" s="1"/>
  <c r="J233" i="3"/>
  <c r="D234" i="3" s="1"/>
  <c r="X233" i="3" l="1"/>
  <c r="R234" i="3"/>
  <c r="F234" i="3"/>
  <c r="H234" i="3"/>
  <c r="E234" i="3"/>
  <c r="G234" i="3" s="1"/>
  <c r="T234" i="3" l="1"/>
  <c r="V234" i="3"/>
  <c r="S234" i="3"/>
  <c r="U234" i="3" s="1"/>
  <c r="J234" i="3"/>
  <c r="D235" i="3" s="1"/>
  <c r="I234" i="3"/>
  <c r="C235" i="3" s="1"/>
  <c r="W234" i="3" l="1"/>
  <c r="Q235" i="3" s="1"/>
  <c r="X234" i="3"/>
  <c r="R235" i="3" s="1"/>
  <c r="G235" i="3"/>
  <c r="C236" i="3" s="1"/>
  <c r="E235" i="3"/>
  <c r="F235" i="3"/>
  <c r="H235" i="3" s="1"/>
  <c r="T235" i="3" l="1"/>
  <c r="V235" i="3" s="1"/>
  <c r="S235" i="3"/>
  <c r="U235" i="3"/>
  <c r="Q236" i="3" s="1"/>
  <c r="J235" i="3"/>
  <c r="D236" i="3" s="1"/>
  <c r="X235" i="3" l="1"/>
  <c r="R236" i="3"/>
  <c r="F236" i="3"/>
  <c r="H236" i="3"/>
  <c r="E236" i="3"/>
  <c r="T236" i="3" l="1"/>
  <c r="V236" i="3"/>
  <c r="S236" i="3"/>
  <c r="U236" i="3" s="1"/>
  <c r="Q237" i="3" s="1"/>
  <c r="G236" i="3"/>
  <c r="C237" i="3" s="1"/>
  <c r="J236" i="3"/>
  <c r="D237" i="3" s="1"/>
  <c r="X236" i="3" l="1"/>
  <c r="R237" i="3"/>
  <c r="E237" i="3"/>
  <c r="F237" i="3"/>
  <c r="H237" i="3" s="1"/>
  <c r="S237" i="3" l="1"/>
  <c r="U237" i="3" s="1"/>
  <c r="Q238" i="3" s="1"/>
  <c r="T237" i="3"/>
  <c r="V237" i="3" s="1"/>
  <c r="G237" i="3"/>
  <c r="C238" i="3" s="1"/>
  <c r="J237" i="3"/>
  <c r="D238" i="3" s="1"/>
  <c r="X237" i="3" l="1"/>
  <c r="R238" i="3" s="1"/>
  <c r="E238" i="3"/>
  <c r="F238" i="3"/>
  <c r="H238" i="3" s="1"/>
  <c r="S238" i="3" l="1"/>
  <c r="U238" i="3" s="1"/>
  <c r="Q239" i="3" s="1"/>
  <c r="T238" i="3"/>
  <c r="V238" i="3" s="1"/>
  <c r="G238" i="3"/>
  <c r="C239" i="3" s="1"/>
  <c r="J238" i="3"/>
  <c r="D239" i="3" s="1"/>
  <c r="X238" i="3" l="1"/>
  <c r="R239" i="3" s="1"/>
  <c r="E239" i="3"/>
  <c r="F239" i="3"/>
  <c r="H239" i="3" s="1"/>
  <c r="S239" i="3" l="1"/>
  <c r="U239" i="3" s="1"/>
  <c r="Q240" i="3" s="1"/>
  <c r="V239" i="3"/>
  <c r="T239" i="3"/>
  <c r="G239" i="3"/>
  <c r="C240" i="3" s="1"/>
  <c r="J239" i="3"/>
  <c r="D240" i="3" s="1"/>
  <c r="X239" i="3" l="1"/>
  <c r="R240" i="3"/>
  <c r="F240" i="3"/>
  <c r="H240" i="3" s="1"/>
  <c r="E240" i="3"/>
  <c r="S240" i="3" l="1"/>
  <c r="U240" i="3" s="1"/>
  <c r="Q241" i="3" s="1"/>
  <c r="T240" i="3"/>
  <c r="V240" i="3" s="1"/>
  <c r="G240" i="3"/>
  <c r="C241" i="3" s="1"/>
  <c r="J240" i="3"/>
  <c r="D241" i="3" s="1"/>
  <c r="X240" i="3" l="1"/>
  <c r="R241" i="3"/>
  <c r="E241" i="3"/>
  <c r="G241" i="3" s="1"/>
  <c r="F241" i="3"/>
  <c r="H241" i="3" s="1"/>
  <c r="T241" i="3" l="1"/>
  <c r="V241" i="3" s="1"/>
  <c r="S241" i="3"/>
  <c r="U241" i="3" s="1"/>
  <c r="J241" i="3"/>
  <c r="D242" i="3" s="1"/>
  <c r="I241" i="3"/>
  <c r="C242" i="3"/>
  <c r="X241" i="3" l="1"/>
  <c r="R242" i="3" s="1"/>
  <c r="W241" i="3"/>
  <c r="Q242" i="3" s="1"/>
  <c r="E242" i="3"/>
  <c r="F242" i="3"/>
  <c r="H242" i="3" s="1"/>
  <c r="T242" i="3" l="1"/>
  <c r="V242" i="3" s="1"/>
  <c r="S242" i="3"/>
  <c r="U242" i="3" s="1"/>
  <c r="Q243" i="3" s="1"/>
  <c r="G242" i="3"/>
  <c r="C243" i="3" s="1"/>
  <c r="J242" i="3"/>
  <c r="D243" i="3" s="1"/>
  <c r="X242" i="3" l="1"/>
  <c r="R243" i="3"/>
  <c r="F243" i="3"/>
  <c r="H243" i="3"/>
  <c r="E243" i="3"/>
  <c r="T243" i="3" l="1"/>
  <c r="V243" i="3"/>
  <c r="S243" i="3"/>
  <c r="U243" i="3" s="1"/>
  <c r="Q244" i="3" s="1"/>
  <c r="G243" i="3"/>
  <c r="C244" i="3" s="1"/>
  <c r="J243" i="3"/>
  <c r="D244" i="3" s="1"/>
  <c r="X243" i="3" l="1"/>
  <c r="R244" i="3" s="1"/>
  <c r="F244" i="3"/>
  <c r="H244" i="3"/>
  <c r="E244" i="3"/>
  <c r="S244" i="3" l="1"/>
  <c r="U244" i="3" s="1"/>
  <c r="Q245" i="3" s="1"/>
  <c r="T244" i="3"/>
  <c r="V244" i="3" s="1"/>
  <c r="G244" i="3"/>
  <c r="C245" i="3" s="1"/>
  <c r="J244" i="3"/>
  <c r="D245" i="3" s="1"/>
  <c r="X244" i="3" l="1"/>
  <c r="R245" i="3"/>
  <c r="F245" i="3"/>
  <c r="H245" i="3"/>
  <c r="E245" i="3"/>
  <c r="T245" i="3" l="1"/>
  <c r="V245" i="3" s="1"/>
  <c r="S245" i="3"/>
  <c r="U245" i="3" s="1"/>
  <c r="Q246" i="3" s="1"/>
  <c r="G245" i="3"/>
  <c r="C246" i="3" s="1"/>
  <c r="J245" i="3"/>
  <c r="D246" i="3" s="1"/>
  <c r="X245" i="3" l="1"/>
  <c r="R246" i="3" s="1"/>
  <c r="F246" i="3"/>
  <c r="H246" i="3"/>
  <c r="E246" i="3"/>
  <c r="S246" i="3" l="1"/>
  <c r="U246" i="3" s="1"/>
  <c r="Q247" i="3" s="1"/>
  <c r="T246" i="3"/>
  <c r="V246" i="3" s="1"/>
  <c r="G246" i="3"/>
  <c r="C247" i="3" s="1"/>
  <c r="J246" i="3"/>
  <c r="D247" i="3" s="1"/>
  <c r="X246" i="3" l="1"/>
  <c r="R247" i="3"/>
  <c r="F247" i="3"/>
  <c r="H247" i="3"/>
  <c r="E247" i="3"/>
  <c r="T247" i="3" l="1"/>
  <c r="S247" i="3"/>
  <c r="U247" i="3" s="1"/>
  <c r="Q248" i="3" s="1"/>
  <c r="V247" i="3"/>
  <c r="G247" i="3"/>
  <c r="C248" i="3" s="1"/>
  <c r="J247" i="3"/>
  <c r="D248" i="3" s="1"/>
  <c r="X247" i="3" l="1"/>
  <c r="R248" i="3" s="1"/>
  <c r="F248" i="3"/>
  <c r="H248" i="3" s="1"/>
  <c r="E248" i="3"/>
  <c r="G248" i="3" s="1"/>
  <c r="T248" i="3" l="1"/>
  <c r="S248" i="3"/>
  <c r="U248" i="3" s="1"/>
  <c r="V248" i="3"/>
  <c r="J248" i="3"/>
  <c r="D249" i="3" s="1"/>
  <c r="I248" i="3"/>
  <c r="C249" i="3" s="1"/>
  <c r="W248" i="3" l="1"/>
  <c r="Q249" i="3" s="1"/>
  <c r="X248" i="3"/>
  <c r="R249" i="3" s="1"/>
  <c r="F249" i="3"/>
  <c r="H249" i="3" s="1"/>
  <c r="E249" i="3"/>
  <c r="S249" i="3" l="1"/>
  <c r="T249" i="3"/>
  <c r="V249" i="3"/>
  <c r="U249" i="3"/>
  <c r="Q250" i="3" s="1"/>
  <c r="G249" i="3"/>
  <c r="C250" i="3" s="1"/>
  <c r="J249" i="3"/>
  <c r="D250" i="3" s="1"/>
  <c r="X249" i="3" l="1"/>
  <c r="R250" i="3"/>
  <c r="F250" i="3"/>
  <c r="H250" i="3" s="1"/>
  <c r="E250" i="3"/>
  <c r="T250" i="3" l="1"/>
  <c r="V250" i="3" s="1"/>
  <c r="S250" i="3"/>
  <c r="U250" i="3" s="1"/>
  <c r="Q251" i="3" s="1"/>
  <c r="G250" i="3"/>
  <c r="C251" i="3" s="1"/>
  <c r="J250" i="3"/>
  <c r="D251" i="3" s="1"/>
  <c r="X250" i="3" l="1"/>
  <c r="R251" i="3"/>
  <c r="F251" i="3"/>
  <c r="H251" i="3" s="1"/>
  <c r="E251" i="3"/>
  <c r="T251" i="3" l="1"/>
  <c r="S251" i="3"/>
  <c r="U251" i="3" s="1"/>
  <c r="Q252" i="3" s="1"/>
  <c r="V251" i="3"/>
  <c r="G251" i="3"/>
  <c r="C252" i="3" s="1"/>
  <c r="J251" i="3"/>
  <c r="D252" i="3" s="1"/>
  <c r="X251" i="3" l="1"/>
  <c r="R252" i="3"/>
  <c r="F252" i="3"/>
  <c r="H252" i="3"/>
  <c r="E252" i="3"/>
  <c r="T252" i="3" l="1"/>
  <c r="V252" i="3" s="1"/>
  <c r="S252" i="3"/>
  <c r="U252" i="3" s="1"/>
  <c r="Q253" i="3" s="1"/>
  <c r="G252" i="3"/>
  <c r="C253" i="3" s="1"/>
  <c r="J252" i="3"/>
  <c r="D253" i="3" s="1"/>
  <c r="X252" i="3" l="1"/>
  <c r="R253" i="3"/>
  <c r="F253" i="3"/>
  <c r="H253" i="3" s="1"/>
  <c r="E253" i="3"/>
  <c r="T253" i="3" l="1"/>
  <c r="V253" i="3" s="1"/>
  <c r="S253" i="3"/>
  <c r="U253" i="3" s="1"/>
  <c r="Q254" i="3" s="1"/>
  <c r="G253" i="3"/>
  <c r="C254" i="3" s="1"/>
  <c r="J253" i="3"/>
  <c r="D254" i="3" s="1"/>
  <c r="X253" i="3" l="1"/>
  <c r="R254" i="3" s="1"/>
  <c r="E254" i="3"/>
  <c r="F254" i="3"/>
  <c r="H254" i="3" s="1"/>
  <c r="S254" i="3" l="1"/>
  <c r="U254" i="3" s="1"/>
  <c r="Q255" i="3" s="1"/>
  <c r="T254" i="3"/>
  <c r="V254" i="3" s="1"/>
  <c r="G254" i="3"/>
  <c r="C255" i="3" s="1"/>
  <c r="J254" i="3"/>
  <c r="D255" i="3" s="1"/>
  <c r="X254" i="3" l="1"/>
  <c r="R255" i="3" s="1"/>
  <c r="F255" i="3"/>
  <c r="H255" i="3"/>
  <c r="E255" i="3"/>
  <c r="G255" i="3" s="1"/>
  <c r="S255" i="3" l="1"/>
  <c r="U255" i="3" s="1"/>
  <c r="T255" i="3"/>
  <c r="V255" i="3" s="1"/>
  <c r="J255" i="3"/>
  <c r="D256" i="3" s="1"/>
  <c r="I255" i="3"/>
  <c r="C256" i="3" s="1"/>
  <c r="X255" i="3" l="1"/>
  <c r="R256" i="3"/>
  <c r="W255" i="3"/>
  <c r="Q256" i="3"/>
  <c r="E256" i="3"/>
  <c r="F256" i="3"/>
  <c r="H256" i="3" s="1"/>
  <c r="T256" i="3" l="1"/>
  <c r="S256" i="3"/>
  <c r="U256" i="3" s="1"/>
  <c r="Q257" i="3" s="1"/>
  <c r="V256" i="3"/>
  <c r="G256" i="3"/>
  <c r="C257" i="3" s="1"/>
  <c r="J256" i="3"/>
  <c r="D257" i="3" s="1"/>
  <c r="X256" i="3" l="1"/>
  <c r="R257" i="3"/>
  <c r="E257" i="3"/>
  <c r="F257" i="3"/>
  <c r="H257" i="3" s="1"/>
  <c r="S257" i="3" l="1"/>
  <c r="U257" i="3" s="1"/>
  <c r="Q258" i="3" s="1"/>
  <c r="T257" i="3"/>
  <c r="V257" i="3" s="1"/>
  <c r="D258" i="3"/>
  <c r="G257" i="3"/>
  <c r="C258" i="3" s="1"/>
  <c r="J257" i="3"/>
  <c r="X257" i="3" l="1"/>
  <c r="R258" i="3" s="1"/>
  <c r="F258" i="3"/>
  <c r="H258" i="3"/>
  <c r="E258" i="3"/>
  <c r="T258" i="3" l="1"/>
  <c r="V258" i="3" s="1"/>
  <c r="S258" i="3"/>
  <c r="U258" i="3" s="1"/>
  <c r="Q259" i="3" s="1"/>
  <c r="G258" i="3"/>
  <c r="C259" i="3" s="1"/>
  <c r="J258" i="3"/>
  <c r="D259" i="3" s="1"/>
  <c r="X258" i="3" l="1"/>
  <c r="R259" i="3"/>
  <c r="F259" i="3"/>
  <c r="H259" i="3" s="1"/>
  <c r="E259" i="3"/>
  <c r="T259" i="3" l="1"/>
  <c r="V259" i="3" s="1"/>
  <c r="S259" i="3"/>
  <c r="U259" i="3" s="1"/>
  <c r="Q260" i="3" s="1"/>
  <c r="G259" i="3"/>
  <c r="C260" i="3" s="1"/>
  <c r="J259" i="3"/>
  <c r="D260" i="3" s="1"/>
  <c r="X259" i="3" l="1"/>
  <c r="R260" i="3"/>
  <c r="E260" i="3"/>
  <c r="F260" i="3"/>
  <c r="H260" i="3" s="1"/>
  <c r="S260" i="3" l="1"/>
  <c r="U260" i="3" s="1"/>
  <c r="Q261" i="3" s="1"/>
  <c r="T260" i="3"/>
  <c r="V260" i="3" s="1"/>
  <c r="G260" i="3"/>
  <c r="C261" i="3" s="1"/>
  <c r="J260" i="3"/>
  <c r="D261" i="3" s="1"/>
  <c r="X260" i="3" l="1"/>
  <c r="R261" i="3" s="1"/>
  <c r="F261" i="3"/>
  <c r="H261" i="3" s="1"/>
  <c r="E261" i="3"/>
  <c r="S261" i="3" l="1"/>
  <c r="U261" i="3" s="1"/>
  <c r="Q262" i="3" s="1"/>
  <c r="T261" i="3"/>
  <c r="V261" i="3" s="1"/>
  <c r="G261" i="3"/>
  <c r="C262" i="3" s="1"/>
  <c r="J261" i="3"/>
  <c r="D262" i="3" s="1"/>
  <c r="X261" i="3" l="1"/>
  <c r="R262" i="3"/>
  <c r="F262" i="3"/>
  <c r="H262" i="3"/>
  <c r="E262" i="3"/>
  <c r="G262" i="3" s="1"/>
  <c r="T262" i="3" l="1"/>
  <c r="S262" i="3"/>
  <c r="U262" i="3" s="1"/>
  <c r="V262" i="3"/>
  <c r="J262" i="3"/>
  <c r="I262" i="3" s="1"/>
  <c r="C263" i="3" s="1"/>
  <c r="X262" i="3" l="1"/>
  <c r="R263" i="3" s="1"/>
  <c r="W262" i="3"/>
  <c r="Q263" i="3" s="1"/>
  <c r="D263" i="3"/>
  <c r="E263" i="3"/>
  <c r="G263" i="3" s="1"/>
  <c r="C264" i="3" s="1"/>
  <c r="F263" i="3"/>
  <c r="H263" i="3" s="1"/>
  <c r="S263" i="3" l="1"/>
  <c r="U263" i="3" s="1"/>
  <c r="Q264" i="3" s="1"/>
  <c r="T263" i="3"/>
  <c r="V263" i="3" s="1"/>
  <c r="J263" i="3"/>
  <c r="D264" i="3" s="1"/>
  <c r="X263" i="3" l="1"/>
  <c r="R264" i="3" s="1"/>
  <c r="E264" i="3"/>
  <c r="F264" i="3"/>
  <c r="H264" i="3" s="1"/>
  <c r="T264" i="3" l="1"/>
  <c r="V264" i="3" s="1"/>
  <c r="S264" i="3"/>
  <c r="U264" i="3" s="1"/>
  <c r="Q265" i="3" s="1"/>
  <c r="G264" i="3"/>
  <c r="C265" i="3" s="1"/>
  <c r="J264" i="3"/>
  <c r="D265" i="3" s="1"/>
  <c r="X264" i="3" l="1"/>
  <c r="R265" i="3"/>
  <c r="F265" i="3"/>
  <c r="H265" i="3" s="1"/>
  <c r="E265" i="3"/>
  <c r="T265" i="3" l="1"/>
  <c r="V265" i="3" s="1"/>
  <c r="S265" i="3"/>
  <c r="U265" i="3" s="1"/>
  <c r="Q266" i="3" s="1"/>
  <c r="G265" i="3"/>
  <c r="C266" i="3" s="1"/>
  <c r="J265" i="3"/>
  <c r="D266" i="3" s="1"/>
  <c r="X265" i="3" l="1"/>
  <c r="R266" i="3" s="1"/>
  <c r="E266" i="3"/>
  <c r="F266" i="3"/>
  <c r="H266" i="3" s="1"/>
  <c r="S266" i="3" l="1"/>
  <c r="U266" i="3" s="1"/>
  <c r="Q267" i="3" s="1"/>
  <c r="T266" i="3"/>
  <c r="V266" i="3" s="1"/>
  <c r="G266" i="3"/>
  <c r="C267" i="3" s="1"/>
  <c r="J266" i="3"/>
  <c r="D267" i="3" s="1"/>
  <c r="X266" i="3" l="1"/>
  <c r="R267" i="3" s="1"/>
  <c r="E267" i="3"/>
  <c r="F267" i="3"/>
  <c r="H267" i="3" s="1"/>
  <c r="T267" i="3" l="1"/>
  <c r="S267" i="3"/>
  <c r="U267" i="3" s="1"/>
  <c r="Q268" i="3" s="1"/>
  <c r="V267" i="3"/>
  <c r="G267" i="3"/>
  <c r="C268" i="3" s="1"/>
  <c r="J267" i="3"/>
  <c r="D268" i="3" s="1"/>
  <c r="X267" i="3" l="1"/>
  <c r="R268" i="3" s="1"/>
  <c r="F268" i="3"/>
  <c r="H268" i="3"/>
  <c r="E268" i="3"/>
  <c r="T268" i="3" l="1"/>
  <c r="S268" i="3"/>
  <c r="U268" i="3" s="1"/>
  <c r="Q269" i="3" s="1"/>
  <c r="V268" i="3"/>
  <c r="G268" i="3"/>
  <c r="C269" i="3" s="1"/>
  <c r="J268" i="3"/>
  <c r="D269" i="3" s="1"/>
  <c r="R269" i="3" l="1"/>
  <c r="X268" i="3"/>
  <c r="F269" i="3"/>
  <c r="H269" i="3"/>
  <c r="E269" i="3"/>
  <c r="G269" i="3" s="1"/>
  <c r="S269" i="3" l="1"/>
  <c r="U269" i="3" s="1"/>
  <c r="T269" i="3"/>
  <c r="V269" i="3" s="1"/>
  <c r="J269" i="3"/>
  <c r="D270" i="3" s="1"/>
  <c r="I269" i="3"/>
  <c r="C270" i="3" s="1"/>
  <c r="X269" i="3" l="1"/>
  <c r="R270" i="3" s="1"/>
  <c r="W269" i="3"/>
  <c r="Q270" i="3" s="1"/>
  <c r="E270" i="3"/>
  <c r="F270" i="3"/>
  <c r="H270" i="3" s="1"/>
  <c r="S270" i="3" l="1"/>
  <c r="U270" i="3" s="1"/>
  <c r="Q271" i="3" s="1"/>
  <c r="T270" i="3"/>
  <c r="V270" i="3" s="1"/>
  <c r="G270" i="3"/>
  <c r="C271" i="3" s="1"/>
  <c r="J270" i="3"/>
  <c r="D271" i="3" s="1"/>
  <c r="X270" i="3" l="1"/>
  <c r="R271" i="3"/>
  <c r="E271" i="3"/>
  <c r="F271" i="3"/>
  <c r="H271" i="3" s="1"/>
  <c r="T271" i="3" l="1"/>
  <c r="V271" i="3"/>
  <c r="S271" i="3"/>
  <c r="U271" i="3" s="1"/>
  <c r="Q272" i="3" s="1"/>
  <c r="G271" i="3"/>
  <c r="C272" i="3" s="1"/>
  <c r="J271" i="3"/>
  <c r="D272" i="3" s="1"/>
  <c r="X271" i="3" l="1"/>
  <c r="R272" i="3"/>
  <c r="F272" i="3"/>
  <c r="H272" i="3" s="1"/>
  <c r="E272" i="3"/>
  <c r="T272" i="3" l="1"/>
  <c r="V272" i="3" s="1"/>
  <c r="S272" i="3"/>
  <c r="U272" i="3" s="1"/>
  <c r="Q273" i="3" s="1"/>
  <c r="G272" i="3"/>
  <c r="C273" i="3" s="1"/>
  <c r="J272" i="3"/>
  <c r="D273" i="3" s="1"/>
  <c r="X272" i="3" l="1"/>
  <c r="R273" i="3"/>
  <c r="F273" i="3"/>
  <c r="H273" i="3" s="1"/>
  <c r="E273" i="3"/>
  <c r="T273" i="3" l="1"/>
  <c r="V273" i="3" s="1"/>
  <c r="S273" i="3"/>
  <c r="U273" i="3" s="1"/>
  <c r="Q274" i="3" s="1"/>
  <c r="G273" i="3"/>
  <c r="C274" i="3" s="1"/>
  <c r="J273" i="3"/>
  <c r="D274" i="3" s="1"/>
  <c r="X273" i="3" l="1"/>
  <c r="R274" i="3"/>
  <c r="F274" i="3"/>
  <c r="H274" i="3"/>
  <c r="E274" i="3"/>
  <c r="T274" i="3" l="1"/>
  <c r="V274" i="3"/>
  <c r="S274" i="3"/>
  <c r="U274" i="3" s="1"/>
  <c r="Q275" i="3" s="1"/>
  <c r="G274" i="3"/>
  <c r="C275" i="3" s="1"/>
  <c r="J274" i="3"/>
  <c r="D275" i="3" s="1"/>
  <c r="X274" i="3" l="1"/>
  <c r="R275" i="3" s="1"/>
  <c r="E275" i="3"/>
  <c r="F275" i="3"/>
  <c r="H275" i="3" s="1"/>
  <c r="T275" i="3" l="1"/>
  <c r="S275" i="3"/>
  <c r="U275" i="3" s="1"/>
  <c r="Q276" i="3" s="1"/>
  <c r="V275" i="3"/>
  <c r="G275" i="3"/>
  <c r="C276" i="3" s="1"/>
  <c r="J275" i="3"/>
  <c r="D276" i="3" s="1"/>
  <c r="X275" i="3" l="1"/>
  <c r="R276" i="3"/>
  <c r="E276" i="3"/>
  <c r="G276" i="3" s="1"/>
  <c r="F276" i="3"/>
  <c r="H276" i="3" s="1"/>
  <c r="T276" i="3" l="1"/>
  <c r="V276" i="3" s="1"/>
  <c r="S276" i="3"/>
  <c r="U276" i="3" s="1"/>
  <c r="J276" i="3"/>
  <c r="D277" i="3" s="1"/>
  <c r="I276" i="3"/>
  <c r="C277" i="3" s="1"/>
  <c r="X276" i="3" l="1"/>
  <c r="R277" i="3"/>
  <c r="W276" i="3"/>
  <c r="Q277" i="3"/>
  <c r="F277" i="3"/>
  <c r="E277" i="3"/>
  <c r="H277" i="3"/>
  <c r="S277" i="3" l="1"/>
  <c r="U277" i="3" s="1"/>
  <c r="Q278" i="3" s="1"/>
  <c r="T277" i="3"/>
  <c r="V277" i="3" s="1"/>
  <c r="G277" i="3"/>
  <c r="C278" i="3" s="1"/>
  <c r="J277" i="3"/>
  <c r="D278" i="3" s="1"/>
  <c r="X277" i="3" l="1"/>
  <c r="R278" i="3"/>
  <c r="F278" i="3"/>
  <c r="E278" i="3"/>
  <c r="H278" i="3"/>
  <c r="T278" i="3" l="1"/>
  <c r="S278" i="3"/>
  <c r="U278" i="3" s="1"/>
  <c r="Q279" i="3" s="1"/>
  <c r="V278" i="3"/>
  <c r="G278" i="3"/>
  <c r="C279" i="3" s="1"/>
  <c r="J278" i="3"/>
  <c r="D279" i="3" s="1"/>
  <c r="X278" i="3" l="1"/>
  <c r="R279" i="3" s="1"/>
  <c r="E279" i="3"/>
  <c r="F279" i="3"/>
  <c r="H279" i="3" s="1"/>
  <c r="T279" i="3" l="1"/>
  <c r="V279" i="3" s="1"/>
  <c r="S279" i="3"/>
  <c r="U279" i="3" s="1"/>
  <c r="Q280" i="3" s="1"/>
  <c r="G279" i="3"/>
  <c r="C280" i="3" s="1"/>
  <c r="J279" i="3"/>
  <c r="D280" i="3" s="1"/>
  <c r="X279" i="3" l="1"/>
  <c r="R280" i="3"/>
  <c r="F280" i="3"/>
  <c r="E280" i="3"/>
  <c r="H280" i="3"/>
  <c r="S280" i="3" l="1"/>
  <c r="U280" i="3" s="1"/>
  <c r="Q281" i="3" s="1"/>
  <c r="T280" i="3"/>
  <c r="V280" i="3" s="1"/>
  <c r="G280" i="3"/>
  <c r="C281" i="3" s="1"/>
  <c r="J280" i="3"/>
  <c r="D281" i="3" s="1"/>
  <c r="X280" i="3" l="1"/>
  <c r="R281" i="3"/>
  <c r="E281" i="3"/>
  <c r="F281" i="3"/>
  <c r="H281" i="3" s="1"/>
  <c r="T281" i="3" l="1"/>
  <c r="S281" i="3"/>
  <c r="U281" i="3" s="1"/>
  <c r="Q282" i="3" s="1"/>
  <c r="V281" i="3"/>
  <c r="G281" i="3"/>
  <c r="C282" i="3" s="1"/>
  <c r="J281" i="3"/>
  <c r="D282" i="3" s="1"/>
  <c r="X281" i="3" l="1"/>
  <c r="R282" i="3"/>
  <c r="E282" i="3"/>
  <c r="F282" i="3"/>
  <c r="H282" i="3" s="1"/>
  <c r="T282" i="3" l="1"/>
  <c r="S282" i="3"/>
  <c r="U282" i="3" s="1"/>
  <c r="Q283" i="3" s="1"/>
  <c r="V282" i="3"/>
  <c r="G282" i="3"/>
  <c r="C283" i="3" s="1"/>
  <c r="J282" i="3"/>
  <c r="D283" i="3" s="1"/>
  <c r="X282" i="3" l="1"/>
  <c r="R283" i="3" s="1"/>
  <c r="E283" i="3"/>
  <c r="G283" i="3" s="1"/>
  <c r="F283" i="3"/>
  <c r="H283" i="3" s="1"/>
  <c r="S283" i="3" l="1"/>
  <c r="U283" i="3" s="1"/>
  <c r="T283" i="3"/>
  <c r="V283" i="3" s="1"/>
  <c r="J283" i="3"/>
  <c r="D284" i="3" s="1"/>
  <c r="I283" i="3"/>
  <c r="C284" i="3" s="1"/>
  <c r="X283" i="3" l="1"/>
  <c r="R284" i="3" s="1"/>
  <c r="W283" i="3"/>
  <c r="Q284" i="3" s="1"/>
  <c r="F284" i="3"/>
  <c r="H284" i="3" s="1"/>
  <c r="E284" i="3"/>
  <c r="T284" i="3" l="1"/>
  <c r="S284" i="3"/>
  <c r="U284" i="3" s="1"/>
  <c r="Q285" i="3" s="1"/>
  <c r="V284" i="3"/>
  <c r="G284" i="3"/>
  <c r="C285" i="3" s="1"/>
  <c r="J284" i="3"/>
  <c r="D285" i="3" s="1"/>
  <c r="X284" i="3" l="1"/>
  <c r="R285" i="3" s="1"/>
  <c r="F285" i="3"/>
  <c r="H285" i="3"/>
  <c r="E285" i="3"/>
  <c r="T285" i="3" l="1"/>
  <c r="V285" i="3" s="1"/>
  <c r="S285" i="3"/>
  <c r="U285" i="3" s="1"/>
  <c r="Q286" i="3" s="1"/>
  <c r="G285" i="3"/>
  <c r="C286" i="3" s="1"/>
  <c r="J285" i="3"/>
  <c r="D286" i="3" s="1"/>
  <c r="X285" i="3" l="1"/>
  <c r="R286" i="3" s="1"/>
  <c r="F286" i="3"/>
  <c r="H286" i="3" s="1"/>
  <c r="E286" i="3"/>
  <c r="T286" i="3" l="1"/>
  <c r="V286" i="3"/>
  <c r="S286" i="3"/>
  <c r="U286" i="3" s="1"/>
  <c r="Q287" i="3" s="1"/>
  <c r="G286" i="3"/>
  <c r="C287" i="3" s="1"/>
  <c r="J286" i="3"/>
  <c r="D287" i="3" s="1"/>
  <c r="X286" i="3" l="1"/>
  <c r="R287" i="3" s="1"/>
  <c r="F287" i="3"/>
  <c r="H287" i="3" s="1"/>
  <c r="E287" i="3"/>
  <c r="S287" i="3" l="1"/>
  <c r="U287" i="3" s="1"/>
  <c r="Q288" i="3" s="1"/>
  <c r="T287" i="3"/>
  <c r="V287" i="3" s="1"/>
  <c r="G287" i="3"/>
  <c r="C288" i="3" s="1"/>
  <c r="J287" i="3"/>
  <c r="D288" i="3" s="1"/>
  <c r="X287" i="3" l="1"/>
  <c r="R288" i="3"/>
  <c r="E288" i="3"/>
  <c r="F288" i="3"/>
  <c r="H288" i="3" s="1"/>
  <c r="T288" i="3" l="1"/>
  <c r="V288" i="3"/>
  <c r="S288" i="3"/>
  <c r="U288" i="3" s="1"/>
  <c r="Q289" i="3" s="1"/>
  <c r="G288" i="3"/>
  <c r="C289" i="3" s="1"/>
  <c r="J288" i="3"/>
  <c r="D289" i="3" s="1"/>
  <c r="X288" i="3" l="1"/>
  <c r="R289" i="3" s="1"/>
  <c r="F289" i="3"/>
  <c r="E289" i="3"/>
  <c r="H289" i="3"/>
  <c r="T289" i="3" l="1"/>
  <c r="V289" i="3"/>
  <c r="S289" i="3"/>
  <c r="U289" i="3" s="1"/>
  <c r="Q290" i="3" s="1"/>
  <c r="G289" i="3"/>
  <c r="C290" i="3" s="1"/>
  <c r="J289" i="3"/>
  <c r="D290" i="3" s="1"/>
  <c r="X289" i="3" l="1"/>
  <c r="R290" i="3" s="1"/>
  <c r="E290" i="3"/>
  <c r="G290" i="3" s="1"/>
  <c r="F290" i="3"/>
  <c r="H290" i="3" s="1"/>
  <c r="T290" i="3" l="1"/>
  <c r="V290" i="3" s="1"/>
  <c r="S290" i="3"/>
  <c r="U290" i="3" s="1"/>
  <c r="J290" i="3"/>
  <c r="D291" i="3" s="1"/>
  <c r="I290" i="3"/>
  <c r="C291" i="3" s="1"/>
  <c r="X290" i="3" l="1"/>
  <c r="R291" i="3" s="1"/>
  <c r="W290" i="3"/>
  <c r="Q291" i="3" s="1"/>
  <c r="F291" i="3"/>
  <c r="H291" i="3"/>
  <c r="E291" i="3"/>
  <c r="T291" i="3" l="1"/>
  <c r="S291" i="3"/>
  <c r="U291" i="3" s="1"/>
  <c r="Q292" i="3" s="1"/>
  <c r="V291" i="3"/>
  <c r="G291" i="3"/>
  <c r="C292" i="3" s="1"/>
  <c r="J291" i="3"/>
  <c r="D292" i="3" s="1"/>
  <c r="X291" i="3" l="1"/>
  <c r="R292" i="3" s="1"/>
  <c r="E292" i="3"/>
  <c r="F292" i="3"/>
  <c r="H292" i="3" s="1"/>
  <c r="S292" i="3" l="1"/>
  <c r="U292" i="3" s="1"/>
  <c r="Q293" i="3" s="1"/>
  <c r="T292" i="3"/>
  <c r="V292" i="3" s="1"/>
  <c r="G292" i="3"/>
  <c r="C293" i="3" s="1"/>
  <c r="J292" i="3"/>
  <c r="D293" i="3" s="1"/>
  <c r="X292" i="3" l="1"/>
  <c r="R293" i="3"/>
  <c r="E293" i="3"/>
  <c r="F293" i="3"/>
  <c r="H293" i="3" s="1"/>
  <c r="T293" i="3" l="1"/>
  <c r="V293" i="3" s="1"/>
  <c r="S293" i="3"/>
  <c r="U293" i="3" s="1"/>
  <c r="Q294" i="3" s="1"/>
  <c r="G293" i="3"/>
  <c r="C294" i="3" s="1"/>
  <c r="J293" i="3"/>
  <c r="D294" i="3" s="1"/>
  <c r="X293" i="3" l="1"/>
  <c r="R294" i="3"/>
  <c r="F294" i="3"/>
  <c r="H294" i="3" s="1"/>
  <c r="E294" i="3"/>
  <c r="S294" i="3" l="1"/>
  <c r="U294" i="3" s="1"/>
  <c r="Q295" i="3" s="1"/>
  <c r="T294" i="3"/>
  <c r="V294" i="3" s="1"/>
  <c r="G294" i="3"/>
  <c r="C295" i="3" s="1"/>
  <c r="J294" i="3"/>
  <c r="D295" i="3" s="1"/>
  <c r="X294" i="3" l="1"/>
  <c r="R295" i="3" s="1"/>
  <c r="F295" i="3"/>
  <c r="H295" i="3" s="1"/>
  <c r="E295" i="3"/>
  <c r="T295" i="3" l="1"/>
  <c r="S295" i="3"/>
  <c r="U295" i="3" s="1"/>
  <c r="Q296" i="3" s="1"/>
  <c r="V295" i="3"/>
  <c r="G295" i="3"/>
  <c r="C296" i="3" s="1"/>
  <c r="J295" i="3"/>
  <c r="D296" i="3" s="1"/>
  <c r="X295" i="3" l="1"/>
  <c r="R296" i="3"/>
  <c r="F296" i="3"/>
  <c r="H296" i="3" s="1"/>
  <c r="E296" i="3"/>
  <c r="T296" i="3" l="1"/>
  <c r="V296" i="3"/>
  <c r="S296" i="3"/>
  <c r="U296" i="3" s="1"/>
  <c r="Q297" i="3" s="1"/>
  <c r="G296" i="3"/>
  <c r="C297" i="3" s="1"/>
  <c r="J296" i="3"/>
  <c r="D297" i="3" s="1"/>
  <c r="X296" i="3" l="1"/>
  <c r="R297" i="3" s="1"/>
  <c r="E297" i="3"/>
  <c r="G297" i="3" s="1"/>
  <c r="F297" i="3"/>
  <c r="H297" i="3" s="1"/>
  <c r="S297" i="3" l="1"/>
  <c r="U297" i="3" s="1"/>
  <c r="T297" i="3"/>
  <c r="V297" i="3" s="1"/>
  <c r="J297" i="3"/>
  <c r="D298" i="3" s="1"/>
  <c r="I297" i="3"/>
  <c r="C298" i="3" s="1"/>
  <c r="X297" i="3" l="1"/>
  <c r="R298" i="3"/>
  <c r="W297" i="3"/>
  <c r="Q298" i="3" s="1"/>
  <c r="E298" i="3"/>
  <c r="F298" i="3"/>
  <c r="H298" i="3" s="1"/>
  <c r="T298" i="3" l="1"/>
  <c r="S298" i="3"/>
  <c r="U298" i="3" s="1"/>
  <c r="Q299" i="3" s="1"/>
  <c r="V298" i="3"/>
  <c r="G298" i="3"/>
  <c r="C299" i="3" s="1"/>
  <c r="J298" i="3"/>
  <c r="D299" i="3" s="1"/>
  <c r="X298" i="3" l="1"/>
  <c r="R299" i="3" s="1"/>
  <c r="F299" i="3"/>
  <c r="H299" i="3"/>
  <c r="E299" i="3"/>
  <c r="S299" i="3" l="1"/>
  <c r="U299" i="3" s="1"/>
  <c r="Q300" i="3" s="1"/>
  <c r="T299" i="3"/>
  <c r="V299" i="3" s="1"/>
  <c r="G299" i="3"/>
  <c r="C300" i="3" s="1"/>
  <c r="J299" i="3"/>
  <c r="D300" i="3" s="1"/>
  <c r="X299" i="3" l="1"/>
  <c r="R300" i="3" s="1"/>
  <c r="E300" i="3"/>
  <c r="F300" i="3"/>
  <c r="H300" i="3" s="1"/>
  <c r="S300" i="3" l="1"/>
  <c r="U300" i="3" s="1"/>
  <c r="Q301" i="3" s="1"/>
  <c r="T300" i="3"/>
  <c r="V300" i="3" s="1"/>
  <c r="G300" i="3"/>
  <c r="C301" i="3" s="1"/>
  <c r="J300" i="3"/>
  <c r="D301" i="3" s="1"/>
  <c r="X300" i="3" l="1"/>
  <c r="R301" i="3" s="1"/>
  <c r="F301" i="3"/>
  <c r="H301" i="3"/>
  <c r="E301" i="3"/>
  <c r="S301" i="3" l="1"/>
  <c r="U301" i="3" s="1"/>
  <c r="Q302" i="3" s="1"/>
  <c r="T301" i="3"/>
  <c r="V301" i="3" s="1"/>
  <c r="G301" i="3"/>
  <c r="C302" i="3" s="1"/>
  <c r="J301" i="3"/>
  <c r="D302" i="3" s="1"/>
  <c r="X301" i="3" l="1"/>
  <c r="R302" i="3" s="1"/>
  <c r="E302" i="3"/>
  <c r="F302" i="3"/>
  <c r="H302" i="3" s="1"/>
  <c r="T302" i="3" l="1"/>
  <c r="V302" i="3" s="1"/>
  <c r="S302" i="3"/>
  <c r="U302" i="3" s="1"/>
  <c r="Q303" i="3" s="1"/>
  <c r="G302" i="3"/>
  <c r="C303" i="3" s="1"/>
  <c r="J302" i="3"/>
  <c r="D303" i="3" s="1"/>
  <c r="X302" i="3" l="1"/>
  <c r="R303" i="3"/>
  <c r="F303" i="3"/>
  <c r="H303" i="3" s="1"/>
  <c r="E303" i="3"/>
  <c r="T303" i="3" l="1"/>
  <c r="V303" i="3" s="1"/>
  <c r="S303" i="3"/>
  <c r="U303" i="3" s="1"/>
  <c r="Q304" i="3" s="1"/>
  <c r="G303" i="3"/>
  <c r="C304" i="3" s="1"/>
  <c r="J303" i="3"/>
  <c r="D304" i="3" s="1"/>
  <c r="X303" i="3" l="1"/>
  <c r="R304" i="3" s="1"/>
  <c r="F304" i="3"/>
  <c r="H304" i="3" s="1"/>
  <c r="E304" i="3"/>
  <c r="G304" i="3" s="1"/>
  <c r="T304" i="3" l="1"/>
  <c r="V304" i="3" s="1"/>
  <c r="S304" i="3"/>
  <c r="U304" i="3" s="1"/>
  <c r="J304" i="3"/>
  <c r="D305" i="3" s="1"/>
  <c r="I304" i="3"/>
  <c r="C305" i="3" s="1"/>
  <c r="X304" i="3" l="1"/>
  <c r="R305" i="3" s="1"/>
  <c r="W304" i="3"/>
  <c r="Q305" i="3" s="1"/>
  <c r="F305" i="3"/>
  <c r="E305" i="3"/>
  <c r="H305" i="3"/>
  <c r="S305" i="3" l="1"/>
  <c r="U305" i="3" s="1"/>
  <c r="Q306" i="3" s="1"/>
  <c r="T305" i="3"/>
  <c r="V305" i="3" s="1"/>
  <c r="G305" i="3"/>
  <c r="C306" i="3" s="1"/>
  <c r="J305" i="3"/>
  <c r="D306" i="3" s="1"/>
  <c r="X305" i="3" l="1"/>
  <c r="R306" i="3" s="1"/>
  <c r="E306" i="3"/>
  <c r="F306" i="3"/>
  <c r="H306" i="3" s="1"/>
  <c r="T306" i="3" l="1"/>
  <c r="V306" i="3" s="1"/>
  <c r="S306" i="3"/>
  <c r="U306" i="3" s="1"/>
  <c r="Q307" i="3" s="1"/>
  <c r="G306" i="3"/>
  <c r="C307" i="3" s="1"/>
  <c r="J306" i="3"/>
  <c r="D307" i="3" s="1"/>
  <c r="X306" i="3" l="1"/>
  <c r="R307" i="3" s="1"/>
  <c r="E307" i="3"/>
  <c r="F307" i="3"/>
  <c r="H307" i="3" s="1"/>
  <c r="T307" i="3" l="1"/>
  <c r="V307" i="3"/>
  <c r="S307" i="3"/>
  <c r="U307" i="3" s="1"/>
  <c r="Q308" i="3" s="1"/>
  <c r="G307" i="3"/>
  <c r="C308" i="3" s="1"/>
  <c r="J307" i="3"/>
  <c r="D308" i="3" s="1"/>
  <c r="X307" i="3" l="1"/>
  <c r="R308" i="3" s="1"/>
  <c r="F308" i="3"/>
  <c r="H308" i="3" s="1"/>
  <c r="E308" i="3"/>
  <c r="T308" i="3" l="1"/>
  <c r="S308" i="3"/>
  <c r="U308" i="3" s="1"/>
  <c r="Q309" i="3" s="1"/>
  <c r="V308" i="3"/>
  <c r="G308" i="3"/>
  <c r="C309" i="3" s="1"/>
  <c r="J308" i="3"/>
  <c r="D309" i="3" s="1"/>
  <c r="X308" i="3" l="1"/>
  <c r="R309" i="3" s="1"/>
  <c r="F309" i="3"/>
  <c r="H309" i="3"/>
  <c r="E309" i="3"/>
  <c r="T309" i="3" l="1"/>
  <c r="V309" i="3"/>
  <c r="S309" i="3"/>
  <c r="U309" i="3" s="1"/>
  <c r="Q310" i="3" s="1"/>
  <c r="G309" i="3"/>
  <c r="C310" i="3" s="1"/>
  <c r="J309" i="3"/>
  <c r="D310" i="3" s="1"/>
  <c r="X309" i="3" l="1"/>
  <c r="R310" i="3"/>
  <c r="F310" i="3"/>
  <c r="H310" i="3" s="1"/>
  <c r="E310" i="3"/>
  <c r="T310" i="3" l="1"/>
  <c r="V310" i="3" s="1"/>
  <c r="S310" i="3"/>
  <c r="U310" i="3" s="1"/>
  <c r="Q311" i="3" s="1"/>
  <c r="G310" i="3"/>
  <c r="C311" i="3" s="1"/>
  <c r="J310" i="3"/>
  <c r="D311" i="3" s="1"/>
  <c r="X310" i="3" l="1"/>
  <c r="R311" i="3"/>
  <c r="E311" i="3"/>
  <c r="G311" i="3" s="1"/>
  <c r="F311" i="3"/>
  <c r="H311" i="3" s="1"/>
  <c r="T311" i="3" l="1"/>
  <c r="V311" i="3"/>
  <c r="S311" i="3"/>
  <c r="U311" i="3" s="1"/>
  <c r="J311" i="3"/>
  <c r="D312" i="3" s="1"/>
  <c r="I311" i="3"/>
  <c r="C312" i="3" s="1"/>
  <c r="X311" i="3" l="1"/>
  <c r="R312" i="3" s="1"/>
  <c r="W311" i="3"/>
  <c r="Q312" i="3" s="1"/>
  <c r="E312" i="3"/>
  <c r="F312" i="3"/>
  <c r="H312" i="3" s="1"/>
  <c r="T312" i="3" l="1"/>
  <c r="S312" i="3"/>
  <c r="U312" i="3" s="1"/>
  <c r="Q313" i="3" s="1"/>
  <c r="V312" i="3"/>
  <c r="G312" i="3"/>
  <c r="C313" i="3" s="1"/>
  <c r="J312" i="3"/>
  <c r="D313" i="3" s="1"/>
  <c r="X312" i="3" l="1"/>
  <c r="R313" i="3"/>
  <c r="F313" i="3"/>
  <c r="H313" i="3"/>
  <c r="E313" i="3"/>
  <c r="S313" i="3" l="1"/>
  <c r="U313" i="3" s="1"/>
  <c r="Q314" i="3" s="1"/>
  <c r="T313" i="3"/>
  <c r="V313" i="3" s="1"/>
  <c r="G313" i="3"/>
  <c r="C314" i="3" s="1"/>
  <c r="J313" i="3"/>
  <c r="D314" i="3" s="1"/>
  <c r="X313" i="3" l="1"/>
  <c r="R314" i="3"/>
  <c r="F314" i="3"/>
  <c r="H314" i="3"/>
  <c r="E314" i="3"/>
  <c r="T314" i="3" l="1"/>
  <c r="V314" i="3" s="1"/>
  <c r="S314" i="3"/>
  <c r="U314" i="3" s="1"/>
  <c r="Q315" i="3" s="1"/>
  <c r="G314" i="3"/>
  <c r="C315" i="3" s="1"/>
  <c r="J314" i="3"/>
  <c r="D315" i="3" s="1"/>
  <c r="X314" i="3" l="1"/>
  <c r="R315" i="3"/>
  <c r="F315" i="3"/>
  <c r="H315" i="3" s="1"/>
  <c r="E315" i="3"/>
  <c r="S315" i="3" l="1"/>
  <c r="U315" i="3" s="1"/>
  <c r="Q316" i="3" s="1"/>
  <c r="T315" i="3"/>
  <c r="V315" i="3" s="1"/>
  <c r="G315" i="3"/>
  <c r="C316" i="3" s="1"/>
  <c r="J315" i="3"/>
  <c r="D316" i="3" s="1"/>
  <c r="X315" i="3" l="1"/>
  <c r="R316" i="3"/>
  <c r="F316" i="3"/>
  <c r="E316" i="3"/>
  <c r="H316" i="3"/>
  <c r="S316" i="3" l="1"/>
  <c r="U316" i="3" s="1"/>
  <c r="Q317" i="3" s="1"/>
  <c r="T316" i="3"/>
  <c r="V316" i="3" s="1"/>
  <c r="G316" i="3"/>
  <c r="C317" i="3" s="1"/>
  <c r="J316" i="3"/>
  <c r="D317" i="3" s="1"/>
  <c r="X316" i="3" l="1"/>
  <c r="R317" i="3" s="1"/>
  <c r="E317" i="3"/>
  <c r="F317" i="3"/>
  <c r="H317" i="3" s="1"/>
  <c r="S317" i="3" l="1"/>
  <c r="U317" i="3" s="1"/>
  <c r="Q318" i="3" s="1"/>
  <c r="T317" i="3"/>
  <c r="V317" i="3" s="1"/>
  <c r="G317" i="3"/>
  <c r="C318" i="3" s="1"/>
  <c r="J317" i="3"/>
  <c r="D318" i="3" s="1"/>
  <c r="X317" i="3" l="1"/>
  <c r="R318" i="3" s="1"/>
  <c r="E318" i="3"/>
  <c r="G318" i="3" s="1"/>
  <c r="F318" i="3"/>
  <c r="H318" i="3" s="1"/>
  <c r="S318" i="3" l="1"/>
  <c r="U318" i="3" s="1"/>
  <c r="T318" i="3"/>
  <c r="V318" i="3"/>
  <c r="J318" i="3"/>
  <c r="D319" i="3" s="1"/>
  <c r="I318" i="3"/>
  <c r="C319" i="3" s="1"/>
  <c r="X318" i="3" l="1"/>
  <c r="R319" i="3" s="1"/>
  <c r="W318" i="3"/>
  <c r="Q319" i="3" s="1"/>
  <c r="F319" i="3"/>
  <c r="H319" i="3" s="1"/>
  <c r="E319" i="3"/>
  <c r="T319" i="3" l="1"/>
  <c r="V319" i="3" s="1"/>
  <c r="S319" i="3"/>
  <c r="U319" i="3" s="1"/>
  <c r="Q320" i="3" s="1"/>
  <c r="G319" i="3"/>
  <c r="C320" i="3" s="1"/>
  <c r="J319" i="3"/>
  <c r="D320" i="3" s="1"/>
  <c r="X319" i="3" l="1"/>
  <c r="R320" i="3"/>
  <c r="F320" i="3"/>
  <c r="E320" i="3"/>
  <c r="H320" i="3"/>
  <c r="S320" i="3" l="1"/>
  <c r="U320" i="3" s="1"/>
  <c r="Q321" i="3" s="1"/>
  <c r="T320" i="3"/>
  <c r="V320" i="3" s="1"/>
  <c r="G320" i="3"/>
  <c r="C321" i="3" s="1"/>
  <c r="J320" i="3"/>
  <c r="D321" i="3" s="1"/>
  <c r="X320" i="3" l="1"/>
  <c r="R321" i="3" s="1"/>
  <c r="F321" i="3"/>
  <c r="H321" i="3"/>
  <c r="E321" i="3"/>
  <c r="T321" i="3" l="1"/>
  <c r="V321" i="3" s="1"/>
  <c r="S321" i="3"/>
  <c r="U321" i="3" s="1"/>
  <c r="Q322" i="3" s="1"/>
  <c r="G321" i="3"/>
  <c r="C322" i="3" s="1"/>
  <c r="J321" i="3"/>
  <c r="D322" i="3" s="1"/>
  <c r="X321" i="3" l="1"/>
  <c r="R322" i="3" s="1"/>
  <c r="E322" i="3"/>
  <c r="F322" i="3"/>
  <c r="H322" i="3" s="1"/>
  <c r="S322" i="3" l="1"/>
  <c r="U322" i="3" s="1"/>
  <c r="Q323" i="3" s="1"/>
  <c r="T322" i="3"/>
  <c r="V322" i="3" s="1"/>
  <c r="G322" i="3"/>
  <c r="C323" i="3" s="1"/>
  <c r="J322" i="3"/>
  <c r="D323" i="3" s="1"/>
  <c r="X322" i="3" l="1"/>
  <c r="R323" i="3" s="1"/>
  <c r="F323" i="3"/>
  <c r="H323" i="3"/>
  <c r="E323" i="3"/>
  <c r="T323" i="3" l="1"/>
  <c r="S323" i="3"/>
  <c r="U323" i="3" s="1"/>
  <c r="Q324" i="3" s="1"/>
  <c r="V323" i="3"/>
  <c r="G323" i="3"/>
  <c r="C324" i="3" s="1"/>
  <c r="J323" i="3"/>
  <c r="D324" i="3" s="1"/>
  <c r="X323" i="3" l="1"/>
  <c r="R324" i="3"/>
  <c r="E324" i="3"/>
  <c r="F324" i="3"/>
  <c r="H324" i="3" s="1"/>
  <c r="T324" i="3" l="1"/>
  <c r="V324" i="3" s="1"/>
  <c r="S324" i="3"/>
  <c r="U324" i="3" s="1"/>
  <c r="Q325" i="3" s="1"/>
  <c r="G324" i="3"/>
  <c r="C325" i="3" s="1"/>
  <c r="J324" i="3"/>
  <c r="D325" i="3" s="1"/>
  <c r="X324" i="3" l="1"/>
  <c r="R325" i="3"/>
  <c r="E325" i="3"/>
  <c r="G325" i="3" s="1"/>
  <c r="F325" i="3"/>
  <c r="H325" i="3"/>
  <c r="T325" i="3" l="1"/>
  <c r="V325" i="3" s="1"/>
  <c r="S325" i="3"/>
  <c r="U325" i="3" s="1"/>
  <c r="J325" i="3"/>
  <c r="D326" i="3" s="1"/>
  <c r="I325" i="3"/>
  <c r="C326" i="3"/>
  <c r="X325" i="3" l="1"/>
  <c r="R326" i="3" s="1"/>
  <c r="W325" i="3"/>
  <c r="Q326" i="3" s="1"/>
  <c r="F326" i="3"/>
  <c r="H326" i="3" s="1"/>
  <c r="E326" i="3"/>
  <c r="T326" i="3" l="1"/>
  <c r="V326" i="3" s="1"/>
  <c r="S326" i="3"/>
  <c r="U326" i="3" s="1"/>
  <c r="Q327" i="3" s="1"/>
  <c r="G326" i="3"/>
  <c r="C327" i="3" s="1"/>
  <c r="J326" i="3"/>
  <c r="D327" i="3" s="1"/>
  <c r="X326" i="3" l="1"/>
  <c r="R327" i="3" s="1"/>
  <c r="F327" i="3"/>
  <c r="H327" i="3" s="1"/>
  <c r="E327" i="3"/>
  <c r="T327" i="3" l="1"/>
  <c r="V327" i="3"/>
  <c r="S327" i="3"/>
  <c r="U327" i="3" s="1"/>
  <c r="Q328" i="3" s="1"/>
  <c r="G327" i="3"/>
  <c r="C328" i="3" s="1"/>
  <c r="J327" i="3"/>
  <c r="D328" i="3" s="1"/>
  <c r="X327" i="3" l="1"/>
  <c r="R328" i="3"/>
  <c r="F328" i="3"/>
  <c r="H328" i="3" s="1"/>
  <c r="E328" i="3"/>
  <c r="T328" i="3" l="1"/>
  <c r="V328" i="3"/>
  <c r="S328" i="3"/>
  <c r="U328" i="3" s="1"/>
  <c r="Q329" i="3" s="1"/>
  <c r="G328" i="3"/>
  <c r="C329" i="3" s="1"/>
  <c r="J328" i="3"/>
  <c r="D329" i="3" s="1"/>
  <c r="X328" i="3" l="1"/>
  <c r="R329" i="3" s="1"/>
  <c r="F329" i="3"/>
  <c r="H329" i="3"/>
  <c r="E329" i="3"/>
  <c r="T329" i="3" l="1"/>
  <c r="S329" i="3"/>
  <c r="U329" i="3" s="1"/>
  <c r="Q330" i="3" s="1"/>
  <c r="V329" i="3"/>
  <c r="G329" i="3"/>
  <c r="C330" i="3" s="1"/>
  <c r="J329" i="3"/>
  <c r="D330" i="3" s="1"/>
  <c r="X329" i="3" l="1"/>
  <c r="R330" i="3" s="1"/>
  <c r="F330" i="3"/>
  <c r="E330" i="3"/>
  <c r="H330" i="3"/>
  <c r="S330" i="3" l="1"/>
  <c r="U330" i="3" s="1"/>
  <c r="Q331" i="3" s="1"/>
  <c r="T330" i="3"/>
  <c r="V330" i="3" s="1"/>
  <c r="G330" i="3"/>
  <c r="C331" i="3" s="1"/>
  <c r="J330" i="3"/>
  <c r="D331" i="3" s="1"/>
  <c r="X330" i="3" l="1"/>
  <c r="R331" i="3"/>
  <c r="E331" i="3"/>
  <c r="F331" i="3"/>
  <c r="H331" i="3" s="1"/>
  <c r="T331" i="3" l="1"/>
  <c r="V331" i="3"/>
  <c r="S331" i="3"/>
  <c r="U331" i="3" s="1"/>
  <c r="Q332" i="3" s="1"/>
  <c r="G331" i="3"/>
  <c r="C332" i="3" s="1"/>
  <c r="J331" i="3"/>
  <c r="D332" i="3" s="1"/>
  <c r="X331" i="3" l="1"/>
  <c r="R332" i="3"/>
  <c r="E332" i="3"/>
  <c r="G332" i="3" s="1"/>
  <c r="F332" i="3"/>
  <c r="H332" i="3" s="1"/>
  <c r="T332" i="3" l="1"/>
  <c r="V332" i="3" s="1"/>
  <c r="S332" i="3"/>
  <c r="U332" i="3" s="1"/>
  <c r="J332" i="3"/>
  <c r="D333" i="3" s="1"/>
  <c r="I332" i="3"/>
  <c r="C333" i="3" s="1"/>
  <c r="X332" i="3" l="1"/>
  <c r="R333" i="3"/>
  <c r="W332" i="3"/>
  <c r="Q333" i="3" s="1"/>
  <c r="F333" i="3"/>
  <c r="E333" i="3"/>
  <c r="H333" i="3"/>
  <c r="S333" i="3" l="1"/>
  <c r="U333" i="3" s="1"/>
  <c r="Q334" i="3" s="1"/>
  <c r="T333" i="3"/>
  <c r="V333" i="3" s="1"/>
  <c r="G333" i="3"/>
  <c r="C334" i="3" s="1"/>
  <c r="J333" i="3"/>
  <c r="D334" i="3" s="1"/>
  <c r="X333" i="3" l="1"/>
  <c r="R334" i="3"/>
  <c r="F334" i="3"/>
  <c r="H334" i="3"/>
  <c r="E334" i="3"/>
  <c r="T334" i="3" l="1"/>
  <c r="S334" i="3"/>
  <c r="U334" i="3" s="1"/>
  <c r="Q335" i="3" s="1"/>
  <c r="V334" i="3"/>
  <c r="G334" i="3"/>
  <c r="C335" i="3" s="1"/>
  <c r="J334" i="3"/>
  <c r="D335" i="3" s="1"/>
  <c r="X334" i="3" l="1"/>
  <c r="R335" i="3"/>
  <c r="F335" i="3"/>
  <c r="H335" i="3"/>
  <c r="E335" i="3"/>
  <c r="S335" i="3" l="1"/>
  <c r="U335" i="3" s="1"/>
  <c r="Q336" i="3" s="1"/>
  <c r="T335" i="3"/>
  <c r="V335" i="3" s="1"/>
  <c r="G335" i="3"/>
  <c r="C336" i="3" s="1"/>
  <c r="J335" i="3"/>
  <c r="D336" i="3" s="1"/>
  <c r="X335" i="3" l="1"/>
  <c r="R336" i="3"/>
  <c r="F336" i="3"/>
  <c r="H336" i="3"/>
  <c r="E336" i="3"/>
  <c r="S336" i="3" l="1"/>
  <c r="U336" i="3" s="1"/>
  <c r="Q337" i="3" s="1"/>
  <c r="T336" i="3"/>
  <c r="V336" i="3" s="1"/>
  <c r="G336" i="3"/>
  <c r="C337" i="3" s="1"/>
  <c r="J336" i="3"/>
  <c r="D337" i="3" s="1"/>
  <c r="X336" i="3" l="1"/>
  <c r="R337" i="3"/>
  <c r="E337" i="3"/>
  <c r="F337" i="3"/>
  <c r="H337" i="3" s="1"/>
  <c r="S337" i="3" l="1"/>
  <c r="U337" i="3" s="1"/>
  <c r="Q338" i="3" s="1"/>
  <c r="T337" i="3"/>
  <c r="V337" i="3" s="1"/>
  <c r="G337" i="3"/>
  <c r="C338" i="3" s="1"/>
  <c r="J337" i="3"/>
  <c r="D338" i="3" s="1"/>
  <c r="X337" i="3" l="1"/>
  <c r="R338" i="3"/>
  <c r="F338" i="3"/>
  <c r="H338" i="3" s="1"/>
  <c r="E338" i="3"/>
  <c r="T338" i="3" l="1"/>
  <c r="V338" i="3" s="1"/>
  <c r="S338" i="3"/>
  <c r="U338" i="3" s="1"/>
  <c r="Q339" i="3" s="1"/>
  <c r="G338" i="3"/>
  <c r="C339" i="3" s="1"/>
  <c r="J338" i="3"/>
  <c r="D339" i="3" s="1"/>
  <c r="X338" i="3" l="1"/>
  <c r="R339" i="3" s="1"/>
  <c r="F339" i="3"/>
  <c r="E339" i="3"/>
  <c r="G339" i="3" s="1"/>
  <c r="H339" i="3"/>
  <c r="S339" i="3" l="1"/>
  <c r="U339" i="3" s="1"/>
  <c r="T339" i="3"/>
  <c r="V339" i="3" s="1"/>
  <c r="J339" i="3"/>
  <c r="I339" i="3" s="1"/>
  <c r="C340" i="3" s="1"/>
  <c r="X339" i="3" l="1"/>
  <c r="R340" i="3" s="1"/>
  <c r="W339" i="3"/>
  <c r="Q340" i="3" s="1"/>
  <c r="D340" i="3"/>
  <c r="E340" i="3"/>
  <c r="G340" i="3" s="1"/>
  <c r="C341" i="3" s="1"/>
  <c r="F340" i="3"/>
  <c r="H340" i="3" s="1"/>
  <c r="S340" i="3" l="1"/>
  <c r="U340" i="3" s="1"/>
  <c r="Q341" i="3" s="1"/>
  <c r="T340" i="3"/>
  <c r="V340" i="3" s="1"/>
  <c r="J340" i="3"/>
  <c r="D341" i="3" s="1"/>
  <c r="X340" i="3" l="1"/>
  <c r="R341" i="3"/>
  <c r="F341" i="3"/>
  <c r="E341" i="3"/>
  <c r="H341" i="3"/>
  <c r="S341" i="3" l="1"/>
  <c r="U341" i="3" s="1"/>
  <c r="Q342" i="3" s="1"/>
  <c r="T341" i="3"/>
  <c r="V341" i="3" s="1"/>
  <c r="G341" i="3"/>
  <c r="C342" i="3" s="1"/>
  <c r="J341" i="3"/>
  <c r="D342" i="3" s="1"/>
  <c r="X341" i="3" l="1"/>
  <c r="R342" i="3"/>
  <c r="F342" i="3"/>
  <c r="E342" i="3"/>
  <c r="H342" i="3"/>
  <c r="T342" i="3" l="1"/>
  <c r="V342" i="3" s="1"/>
  <c r="S342" i="3"/>
  <c r="U342" i="3" s="1"/>
  <c r="Q343" i="3" s="1"/>
  <c r="G342" i="3"/>
  <c r="C343" i="3" s="1"/>
  <c r="J342" i="3"/>
  <c r="D343" i="3" s="1"/>
  <c r="X342" i="3" l="1"/>
  <c r="R343" i="3" s="1"/>
  <c r="E343" i="3"/>
  <c r="F343" i="3"/>
  <c r="H343" i="3" s="1"/>
  <c r="T343" i="3" l="1"/>
  <c r="V343" i="3" s="1"/>
  <c r="S343" i="3"/>
  <c r="U343" i="3" s="1"/>
  <c r="Q344" i="3" s="1"/>
  <c r="G343" i="3"/>
  <c r="C344" i="3" s="1"/>
  <c r="J343" i="3"/>
  <c r="D344" i="3" s="1"/>
  <c r="X343" i="3" l="1"/>
  <c r="R344" i="3" s="1"/>
  <c r="E344" i="3"/>
  <c r="F344" i="3"/>
  <c r="H344" i="3" s="1"/>
  <c r="T344" i="3" l="1"/>
  <c r="V344" i="3" s="1"/>
  <c r="S344" i="3"/>
  <c r="U344" i="3" s="1"/>
  <c r="Q345" i="3" s="1"/>
  <c r="G344" i="3"/>
  <c r="C345" i="3" s="1"/>
  <c r="J344" i="3"/>
  <c r="D345" i="3" s="1"/>
  <c r="X344" i="3" l="1"/>
  <c r="R345" i="3" s="1"/>
  <c r="E345" i="3"/>
  <c r="F345" i="3"/>
  <c r="H345" i="3" s="1"/>
  <c r="T345" i="3" l="1"/>
  <c r="S345" i="3"/>
  <c r="U345" i="3" s="1"/>
  <c r="Q346" i="3" s="1"/>
  <c r="V345" i="3"/>
  <c r="G345" i="3"/>
  <c r="C346" i="3" s="1"/>
  <c r="J345" i="3"/>
  <c r="D346" i="3" s="1"/>
  <c r="X345" i="3" l="1"/>
  <c r="R346" i="3" s="1"/>
  <c r="F346" i="3"/>
  <c r="H346" i="3" s="1"/>
  <c r="E346" i="3"/>
  <c r="G346" i="3" s="1"/>
  <c r="T346" i="3" l="1"/>
  <c r="V346" i="3" s="1"/>
  <c r="S346" i="3"/>
  <c r="U346" i="3" s="1"/>
  <c r="J346" i="3"/>
  <c r="D347" i="3" s="1"/>
  <c r="I346" i="3"/>
  <c r="C347" i="3" s="1"/>
  <c r="X346" i="3" l="1"/>
  <c r="R347" i="3"/>
  <c r="W346" i="3"/>
  <c r="Q347" i="3"/>
  <c r="F347" i="3"/>
  <c r="H347" i="3"/>
  <c r="E347" i="3"/>
  <c r="T347" i="3" l="1"/>
  <c r="S347" i="3"/>
  <c r="U347" i="3" s="1"/>
  <c r="Q348" i="3" s="1"/>
  <c r="V347" i="3"/>
  <c r="G347" i="3"/>
  <c r="C348" i="3" s="1"/>
  <c r="J347" i="3"/>
  <c r="D348" i="3" s="1"/>
  <c r="X347" i="3" l="1"/>
  <c r="R348" i="3" s="1"/>
  <c r="E348" i="3"/>
  <c r="F348" i="3"/>
  <c r="H348" i="3" s="1"/>
  <c r="T348" i="3" l="1"/>
  <c r="V348" i="3" s="1"/>
  <c r="S348" i="3"/>
  <c r="U348" i="3" s="1"/>
  <c r="Q349" i="3" s="1"/>
  <c r="G348" i="3"/>
  <c r="C349" i="3" s="1"/>
  <c r="J348" i="3"/>
  <c r="D349" i="3" s="1"/>
  <c r="X348" i="3" l="1"/>
  <c r="R349" i="3" s="1"/>
  <c r="E349" i="3"/>
  <c r="F349" i="3"/>
  <c r="H349" i="3" s="1"/>
  <c r="S349" i="3" l="1"/>
  <c r="U349" i="3" s="1"/>
  <c r="Q350" i="3" s="1"/>
  <c r="T349" i="3"/>
  <c r="V349" i="3" s="1"/>
  <c r="G349" i="3"/>
  <c r="C350" i="3" s="1"/>
  <c r="J349" i="3"/>
  <c r="D350" i="3" s="1"/>
  <c r="X349" i="3" l="1"/>
  <c r="R350" i="3"/>
  <c r="F350" i="3"/>
  <c r="H350" i="3"/>
  <c r="E350" i="3"/>
  <c r="T350" i="3" l="1"/>
  <c r="V350" i="3" s="1"/>
  <c r="S350" i="3"/>
  <c r="U350" i="3" s="1"/>
  <c r="Q351" i="3" s="1"/>
  <c r="G350" i="3"/>
  <c r="C351" i="3" s="1"/>
  <c r="J350" i="3"/>
  <c r="D351" i="3" s="1"/>
  <c r="X350" i="3" l="1"/>
  <c r="R351" i="3" s="1"/>
  <c r="F351" i="3"/>
  <c r="H351" i="3" s="1"/>
  <c r="E351" i="3"/>
  <c r="T351" i="3" l="1"/>
  <c r="S351" i="3"/>
  <c r="U351" i="3" s="1"/>
  <c r="Q352" i="3" s="1"/>
  <c r="V351" i="3"/>
  <c r="G351" i="3"/>
  <c r="C352" i="3" s="1"/>
  <c r="J351" i="3"/>
  <c r="D352" i="3" s="1"/>
  <c r="X351" i="3" l="1"/>
  <c r="R352" i="3" s="1"/>
  <c r="E352" i="3"/>
  <c r="F352" i="3"/>
  <c r="H352" i="3" s="1"/>
  <c r="S352" i="3" l="1"/>
  <c r="U352" i="3" s="1"/>
  <c r="Q353" i="3" s="1"/>
  <c r="T352" i="3"/>
  <c r="V352" i="3" s="1"/>
  <c r="G352" i="3"/>
  <c r="C353" i="3" s="1"/>
  <c r="J352" i="3"/>
  <c r="D353" i="3" s="1"/>
  <c r="X352" i="3" l="1"/>
  <c r="R353" i="3"/>
  <c r="F353" i="3"/>
  <c r="H353" i="3"/>
  <c r="E353" i="3"/>
  <c r="G353" i="3" s="1"/>
  <c r="S353" i="3" l="1"/>
  <c r="U353" i="3" s="1"/>
  <c r="T353" i="3"/>
  <c r="V353" i="3" s="1"/>
  <c r="J353" i="3"/>
  <c r="D354" i="3" s="1"/>
  <c r="I353" i="3"/>
  <c r="C354" i="3" s="1"/>
  <c r="X353" i="3" l="1"/>
  <c r="R354" i="3"/>
  <c r="W353" i="3"/>
  <c r="Q354" i="3"/>
  <c r="E354" i="3"/>
  <c r="F354" i="3"/>
  <c r="H354" i="3" s="1"/>
  <c r="T354" i="3" l="1"/>
  <c r="V354" i="3" s="1"/>
  <c r="S354" i="3"/>
  <c r="U354" i="3" s="1"/>
  <c r="Q355" i="3" s="1"/>
  <c r="G354" i="3"/>
  <c r="C355" i="3" s="1"/>
  <c r="J354" i="3"/>
  <c r="D355" i="3" s="1"/>
  <c r="X354" i="3" l="1"/>
  <c r="R355" i="3"/>
  <c r="F355" i="3"/>
  <c r="H355" i="3"/>
  <c r="E355" i="3"/>
  <c r="T355" i="3" l="1"/>
  <c r="V355" i="3" s="1"/>
  <c r="S355" i="3"/>
  <c r="U355" i="3" s="1"/>
  <c r="Q356" i="3" s="1"/>
  <c r="G355" i="3"/>
  <c r="C356" i="3" s="1"/>
  <c r="J355" i="3"/>
  <c r="D356" i="3" s="1"/>
  <c r="X355" i="3" l="1"/>
  <c r="R356" i="3"/>
  <c r="E356" i="3"/>
  <c r="F356" i="3"/>
  <c r="H356" i="3" s="1"/>
  <c r="T356" i="3" l="1"/>
  <c r="S356" i="3"/>
  <c r="U356" i="3" s="1"/>
  <c r="Q357" i="3" s="1"/>
  <c r="V356" i="3"/>
  <c r="G356" i="3"/>
  <c r="C357" i="3" s="1"/>
  <c r="J356" i="3"/>
  <c r="D357" i="3" s="1"/>
  <c r="X356" i="3" l="1"/>
  <c r="R357" i="3" s="1"/>
  <c r="E357" i="3"/>
  <c r="F357" i="3"/>
  <c r="H357" i="3" s="1"/>
  <c r="S357" i="3" l="1"/>
  <c r="U357" i="3" s="1"/>
  <c r="Q358" i="3" s="1"/>
  <c r="T357" i="3"/>
  <c r="V357" i="3" s="1"/>
  <c r="G357" i="3"/>
  <c r="C358" i="3" s="1"/>
  <c r="J357" i="3"/>
  <c r="D358" i="3" s="1"/>
  <c r="X357" i="3" l="1"/>
  <c r="R358" i="3" s="1"/>
  <c r="F358" i="3"/>
  <c r="E358" i="3"/>
  <c r="H358" i="3"/>
  <c r="T358" i="3" l="1"/>
  <c r="V358" i="3" s="1"/>
  <c r="S358" i="3"/>
  <c r="U358" i="3" s="1"/>
  <c r="Q359" i="3" s="1"/>
  <c r="G358" i="3"/>
  <c r="C359" i="3" s="1"/>
  <c r="J358" i="3"/>
  <c r="D359" i="3" s="1"/>
  <c r="X358" i="3" l="1"/>
  <c r="R359" i="3"/>
  <c r="F359" i="3"/>
  <c r="H359" i="3"/>
  <c r="E359" i="3"/>
  <c r="S359" i="3" l="1"/>
  <c r="U359" i="3" s="1"/>
  <c r="Q360" i="3" s="1"/>
  <c r="T359" i="3"/>
  <c r="V359" i="3" s="1"/>
  <c r="G359" i="3"/>
  <c r="C360" i="3" s="1"/>
  <c r="J359" i="3"/>
  <c r="D360" i="3" s="1"/>
  <c r="X359" i="3" l="1"/>
  <c r="R360" i="3" s="1"/>
  <c r="F360" i="3"/>
  <c r="H360" i="3"/>
  <c r="E360" i="3"/>
  <c r="G360" i="3" s="1"/>
  <c r="S360" i="3" l="1"/>
  <c r="U360" i="3" s="1"/>
  <c r="T360" i="3"/>
  <c r="V360" i="3" s="1"/>
  <c r="J360" i="3"/>
  <c r="D361" i="3" s="1"/>
  <c r="I360" i="3"/>
  <c r="C361" i="3" s="1"/>
  <c r="X360" i="3" l="1"/>
  <c r="R361" i="3" s="1"/>
  <c r="W360" i="3"/>
  <c r="Q361" i="3" s="1"/>
  <c r="F361" i="3"/>
  <c r="E361" i="3"/>
  <c r="H361" i="3"/>
  <c r="S361" i="3" l="1"/>
  <c r="U361" i="3" s="1"/>
  <c r="Q362" i="3" s="1"/>
  <c r="T361" i="3"/>
  <c r="V361" i="3" s="1"/>
  <c r="G361" i="3"/>
  <c r="C362" i="3" s="1"/>
  <c r="J361" i="3"/>
  <c r="D362" i="3" s="1"/>
  <c r="X361" i="3" l="1"/>
  <c r="R362" i="3" s="1"/>
  <c r="F362" i="3"/>
  <c r="H362" i="3"/>
  <c r="E362" i="3"/>
  <c r="T362" i="3" l="1"/>
  <c r="V362" i="3" s="1"/>
  <c r="S362" i="3"/>
  <c r="U362" i="3" s="1"/>
  <c r="Q363" i="3" s="1"/>
  <c r="G362" i="3"/>
  <c r="C363" i="3" s="1"/>
  <c r="J362" i="3"/>
  <c r="D363" i="3" s="1"/>
  <c r="X362" i="3" l="1"/>
  <c r="R363" i="3" s="1"/>
  <c r="F363" i="3"/>
  <c r="H363" i="3"/>
  <c r="E363" i="3"/>
  <c r="T363" i="3" l="1"/>
  <c r="V363" i="3" s="1"/>
  <c r="S363" i="3"/>
  <c r="U363" i="3" s="1"/>
  <c r="Q364" i="3" s="1"/>
  <c r="G363" i="3"/>
  <c r="C364" i="3" s="1"/>
  <c r="J363" i="3"/>
  <c r="D364" i="3" s="1"/>
  <c r="X363" i="3" l="1"/>
  <c r="R364" i="3" s="1"/>
  <c r="F364" i="3"/>
  <c r="E364" i="3"/>
  <c r="H364" i="3"/>
  <c r="S364" i="3" l="1"/>
  <c r="U364" i="3" s="1"/>
  <c r="Q365" i="3" s="1"/>
  <c r="T364" i="3"/>
  <c r="V364" i="3" s="1"/>
  <c r="G364" i="3"/>
  <c r="C365" i="3" s="1"/>
  <c r="J364" i="3"/>
  <c r="D365" i="3" s="1"/>
  <c r="X364" i="3" l="1"/>
  <c r="R365" i="3" s="1"/>
  <c r="F365" i="3"/>
  <c r="H365" i="3" s="1"/>
  <c r="E365" i="3"/>
  <c r="T365" i="3" l="1"/>
  <c r="S365" i="3"/>
  <c r="U365" i="3" s="1"/>
  <c r="Q366" i="3" s="1"/>
  <c r="V365" i="3"/>
  <c r="G365" i="3"/>
  <c r="C366" i="3" s="1"/>
  <c r="J365" i="3"/>
  <c r="D366" i="3" s="1"/>
  <c r="X365" i="3" l="1"/>
  <c r="R366" i="3" s="1"/>
  <c r="E366" i="3"/>
  <c r="G366" i="3" s="1"/>
  <c r="F366" i="3"/>
  <c r="H366" i="3" s="1"/>
  <c r="J366" i="3" s="1"/>
  <c r="M3" i="3" s="1"/>
  <c r="T366" i="3" l="1"/>
  <c r="V366" i="3" s="1"/>
  <c r="X366" i="3" s="1"/>
  <c r="S366" i="3"/>
  <c r="U366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9B9D46-BCF9-4EDB-A38D-6C7207A4A652}" keepAlive="1" name="Zapytanie — lpg" description="Połączenie z zapytaniem „lpg” w skoroszycie." type="5" refreshedVersion="8" background="1" saveData="1">
    <dbPr connection="Provider=Microsoft.Mashup.OleDb.1;Data Source=$Workbook$;Location=lpg;Extended Properties=&quot;&quot;" command="SELECT * FROM [lpg]"/>
  </connection>
  <connection id="2" xr16:uid="{461EF52B-3CA1-45A0-9FF9-38ABF89496EB}" keepAlive="1" name="Zapytanie — lpg (2)" description="Połączenie z zapytaniem „lpg (2)” w skoroszycie." type="5" refreshedVersion="8" background="1" saveData="1">
    <dbPr connection="Provider=Microsoft.Mashup.OleDb.1;Data Source=$Workbook$;Location=&quot;lpg (2)&quot;;Extended Properties=&quot;&quot;" command="SELECT * FROM [lpg (2)]"/>
  </connection>
</connections>
</file>

<file path=xl/sharedStrings.xml><?xml version="1.0" encoding="utf-8"?>
<sst xmlns="http://schemas.openxmlformats.org/spreadsheetml/2006/main" count="22" uniqueCount="11">
  <si>
    <t>data</t>
  </si>
  <si>
    <t>km</t>
  </si>
  <si>
    <t>zbiornik PB95</t>
  </si>
  <si>
    <t>zbiornik LPG</t>
  </si>
  <si>
    <t>zuzycie PB95</t>
  </si>
  <si>
    <t>zyzucie lpg</t>
  </si>
  <si>
    <t>tankowanie pb95</t>
  </si>
  <si>
    <t>tankowanie lpg</t>
  </si>
  <si>
    <t>dzien</t>
  </si>
  <si>
    <t>pb po trasie</t>
  </si>
  <si>
    <t>lpg po trasie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</si>
</sst>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ny" xfId="0" builtinId="0"/>
  </cellStyles>
  <dxfs count="1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FA4BBE-6588-418E-888F-F991294F9569}" autoFormatId="16" applyNumberFormats="0" applyBorderFormats="0" applyFontFormats="0" applyPatternFormats="0" applyAlignmentFormats="0" applyWidthHeightFormats="0">
  <queryTableRefresh nextId="12" unboundColumnsRight="9">
    <queryTableFields count="11">
      <queryTableField id="1" name="data" tableColumnId="1"/>
      <queryTableField id="2" name="km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  <queryTableField id="8" dataBound="0" tableColumnId="8"/>
      <queryTableField id="9" dataBound="0" tableColumnId="9"/>
      <queryTableField id="10" dataBound="0" tableColumnId="10"/>
      <queryTableField id="11" dataBound="0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89FAA51E-6952-4430-825C-606A60F9563A}" autoFormatId="16" applyNumberFormats="0" applyBorderFormats="0" applyFontFormats="0" applyPatternFormats="0" applyAlignmentFormats="0" applyWidthHeightFormats="0">
  <queryTableRefresh nextId="12" unboundColumnsRight="9">
    <queryTableFields count="11">
      <queryTableField id="1" name="data" tableColumnId="1"/>
      <queryTableField id="2" name="km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  <queryTableField id="8" dataBound="0" tableColumnId="8"/>
      <queryTableField id="9" dataBound="0" tableColumnId="9"/>
      <queryTableField id="10" dataBound="0" tableColumnId="10"/>
      <queryTableField id="11" dataBound="0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2F5A69-5A5C-4BCF-9E13-A2A4EA597E68}" name="lpg" displayName="lpg" ref="A1:K366" tableType="queryTable" totalsRowShown="0">
  <autoFilter ref="A1:K366" xr:uid="{732F5A69-5A5C-4BCF-9E13-A2A4EA597E68}">
    <filterColumn colId="3">
      <customFilters>
        <customFilter operator="greaterThan" val="0"/>
      </customFilters>
    </filterColumn>
  </autoFilter>
  <tableColumns count="11">
    <tableColumn id="1" xr3:uid="{2048AB7A-CB83-46A1-BF26-DCE32F686978}" uniqueName="1" name="data" queryTableFieldId="1" dataDxfId="15"/>
    <tableColumn id="2" xr3:uid="{AC64F441-6FC5-4E6F-9417-BBB45A0FD93E}" uniqueName="2" name="km" queryTableFieldId="2"/>
    <tableColumn id="3" xr3:uid="{20DA9DB7-C5DF-4EEF-A202-3CCF7A251344}" uniqueName="3" name="zbiornik PB95" queryTableFieldId="3"/>
    <tableColumn id="4" xr3:uid="{70471508-A4F0-4EA9-8A4D-40B4BFF29AE7}" uniqueName="4" name="zbiornik LPG" queryTableFieldId="4"/>
    <tableColumn id="5" xr3:uid="{426EA176-277E-41E7-8608-72321FB8BC9C}" uniqueName="5" name="zuzycie PB95" queryTableFieldId="5" dataDxfId="13">
      <calculatedColumnFormula>ROUND(IF(lpg[[#This Row],[zbiornik LPG]]&gt;15,0,(lpg[[#This Row],[km]]/2)*6/100),2)</calculatedColumnFormula>
    </tableColumn>
    <tableColumn id="6" xr3:uid="{5162925D-4B57-4149-A391-33226BC9CC85}" uniqueName="6" name="zyzucie lpg" queryTableFieldId="6" dataDxfId="14">
      <calculatedColumnFormula>ROUND(IF(lpg[[#This Row],[zbiornik LPG]]&gt;15,lpg[[#This Row],[km]]*9/100,(lpg[[#This Row],[km]]/2)*9/100),2)</calculatedColumnFormula>
    </tableColumn>
    <tableColumn id="7" xr3:uid="{FCBB8C93-1A95-47DE-998E-B729D0ECABBC}" uniqueName="7" name="pb po trasie" queryTableFieldId="7" dataDxfId="8">
      <calculatedColumnFormula>lpg[[#This Row],[zbiornik PB95]]-lpg[[#This Row],[zuzycie PB95]]</calculatedColumnFormula>
    </tableColumn>
    <tableColumn id="8" xr3:uid="{E2563B40-15E8-4320-96F7-B30DAFA8919E}" uniqueName="8" name="lpg po trasie" queryTableFieldId="8" dataDxfId="11">
      <calculatedColumnFormula>lpg[[#This Row],[zbiornik LPG]]-lpg[[#This Row],[zyzucie lpg]]</calculatedColumnFormula>
    </tableColumn>
    <tableColumn id="9" xr3:uid="{56BAD5C5-6CFC-45FF-A622-903B931A5301}" uniqueName="9" name="tankowanie pb95" queryTableFieldId="9" dataDxfId="10">
      <calculatedColumnFormula>IF(lpg[[#This Row],[dzien]]=4,IF(lpg[[#This Row],[pb po trasie]]&lt;40,45-lpg[[#This Row],[pb po trasie]],0),0)</calculatedColumnFormula>
    </tableColumn>
    <tableColumn id="10" xr3:uid="{F67B9DD1-1204-4FEF-8DFC-74C202FE80BF}" uniqueName="10" name="tankowanie lpg" queryTableFieldId="10" dataDxfId="9">
      <calculatedColumnFormula>IF(lpg[[#This Row],[lpg po trasie]]&lt;5,30-lpg[[#This Row],[lpg po trasie]],0)</calculatedColumnFormula>
    </tableColumn>
    <tableColumn id="11" xr3:uid="{F82771D8-BC5A-4E04-88C0-CF8DD003794F}" uniqueName="11" name="dzien" queryTableFieldId="11" dataDxfId="12">
      <calculatedColumnFormula>WEEKDAY(lpg[[#This Row],[data]],2)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6B10F7-8795-414B-9593-B128785FA829}" name="lpg_3" displayName="lpg_3" ref="O1:Y366" tableType="queryTable" totalsRowShown="0">
  <autoFilter ref="O1:Y366" xr:uid="{976B10F7-8795-414B-9593-B128785FA829}"/>
  <tableColumns count="11">
    <tableColumn id="1" xr3:uid="{73607C2A-C564-4DE6-8708-A5F5F497A566}" uniqueName="1" name="data" queryTableFieldId="1" dataDxfId="7"/>
    <tableColumn id="2" xr3:uid="{1E2637D8-9703-42AB-82F0-67397D3D39F4}" uniqueName="2" name="km" queryTableFieldId="2"/>
    <tableColumn id="3" xr3:uid="{E78DFEBC-F390-47E8-BC51-9602E7BFAB6D}" uniqueName="3" name="zbiornik PB95" queryTableFieldId="3"/>
    <tableColumn id="4" xr3:uid="{583D0ABE-88DD-405C-9B93-5DDD17725050}" uniqueName="4" name="zbiornik LPG" queryTableFieldId="4"/>
    <tableColumn id="5" xr3:uid="{35E2E38E-2868-4C44-97C8-3538479D00CD}" uniqueName="5" name="zuzycie PB95" queryTableFieldId="5" dataDxfId="6">
      <calculatedColumnFormula>ROUND(IF(lpg_3[[#This Row],[zbiornik LPG]]&gt;15,0,(lpg_3[[#This Row],[km]]/2)*6/100),2)</calculatedColumnFormula>
    </tableColumn>
    <tableColumn id="6" xr3:uid="{52668E20-FE2B-4D5C-BE5E-34674B42AFE8}" uniqueName="6" name="zyzucie lpg" queryTableFieldId="6" dataDxfId="5">
      <calculatedColumnFormula>ROUND(IF(lpg_3[[#This Row],[zbiornik LPG]]&gt;15,lpg_3[[#This Row],[km]]*9/100,(lpg_3[[#This Row],[km]]/2)*9/100),2)</calculatedColumnFormula>
    </tableColumn>
    <tableColumn id="7" xr3:uid="{773C8D04-C75D-4339-9410-C84D9CBA1F07}" uniqueName="7" name="pb po trasie" queryTableFieldId="7" dataDxfId="4">
      <calculatedColumnFormula>lpg_3[[#This Row],[zbiornik PB95]]-lpg_3[[#This Row],[zuzycie PB95]]</calculatedColumnFormula>
    </tableColumn>
    <tableColumn id="8" xr3:uid="{29A68860-0209-41FC-BDFF-752333E47867}" uniqueName="8" name="lpg po trasie" queryTableFieldId="8" dataDxfId="3">
      <calculatedColumnFormula>lpg_3[[#This Row],[zbiornik LPG]]-lpg_3[[#This Row],[zyzucie lpg]]</calculatedColumnFormula>
    </tableColumn>
    <tableColumn id="9" xr3:uid="{3337EC68-8314-4A74-8EA2-E165F2ED1FCB}" uniqueName="9" name="tankowanie pb95" queryTableFieldId="9" dataDxfId="2">
      <calculatedColumnFormula>IF(lpg_3[[#This Row],[dzien]]=4,IF(lpg_3[[#This Row],[pb po trasie]]&lt;40,45-lpg_3[[#This Row],[pb po trasie]],0),0)</calculatedColumnFormula>
    </tableColumn>
    <tableColumn id="10" xr3:uid="{E7E512A9-12C6-499C-AB53-F4079B5BF617}" uniqueName="10" name="tankowanie lpg" queryTableFieldId="10" dataDxfId="1">
      <calculatedColumnFormula>IF(lpg_3[[#This Row],[lpg po trasie]]&lt;5,30-lpg_3[[#This Row],[lpg po trasie]],0)</calculatedColumnFormula>
    </tableColumn>
    <tableColumn id="11" xr3:uid="{14C55371-4FCF-4AB0-A64C-07CB161D928C}" uniqueName="11" name="dzien" queryTableFieldId="11" dataDxfId="0">
      <calculatedColumnFormula>WEEKDAY(lpg_3[[#This Row],[data]],2)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E6C6D-F8CB-4BC8-AC71-B835C5E89C75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2DDE-C76B-41D4-9F24-DD9FAC90DA9E}">
  <dimension ref="A1:Y366"/>
  <sheetViews>
    <sheetView tabSelected="1" topLeftCell="A6" zoomScale="85" zoomScaleNormal="85" workbookViewId="0">
      <selection activeCell="S6" sqref="S6"/>
    </sheetView>
  </sheetViews>
  <sheetFormatPr defaultRowHeight="15" x14ac:dyDescent="0.25"/>
  <cols>
    <col min="1" max="1" width="10.7109375" bestFit="1" customWidth="1"/>
    <col min="2" max="2" width="6" bestFit="1" customWidth="1"/>
    <col min="3" max="3" width="15.7109375" customWidth="1"/>
    <col min="4" max="4" width="16" customWidth="1"/>
    <col min="5" max="5" width="14.140625" customWidth="1"/>
    <col min="6" max="6" width="11.5703125" customWidth="1"/>
    <col min="7" max="7" width="18" customWidth="1"/>
    <col min="8" max="8" width="17.28515625" customWidth="1"/>
    <col min="9" max="9" width="17.7109375" customWidth="1"/>
    <col min="10" max="10" width="13.7109375" customWidth="1"/>
    <col min="11" max="11" width="12.42578125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9</v>
      </c>
      <c r="H1" t="s">
        <v>10</v>
      </c>
      <c r="I1" t="s">
        <v>6</v>
      </c>
      <c r="J1" t="s">
        <v>7</v>
      </c>
      <c r="K1" t="s">
        <v>8</v>
      </c>
      <c r="O1" t="s">
        <v>0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9</v>
      </c>
      <c r="V1" t="s">
        <v>10</v>
      </c>
      <c r="W1" t="s">
        <v>6</v>
      </c>
      <c r="X1" t="s">
        <v>7</v>
      </c>
      <c r="Y1" t="s">
        <v>8</v>
      </c>
    </row>
    <row r="2" spans="1:25" x14ac:dyDescent="0.25">
      <c r="A2" s="1">
        <v>41640</v>
      </c>
      <c r="B2">
        <v>159</v>
      </c>
      <c r="C2">
        <v>45</v>
      </c>
      <c r="D2">
        <v>30</v>
      </c>
      <c r="E2">
        <f>ROUND(IF(lpg[[#This Row],[zbiornik LPG]]&gt;15,0,(lpg[[#This Row],[km]]/2)*6/100),2)</f>
        <v>0</v>
      </c>
      <c r="F2">
        <f>ROUND(IF(lpg[[#This Row],[zbiornik LPG]]&gt;15,lpg[[#This Row],[km]]*9/100,(lpg[[#This Row],[km]]/2)*9/100),2)</f>
        <v>14.31</v>
      </c>
      <c r="G2">
        <f>lpg[[#This Row],[zbiornik PB95]]-lpg[[#This Row],[zuzycie PB95]]</f>
        <v>45</v>
      </c>
      <c r="H2">
        <f>lpg[[#This Row],[zbiornik LPG]]-lpg[[#This Row],[zyzucie lpg]]</f>
        <v>15.69</v>
      </c>
      <c r="I2">
        <f>IF(lpg[[#This Row],[dzien]]=4,IF(lpg[[#This Row],[pb po trasie]]&lt;40,45-lpg[[#This Row],[pb po trasie]],0),0)</f>
        <v>0</v>
      </c>
      <c r="J2">
        <f>IF(lpg[[#This Row],[lpg po trasie]]&lt;5,30-lpg[[#This Row],[lpg po trasie]],0)</f>
        <v>0</v>
      </c>
      <c r="K2">
        <f>WEEKDAY(lpg[[#This Row],[data]],2)</f>
        <v>3</v>
      </c>
      <c r="O2" s="1">
        <v>41640</v>
      </c>
      <c r="P2">
        <v>159</v>
      </c>
      <c r="Q2">
        <v>45</v>
      </c>
      <c r="R2">
        <v>30</v>
      </c>
      <c r="S2">
        <f>ROUND(IF(lpg_3[[#This Row],[zbiornik LPG]]&gt;15,0,(lpg_3[[#This Row],[km]]/2)*6/100),2)</f>
        <v>0</v>
      </c>
      <c r="T2">
        <f>ROUND(IF(lpg_3[[#This Row],[zbiornik LPG]]&gt;15,lpg_3[[#This Row],[km]]*9/100,(lpg_3[[#This Row],[km]]/2)*9/100),2)</f>
        <v>14.31</v>
      </c>
      <c r="U2">
        <f>lpg_3[[#This Row],[zbiornik PB95]]-lpg_3[[#This Row],[zuzycie PB95]]</f>
        <v>45</v>
      </c>
      <c r="V2">
        <f>lpg_3[[#This Row],[zbiornik LPG]]-lpg_3[[#This Row],[zyzucie lpg]]</f>
        <v>15.69</v>
      </c>
      <c r="W2">
        <f>IF(lpg_3[[#This Row],[dzien]]=4,IF(lpg_3[[#This Row],[pb po trasie]]&lt;40,45-lpg_3[[#This Row],[pb po trasie]],0),0)</f>
        <v>0</v>
      </c>
      <c r="X2">
        <f>IF(lpg_3[[#This Row],[lpg po trasie]]&lt;5,30-lpg_3[[#This Row],[lpg po trasie]],0)</f>
        <v>0</v>
      </c>
      <c r="Y2">
        <f>WEEKDAY(lpg_3[[#This Row],[data]],2)</f>
        <v>3</v>
      </c>
    </row>
    <row r="3" spans="1:25" x14ac:dyDescent="0.25">
      <c r="A3" s="1">
        <v>41641</v>
      </c>
      <c r="B3">
        <v>82</v>
      </c>
      <c r="C3">
        <f>G2+I2</f>
        <v>45</v>
      </c>
      <c r="D3">
        <f>H2+J2</f>
        <v>15.69</v>
      </c>
      <c r="E3">
        <f>ROUND(IF(lpg[[#This Row],[zbiornik LPG]]&gt;15,0,(lpg[[#This Row],[km]]/2)*6/100),2)</f>
        <v>0</v>
      </c>
      <c r="F3">
        <f>ROUND(IF(lpg[[#This Row],[zbiornik LPG]]&gt;15,lpg[[#This Row],[km]]*9/100,(lpg[[#This Row],[km]]/2)*9/100),2)</f>
        <v>7.38</v>
      </c>
      <c r="G3">
        <f>lpg[[#This Row],[zbiornik PB95]]-lpg[[#This Row],[zuzycie PB95]]</f>
        <v>45</v>
      </c>
      <c r="H3">
        <f>lpg[[#This Row],[zbiornik LPG]]-lpg[[#This Row],[zyzucie lpg]]</f>
        <v>8.3099999999999987</v>
      </c>
      <c r="I3">
        <f>IF(lpg[[#This Row],[dzien]]=4,IF(lpg[[#This Row],[pb po trasie]]&lt;40,45-lpg[[#This Row],[pb po trasie]],0),0)</f>
        <v>0</v>
      </c>
      <c r="J3">
        <f>IF(lpg[[#This Row],[lpg po trasie]]&lt;5,30-lpg[[#This Row],[lpg po trasie]],0)</f>
        <v>0</v>
      </c>
      <c r="K3">
        <f>WEEKDAY(lpg[[#This Row],[data]],2)</f>
        <v>4</v>
      </c>
      <c r="M3">
        <f>COUNTIF(lpg[tankowanie lpg],"&gt;0")</f>
        <v>78</v>
      </c>
      <c r="O3" s="1">
        <v>41641</v>
      </c>
      <c r="P3">
        <v>82</v>
      </c>
      <c r="Q3">
        <f>U2+W2</f>
        <v>45</v>
      </c>
      <c r="R3">
        <f>V2+X2</f>
        <v>15.69</v>
      </c>
      <c r="S3">
        <f>ROUND(IF(lpg_3[[#This Row],[zbiornik LPG]]&gt;15,0,(lpg_3[[#This Row],[km]]/2)*6/100),2)</f>
        <v>0</v>
      </c>
      <c r="T3">
        <f>ROUND(IF(lpg_3[[#This Row],[zbiornik LPG]]&gt;15,lpg_3[[#This Row],[km]]*9/100,(lpg_3[[#This Row],[km]]/2)*9/100),2)</f>
        <v>7.38</v>
      </c>
      <c r="U3">
        <f>lpg_3[[#This Row],[zbiornik PB95]]-lpg_3[[#This Row],[zuzycie PB95]]</f>
        <v>45</v>
      </c>
      <c r="V3">
        <f>lpg_3[[#This Row],[zbiornik LPG]]-lpg_3[[#This Row],[zyzucie lpg]]</f>
        <v>8.3099999999999987</v>
      </c>
      <c r="W3">
        <f>IF(lpg_3[[#This Row],[dzien]]=4,IF(lpg_3[[#This Row],[pb po trasie]]&lt;40,45-lpg_3[[#This Row],[pb po trasie]],0),0)</f>
        <v>0</v>
      </c>
      <c r="X3">
        <f>IF(lpg_3[[#This Row],[lpg po trasie]]&lt;5,30-lpg_3[[#This Row],[lpg po trasie]],0)</f>
        <v>0</v>
      </c>
      <c r="Y3">
        <f>WEEKDAY(lpg_3[[#This Row],[data]],2)</f>
        <v>4</v>
      </c>
    </row>
    <row r="4" spans="1:25" x14ac:dyDescent="0.25">
      <c r="A4" s="1">
        <v>41642</v>
      </c>
      <c r="B4">
        <v>108</v>
      </c>
      <c r="C4">
        <f>G3+I3</f>
        <v>45</v>
      </c>
      <c r="D4">
        <f>H3+J3</f>
        <v>8.3099999999999987</v>
      </c>
      <c r="E4">
        <f>ROUND(IF(lpg[[#This Row],[zbiornik LPG]]&gt;15,0,(lpg[[#This Row],[km]]/2)*6/100),2)</f>
        <v>3.24</v>
      </c>
      <c r="F4">
        <f>ROUND(IF(lpg[[#This Row],[zbiornik LPG]]&gt;15,lpg[[#This Row],[km]]*9/100,(lpg[[#This Row],[km]]/2)*9/100),2)</f>
        <v>4.8600000000000003</v>
      </c>
      <c r="G4">
        <f>lpg[[#This Row],[zbiornik PB95]]-lpg[[#This Row],[zuzycie PB95]]</f>
        <v>41.76</v>
      </c>
      <c r="H4">
        <f>lpg[[#This Row],[zbiornik LPG]]-lpg[[#This Row],[zyzucie lpg]]</f>
        <v>3.4499999999999984</v>
      </c>
      <c r="I4">
        <f>IF(lpg[[#This Row],[dzien]]=4,IF(lpg[[#This Row],[pb po trasie]]&lt;40,45-lpg[[#This Row],[pb po trasie]],0),0)</f>
        <v>0</v>
      </c>
      <c r="J4">
        <f>IF(lpg[[#This Row],[lpg po trasie]]&lt;5,30-lpg[[#This Row],[lpg po trasie]],0)</f>
        <v>26.55</v>
      </c>
      <c r="K4">
        <f>WEEKDAY(lpg[[#This Row],[data]],2)</f>
        <v>5</v>
      </c>
      <c r="O4" s="1">
        <v>41642</v>
      </c>
      <c r="P4">
        <v>108</v>
      </c>
      <c r="Q4">
        <f>U3+W3</f>
        <v>45</v>
      </c>
      <c r="R4">
        <f>V3+X3</f>
        <v>8.3099999999999987</v>
      </c>
      <c r="S4">
        <f>ROUND(IF(lpg_3[[#This Row],[zbiornik LPG]]&gt;15,0,(lpg_3[[#This Row],[km]]/2)*6/100),2)</f>
        <v>3.24</v>
      </c>
      <c r="T4">
        <f>ROUND(IF(lpg_3[[#This Row],[zbiornik LPG]]&gt;15,lpg_3[[#This Row],[km]]*9/100,(lpg_3[[#This Row],[km]]/2)*9/100),2)</f>
        <v>4.8600000000000003</v>
      </c>
      <c r="U4">
        <f>lpg_3[[#This Row],[zbiornik PB95]]-lpg_3[[#This Row],[zuzycie PB95]]</f>
        <v>41.76</v>
      </c>
      <c r="V4">
        <f>lpg_3[[#This Row],[zbiornik LPG]]-lpg_3[[#This Row],[zyzucie lpg]]</f>
        <v>3.4499999999999984</v>
      </c>
      <c r="W4">
        <f>IF(lpg_3[[#This Row],[dzien]]=4,IF(lpg_3[[#This Row],[pb po trasie]]&lt;40,45-lpg_3[[#This Row],[pb po trasie]],0),0)</f>
        <v>0</v>
      </c>
      <c r="X4">
        <f>IF(lpg_3[[#This Row],[lpg po trasie]]&lt;5,30-lpg_3[[#This Row],[lpg po trasie]],0)</f>
        <v>26.55</v>
      </c>
      <c r="Y4">
        <f>WEEKDAY(lpg_3[[#This Row],[data]],2)</f>
        <v>5</v>
      </c>
    </row>
    <row r="5" spans="1:25" x14ac:dyDescent="0.25">
      <c r="A5" s="1">
        <v>41643</v>
      </c>
      <c r="B5">
        <v>149</v>
      </c>
      <c r="C5">
        <f>G4+I4</f>
        <v>41.76</v>
      </c>
      <c r="D5">
        <f>H4+J4</f>
        <v>30</v>
      </c>
      <c r="E5">
        <f>ROUND(IF(lpg[[#This Row],[zbiornik LPG]]&gt;15,0,(lpg[[#This Row],[km]]/2)*6/100),2)</f>
        <v>0</v>
      </c>
      <c r="F5">
        <f>ROUND(IF(lpg[[#This Row],[zbiornik LPG]]&gt;15,lpg[[#This Row],[km]]*9/100,(lpg[[#This Row],[km]]/2)*9/100),2)</f>
        <v>13.41</v>
      </c>
      <c r="G5">
        <f>lpg[[#This Row],[zbiornik PB95]]-lpg[[#This Row],[zuzycie PB95]]</f>
        <v>41.76</v>
      </c>
      <c r="H5">
        <f>lpg[[#This Row],[zbiornik LPG]]-lpg[[#This Row],[zyzucie lpg]]</f>
        <v>16.59</v>
      </c>
      <c r="I5">
        <f>IF(lpg[[#This Row],[dzien]]=4,IF(lpg[[#This Row],[pb po trasie]]&lt;40,45-lpg[[#This Row],[pb po trasie]],0),0)</f>
        <v>0</v>
      </c>
      <c r="J5">
        <f>IF(lpg[[#This Row],[lpg po trasie]]&lt;5,30-lpg[[#This Row],[lpg po trasie]],0)</f>
        <v>0</v>
      </c>
      <c r="K5">
        <f>WEEKDAY(lpg[[#This Row],[data]],2)</f>
        <v>6</v>
      </c>
      <c r="O5" s="1">
        <v>41643</v>
      </c>
      <c r="P5">
        <v>149</v>
      </c>
      <c r="Q5">
        <f>U4+W4</f>
        <v>41.76</v>
      </c>
      <c r="R5">
        <f>V4+X4</f>
        <v>30</v>
      </c>
      <c r="S5">
        <f>ROUND(IF(lpg_3[[#This Row],[zbiornik LPG]]&gt;15,0,(lpg_3[[#This Row],[km]]/2)*6/100),2)</f>
        <v>0</v>
      </c>
      <c r="T5">
        <f>ROUND(IF(lpg_3[[#This Row],[zbiornik LPG]]&gt;15,lpg_3[[#This Row],[km]]*9/100,(lpg_3[[#This Row],[km]]/2)*9/100),2)</f>
        <v>13.41</v>
      </c>
      <c r="U5">
        <f>lpg_3[[#This Row],[zbiornik PB95]]-lpg_3[[#This Row],[zuzycie PB95]]</f>
        <v>41.76</v>
      </c>
      <c r="V5">
        <f>lpg_3[[#This Row],[zbiornik LPG]]-lpg_3[[#This Row],[zyzucie lpg]]</f>
        <v>16.59</v>
      </c>
      <c r="W5">
        <f>IF(lpg_3[[#This Row],[dzien]]=4,IF(lpg_3[[#This Row],[pb po trasie]]&lt;40,45-lpg_3[[#This Row],[pb po trasie]],0),0)</f>
        <v>0</v>
      </c>
      <c r="X5">
        <f>IF(lpg_3[[#This Row],[lpg po trasie]]&lt;5,30-lpg_3[[#This Row],[lpg po trasie]],0)</f>
        <v>0</v>
      </c>
      <c r="Y5">
        <f>WEEKDAY(lpg_3[[#This Row],[data]],2)</f>
        <v>6</v>
      </c>
    </row>
    <row r="6" spans="1:25" x14ac:dyDescent="0.25">
      <c r="A6" s="1">
        <v>41644</v>
      </c>
      <c r="B6">
        <v>118</v>
      </c>
      <c r="C6">
        <f>G5+I5</f>
        <v>41.76</v>
      </c>
      <c r="D6">
        <f>H5+J5</f>
        <v>16.59</v>
      </c>
      <c r="E6">
        <f>ROUND(IF(lpg[[#This Row],[zbiornik LPG]]&gt;15,0,(lpg[[#This Row],[km]]/2)*6/100),2)</f>
        <v>0</v>
      </c>
      <c r="F6">
        <f>ROUND(IF(lpg[[#This Row],[zbiornik LPG]]&gt;15,lpg[[#This Row],[km]]*9/100,(lpg[[#This Row],[km]]/2)*9/100),2)</f>
        <v>10.62</v>
      </c>
      <c r="G6">
        <f>lpg[[#This Row],[zbiornik PB95]]-lpg[[#This Row],[zuzycie PB95]]</f>
        <v>41.76</v>
      </c>
      <c r="H6">
        <f>lpg[[#This Row],[zbiornik LPG]]-lpg[[#This Row],[zyzucie lpg]]</f>
        <v>5.9700000000000006</v>
      </c>
      <c r="I6">
        <f>IF(lpg[[#This Row],[dzien]]=4,IF(lpg[[#This Row],[pb po trasie]]&lt;40,45-lpg[[#This Row],[pb po trasie]],0),0)</f>
        <v>0</v>
      </c>
      <c r="J6">
        <f>IF(lpg[[#This Row],[lpg po trasie]]&lt;5,30-lpg[[#This Row],[lpg po trasie]],0)</f>
        <v>0</v>
      </c>
      <c r="K6">
        <f>WEEKDAY(lpg[[#This Row],[data]],2)</f>
        <v>7</v>
      </c>
      <c r="O6" s="1">
        <v>41644</v>
      </c>
      <c r="P6">
        <v>118</v>
      </c>
      <c r="Q6">
        <f>U5+W5</f>
        <v>41.76</v>
      </c>
      <c r="R6">
        <f>V5+X5</f>
        <v>16.59</v>
      </c>
      <c r="S6">
        <f>ROUND(IF(lpg_3[[#This Row],[zbiornik LPG]]&gt;15,0,(lpg_3[[#This Row],[km]]/2)*6/100),2)</f>
        <v>0</v>
      </c>
      <c r="T6">
        <f>ROUND(IF(lpg_3[[#This Row],[zbiornik LPG]]&gt;15,lpg_3[[#This Row],[km]]*9/100,(lpg_3[[#This Row],[km]]/2)*9/100),2)</f>
        <v>10.62</v>
      </c>
      <c r="U6">
        <f>lpg_3[[#This Row],[zbiornik PB95]]-lpg_3[[#This Row],[zuzycie PB95]]</f>
        <v>41.76</v>
      </c>
      <c r="V6">
        <f>lpg_3[[#This Row],[zbiornik LPG]]-lpg_3[[#This Row],[zyzucie lpg]]</f>
        <v>5.9700000000000006</v>
      </c>
      <c r="W6">
        <f>IF(lpg_3[[#This Row],[dzien]]=4,IF(lpg_3[[#This Row],[pb po trasie]]&lt;40,45-lpg_3[[#This Row],[pb po trasie]],0),0)</f>
        <v>0</v>
      </c>
      <c r="X6">
        <f>IF(lpg_3[[#This Row],[lpg po trasie]]&lt;5,30-lpg_3[[#This Row],[lpg po trasie]],0)</f>
        <v>0</v>
      </c>
      <c r="Y6">
        <f>WEEKDAY(lpg_3[[#This Row],[data]],2)</f>
        <v>7</v>
      </c>
    </row>
    <row r="7" spans="1:25" x14ac:dyDescent="0.25">
      <c r="A7" s="1">
        <v>41645</v>
      </c>
      <c r="B7">
        <v>99</v>
      </c>
      <c r="C7">
        <f>G6+I6</f>
        <v>41.76</v>
      </c>
      <c r="D7">
        <f>H6+J6</f>
        <v>5.9700000000000006</v>
      </c>
      <c r="E7">
        <f>ROUND(IF(lpg[[#This Row],[zbiornik LPG]]&gt;15,0,(lpg[[#This Row],[km]]/2)*6/100),2)</f>
        <v>2.97</v>
      </c>
      <c r="F7">
        <f>ROUND(IF(lpg[[#This Row],[zbiornik LPG]]&gt;15,lpg[[#This Row],[km]]*9/100,(lpg[[#This Row],[km]]/2)*9/100),2)</f>
        <v>4.46</v>
      </c>
      <c r="G7">
        <f>lpg[[#This Row],[zbiornik PB95]]-lpg[[#This Row],[zuzycie PB95]]</f>
        <v>38.79</v>
      </c>
      <c r="H7">
        <f>lpg[[#This Row],[zbiornik LPG]]-lpg[[#This Row],[zyzucie lpg]]</f>
        <v>1.5100000000000007</v>
      </c>
      <c r="I7">
        <f>IF(lpg[[#This Row],[dzien]]=4,IF(lpg[[#This Row],[pb po trasie]]&lt;40,45-lpg[[#This Row],[pb po trasie]],0),0)</f>
        <v>0</v>
      </c>
      <c r="J7">
        <f>IF(lpg[[#This Row],[lpg po trasie]]&lt;5,30-lpg[[#This Row],[lpg po trasie]],0)</f>
        <v>28.49</v>
      </c>
      <c r="K7">
        <f>WEEKDAY(lpg[[#This Row],[data]],2)</f>
        <v>1</v>
      </c>
      <c r="O7" s="1">
        <v>41645</v>
      </c>
      <c r="P7">
        <v>99</v>
      </c>
      <c r="Q7">
        <f>U6+W6</f>
        <v>41.76</v>
      </c>
      <c r="R7">
        <f>V6+X6</f>
        <v>5.9700000000000006</v>
      </c>
      <c r="S7">
        <f>ROUND(IF(lpg_3[[#This Row],[zbiornik LPG]]&gt;15,0,(lpg_3[[#This Row],[km]]/2)*6/100),2)</f>
        <v>2.97</v>
      </c>
      <c r="T7">
        <f>ROUND(IF(lpg_3[[#This Row],[zbiornik LPG]]&gt;15,lpg_3[[#This Row],[km]]*9/100,(lpg_3[[#This Row],[km]]/2)*9/100),2)</f>
        <v>4.46</v>
      </c>
      <c r="U7">
        <f>lpg_3[[#This Row],[zbiornik PB95]]-lpg_3[[#This Row],[zuzycie PB95]]</f>
        <v>38.79</v>
      </c>
      <c r="V7">
        <f>lpg_3[[#This Row],[zbiornik LPG]]-lpg_3[[#This Row],[zyzucie lpg]]</f>
        <v>1.5100000000000007</v>
      </c>
      <c r="W7">
        <f>IF(lpg_3[[#This Row],[dzien]]=4,IF(lpg_3[[#This Row],[pb po trasie]]&lt;40,45-lpg_3[[#This Row],[pb po trasie]],0),0)</f>
        <v>0</v>
      </c>
      <c r="X7">
        <f>IF(lpg_3[[#This Row],[lpg po trasie]]&lt;5,30-lpg_3[[#This Row],[lpg po trasie]],0)</f>
        <v>28.49</v>
      </c>
      <c r="Y7">
        <f>WEEKDAY(lpg_3[[#This Row],[data]],2)</f>
        <v>1</v>
      </c>
    </row>
    <row r="8" spans="1:25" x14ac:dyDescent="0.25">
      <c r="A8" s="1">
        <v>41646</v>
      </c>
      <c r="B8">
        <v>67</v>
      </c>
      <c r="C8">
        <f>G7+I7</f>
        <v>38.79</v>
      </c>
      <c r="D8">
        <f>H7+J7</f>
        <v>30</v>
      </c>
      <c r="E8">
        <f>ROUND(IF(lpg[[#This Row],[zbiornik LPG]]&gt;15,0,(lpg[[#This Row],[km]]/2)*6/100),2)</f>
        <v>0</v>
      </c>
      <c r="F8">
        <f>ROUND(IF(lpg[[#This Row],[zbiornik LPG]]&gt;15,lpg[[#This Row],[km]]*9/100,(lpg[[#This Row],[km]]/2)*9/100),2)</f>
        <v>6.03</v>
      </c>
      <c r="G8">
        <f>lpg[[#This Row],[zbiornik PB95]]-lpg[[#This Row],[zuzycie PB95]]</f>
        <v>38.79</v>
      </c>
      <c r="H8">
        <f>lpg[[#This Row],[zbiornik LPG]]-lpg[[#This Row],[zyzucie lpg]]</f>
        <v>23.97</v>
      </c>
      <c r="I8">
        <f>IF(lpg[[#This Row],[dzien]]=4,IF(lpg[[#This Row],[pb po trasie]]&lt;40,45-lpg[[#This Row],[pb po trasie]],0),0)</f>
        <v>0</v>
      </c>
      <c r="J8">
        <f>IF(lpg[[#This Row],[lpg po trasie]]&lt;5,30-lpg[[#This Row],[lpg po trasie]],0)</f>
        <v>0</v>
      </c>
      <c r="K8">
        <f>WEEKDAY(lpg[[#This Row],[data]],2)</f>
        <v>2</v>
      </c>
      <c r="O8" s="1">
        <v>41646</v>
      </c>
      <c r="P8">
        <v>67</v>
      </c>
      <c r="Q8">
        <f>U7+W7</f>
        <v>38.79</v>
      </c>
      <c r="R8">
        <f>V7+X7</f>
        <v>30</v>
      </c>
      <c r="S8">
        <f>ROUND(IF(lpg_3[[#This Row],[zbiornik LPG]]&gt;15,0,(lpg_3[[#This Row],[km]]/2)*6/100),2)</f>
        <v>0</v>
      </c>
      <c r="T8">
        <f>ROUND(IF(lpg_3[[#This Row],[zbiornik LPG]]&gt;15,lpg_3[[#This Row],[km]]*9/100,(lpg_3[[#This Row],[km]]/2)*9/100),2)</f>
        <v>6.03</v>
      </c>
      <c r="U8">
        <f>lpg_3[[#This Row],[zbiornik PB95]]-lpg_3[[#This Row],[zuzycie PB95]]</f>
        <v>38.79</v>
      </c>
      <c r="V8">
        <f>lpg_3[[#This Row],[zbiornik LPG]]-lpg_3[[#This Row],[zyzucie lpg]]</f>
        <v>23.97</v>
      </c>
      <c r="W8">
        <f>IF(lpg_3[[#This Row],[dzien]]=4,IF(lpg_3[[#This Row],[pb po trasie]]&lt;40,45-lpg_3[[#This Row],[pb po trasie]],0),0)</f>
        <v>0</v>
      </c>
      <c r="X8">
        <f>IF(lpg_3[[#This Row],[lpg po trasie]]&lt;5,30-lpg_3[[#This Row],[lpg po trasie]],0)</f>
        <v>0</v>
      </c>
      <c r="Y8">
        <f>WEEKDAY(lpg_3[[#This Row],[data]],2)</f>
        <v>2</v>
      </c>
    </row>
    <row r="9" spans="1:25" x14ac:dyDescent="0.25">
      <c r="A9" s="1">
        <v>41647</v>
      </c>
      <c r="B9">
        <v>152</v>
      </c>
      <c r="C9">
        <f>G8+I8</f>
        <v>38.79</v>
      </c>
      <c r="D9">
        <f>H8+J8</f>
        <v>23.97</v>
      </c>
      <c r="E9">
        <f>ROUND(IF(lpg[[#This Row],[zbiornik LPG]]&gt;15,0,(lpg[[#This Row],[km]]/2)*6/100),2)</f>
        <v>0</v>
      </c>
      <c r="F9">
        <f>ROUND(IF(lpg[[#This Row],[zbiornik LPG]]&gt;15,lpg[[#This Row],[km]]*9/100,(lpg[[#This Row],[km]]/2)*9/100),2)</f>
        <v>13.68</v>
      </c>
      <c r="G9">
        <f>lpg[[#This Row],[zbiornik PB95]]-lpg[[#This Row],[zuzycie PB95]]</f>
        <v>38.79</v>
      </c>
      <c r="H9">
        <f>lpg[[#This Row],[zbiornik LPG]]-lpg[[#This Row],[zyzucie lpg]]</f>
        <v>10.29</v>
      </c>
      <c r="I9">
        <f>IF(lpg[[#This Row],[dzien]]=4,IF(lpg[[#This Row],[pb po trasie]]&lt;40,45-lpg[[#This Row],[pb po trasie]],0),0)</f>
        <v>0</v>
      </c>
      <c r="J9">
        <f>IF(lpg[[#This Row],[lpg po trasie]]&lt;5,30-lpg[[#This Row],[lpg po trasie]],0)</f>
        <v>0</v>
      </c>
      <c r="K9">
        <f>WEEKDAY(lpg[[#This Row],[data]],2)</f>
        <v>3</v>
      </c>
      <c r="O9" s="1">
        <v>41647</v>
      </c>
      <c r="P9">
        <v>152</v>
      </c>
      <c r="Q9">
        <f>U8+W8</f>
        <v>38.79</v>
      </c>
      <c r="R9">
        <f>V8+X8</f>
        <v>23.97</v>
      </c>
      <c r="S9">
        <f>ROUND(IF(lpg_3[[#This Row],[zbiornik LPG]]&gt;15,0,(lpg_3[[#This Row],[km]]/2)*6/100),2)</f>
        <v>0</v>
      </c>
      <c r="T9">
        <f>ROUND(IF(lpg_3[[#This Row],[zbiornik LPG]]&gt;15,lpg_3[[#This Row],[km]]*9/100,(lpg_3[[#This Row],[km]]/2)*9/100),2)</f>
        <v>13.68</v>
      </c>
      <c r="U9">
        <f>lpg_3[[#This Row],[zbiornik PB95]]-lpg_3[[#This Row],[zuzycie PB95]]</f>
        <v>38.79</v>
      </c>
      <c r="V9">
        <f>lpg_3[[#This Row],[zbiornik LPG]]-lpg_3[[#This Row],[zyzucie lpg]]</f>
        <v>10.29</v>
      </c>
      <c r="W9">
        <f>IF(lpg_3[[#This Row],[dzien]]=4,IF(lpg_3[[#This Row],[pb po trasie]]&lt;40,45-lpg_3[[#This Row],[pb po trasie]],0),0)</f>
        <v>0</v>
      </c>
      <c r="X9">
        <f>IF(lpg_3[[#This Row],[lpg po trasie]]&lt;5,30-lpg_3[[#This Row],[lpg po trasie]],0)</f>
        <v>0</v>
      </c>
      <c r="Y9">
        <f>WEEKDAY(lpg_3[[#This Row],[data]],2)</f>
        <v>3</v>
      </c>
    </row>
    <row r="10" spans="1:25" x14ac:dyDescent="0.25">
      <c r="A10" s="1">
        <v>41648</v>
      </c>
      <c r="B10">
        <v>84</v>
      </c>
      <c r="C10">
        <f>G9+I9</f>
        <v>38.79</v>
      </c>
      <c r="D10">
        <f>H9+J9</f>
        <v>10.29</v>
      </c>
      <c r="E10">
        <f>ROUND(IF(lpg[[#This Row],[zbiornik LPG]]&gt;15,0,(lpg[[#This Row],[km]]/2)*6/100),2)</f>
        <v>2.52</v>
      </c>
      <c r="F10">
        <f>ROUND(IF(lpg[[#This Row],[zbiornik LPG]]&gt;15,lpg[[#This Row],[km]]*9/100,(lpg[[#This Row],[km]]/2)*9/100),2)</f>
        <v>3.78</v>
      </c>
      <c r="G10">
        <f>lpg[[#This Row],[zbiornik PB95]]-lpg[[#This Row],[zuzycie PB95]]</f>
        <v>36.269999999999996</v>
      </c>
      <c r="H10">
        <f>lpg[[#This Row],[zbiornik LPG]]-lpg[[#This Row],[zyzucie lpg]]</f>
        <v>6.51</v>
      </c>
      <c r="I10">
        <f>IF(lpg[[#This Row],[dzien]]=4,IF(lpg[[#This Row],[pb po trasie]]&lt;40,45-lpg[[#This Row],[pb po trasie]],0),0)</f>
        <v>8.730000000000004</v>
      </c>
      <c r="J10">
        <f>IF(lpg[[#This Row],[lpg po trasie]]&lt;5,30-lpg[[#This Row],[lpg po trasie]],0)</f>
        <v>0</v>
      </c>
      <c r="K10">
        <f>WEEKDAY(lpg[[#This Row],[data]],2)</f>
        <v>4</v>
      </c>
      <c r="O10" s="1">
        <v>41648</v>
      </c>
      <c r="P10">
        <v>84</v>
      </c>
      <c r="Q10">
        <f>U9+W9</f>
        <v>38.79</v>
      </c>
      <c r="R10">
        <f>V9+X9</f>
        <v>10.29</v>
      </c>
      <c r="S10">
        <f>ROUND(IF(lpg_3[[#This Row],[zbiornik LPG]]&gt;15,0,(lpg_3[[#This Row],[km]]/2)*6/100),2)</f>
        <v>2.52</v>
      </c>
      <c r="T10">
        <f>ROUND(IF(lpg_3[[#This Row],[zbiornik LPG]]&gt;15,lpg_3[[#This Row],[km]]*9/100,(lpg_3[[#This Row],[km]]/2)*9/100),2)</f>
        <v>3.78</v>
      </c>
      <c r="U10">
        <f>lpg_3[[#This Row],[zbiornik PB95]]-lpg_3[[#This Row],[zuzycie PB95]]</f>
        <v>36.269999999999996</v>
      </c>
      <c r="V10">
        <f>lpg_3[[#This Row],[zbiornik LPG]]-lpg_3[[#This Row],[zyzucie lpg]]</f>
        <v>6.51</v>
      </c>
      <c r="W10">
        <f>IF(lpg_3[[#This Row],[dzien]]=4,IF(lpg_3[[#This Row],[pb po trasie]]&lt;40,45-lpg_3[[#This Row],[pb po trasie]],0),0)</f>
        <v>8.730000000000004</v>
      </c>
      <c r="X10">
        <f>IF(lpg_3[[#This Row],[lpg po trasie]]&lt;5,30-lpg_3[[#This Row],[lpg po trasie]],0)</f>
        <v>0</v>
      </c>
      <c r="Y10">
        <f>WEEKDAY(lpg_3[[#This Row],[data]],2)</f>
        <v>4</v>
      </c>
    </row>
    <row r="11" spans="1:25" x14ac:dyDescent="0.25">
      <c r="A11" s="1">
        <v>41649</v>
      </c>
      <c r="B11">
        <v>144</v>
      </c>
      <c r="C11">
        <f>G10+I10</f>
        <v>45</v>
      </c>
      <c r="D11">
        <f>H10+J10</f>
        <v>6.51</v>
      </c>
      <c r="E11">
        <f>ROUND(IF(lpg[[#This Row],[zbiornik LPG]]&gt;15,0,(lpg[[#This Row],[km]]/2)*6/100),2)</f>
        <v>4.32</v>
      </c>
      <c r="F11">
        <f>ROUND(IF(lpg[[#This Row],[zbiornik LPG]]&gt;15,lpg[[#This Row],[km]]*9/100,(lpg[[#This Row],[km]]/2)*9/100),2)</f>
        <v>6.48</v>
      </c>
      <c r="G11">
        <f>lpg[[#This Row],[zbiornik PB95]]-lpg[[#This Row],[zuzycie PB95]]</f>
        <v>40.68</v>
      </c>
      <c r="H11">
        <f>lpg[[#This Row],[zbiornik LPG]]-lpg[[#This Row],[zyzucie lpg]]</f>
        <v>2.9999999999999361E-2</v>
      </c>
      <c r="I11">
        <f>IF(lpg[[#This Row],[dzien]]=4,IF(lpg[[#This Row],[pb po trasie]]&lt;40,45-lpg[[#This Row],[pb po trasie]],0),0)</f>
        <v>0</v>
      </c>
      <c r="J11">
        <f>IF(lpg[[#This Row],[lpg po trasie]]&lt;5,30-lpg[[#This Row],[lpg po trasie]],0)</f>
        <v>29.97</v>
      </c>
      <c r="K11">
        <f>WEEKDAY(lpg[[#This Row],[data]],2)</f>
        <v>5</v>
      </c>
      <c r="O11" s="1">
        <v>41649</v>
      </c>
      <c r="P11">
        <v>144</v>
      </c>
      <c r="Q11">
        <f>U10+W10</f>
        <v>45</v>
      </c>
      <c r="R11">
        <f>V10+X10</f>
        <v>6.51</v>
      </c>
      <c r="S11">
        <f>ROUND(IF(lpg_3[[#This Row],[zbiornik LPG]]&gt;15,0,(lpg_3[[#This Row],[km]]/2)*6/100),2)</f>
        <v>4.32</v>
      </c>
      <c r="T11">
        <f>ROUND(IF(lpg_3[[#This Row],[zbiornik LPG]]&gt;15,lpg_3[[#This Row],[km]]*9/100,(lpg_3[[#This Row],[km]]/2)*9/100),2)</f>
        <v>6.48</v>
      </c>
      <c r="U11">
        <f>lpg_3[[#This Row],[zbiornik PB95]]-lpg_3[[#This Row],[zuzycie PB95]]</f>
        <v>40.68</v>
      </c>
      <c r="V11">
        <f>lpg_3[[#This Row],[zbiornik LPG]]-lpg_3[[#This Row],[zyzucie lpg]]</f>
        <v>2.9999999999999361E-2</v>
      </c>
      <c r="W11">
        <f>IF(lpg_3[[#This Row],[dzien]]=4,IF(lpg_3[[#This Row],[pb po trasie]]&lt;40,45-lpg_3[[#This Row],[pb po trasie]],0),0)</f>
        <v>0</v>
      </c>
      <c r="X11">
        <f>IF(lpg_3[[#This Row],[lpg po trasie]]&lt;5,30-lpg_3[[#This Row],[lpg po trasie]],0)</f>
        <v>29.97</v>
      </c>
      <c r="Y11">
        <f>WEEKDAY(lpg_3[[#This Row],[data]],2)</f>
        <v>5</v>
      </c>
    </row>
    <row r="12" spans="1:25" x14ac:dyDescent="0.25">
      <c r="A12" s="1">
        <v>41650</v>
      </c>
      <c r="B12">
        <v>16</v>
      </c>
      <c r="C12">
        <f>G11+I11</f>
        <v>40.68</v>
      </c>
      <c r="D12">
        <f>H11+J11</f>
        <v>30</v>
      </c>
      <c r="E12">
        <f>ROUND(IF(lpg[[#This Row],[zbiornik LPG]]&gt;15,0,(lpg[[#This Row],[km]]/2)*6/100),2)</f>
        <v>0</v>
      </c>
      <c r="F12">
        <f>ROUND(IF(lpg[[#This Row],[zbiornik LPG]]&gt;15,lpg[[#This Row],[km]]*9/100,(lpg[[#This Row],[km]]/2)*9/100),2)</f>
        <v>1.44</v>
      </c>
      <c r="G12">
        <f>lpg[[#This Row],[zbiornik PB95]]-lpg[[#This Row],[zuzycie PB95]]</f>
        <v>40.68</v>
      </c>
      <c r="H12">
        <f>lpg[[#This Row],[zbiornik LPG]]-lpg[[#This Row],[zyzucie lpg]]</f>
        <v>28.56</v>
      </c>
      <c r="I12">
        <f>IF(lpg[[#This Row],[dzien]]=4,IF(lpg[[#This Row],[pb po trasie]]&lt;40,45-lpg[[#This Row],[pb po trasie]],0),0)</f>
        <v>0</v>
      </c>
      <c r="J12">
        <f>IF(lpg[[#This Row],[lpg po trasie]]&lt;5,30-lpg[[#This Row],[lpg po trasie]],0)</f>
        <v>0</v>
      </c>
      <c r="K12">
        <f>WEEKDAY(lpg[[#This Row],[data]],2)</f>
        <v>6</v>
      </c>
      <c r="O12" s="1">
        <v>41650</v>
      </c>
      <c r="P12">
        <v>16</v>
      </c>
      <c r="Q12">
        <f>U11+W11</f>
        <v>40.68</v>
      </c>
      <c r="R12">
        <f>V11+X11</f>
        <v>30</v>
      </c>
      <c r="S12">
        <f>ROUND(IF(lpg_3[[#This Row],[zbiornik LPG]]&gt;15,0,(lpg_3[[#This Row],[km]]/2)*6/100),2)</f>
        <v>0</v>
      </c>
      <c r="T12">
        <f>ROUND(IF(lpg_3[[#This Row],[zbiornik LPG]]&gt;15,lpg_3[[#This Row],[km]]*9/100,(lpg_3[[#This Row],[km]]/2)*9/100),2)</f>
        <v>1.44</v>
      </c>
      <c r="U12">
        <f>lpg_3[[#This Row],[zbiornik PB95]]-lpg_3[[#This Row],[zuzycie PB95]]</f>
        <v>40.68</v>
      </c>
      <c r="V12">
        <f>lpg_3[[#This Row],[zbiornik LPG]]-lpg_3[[#This Row],[zyzucie lpg]]</f>
        <v>28.56</v>
      </c>
      <c r="W12">
        <f>IF(lpg_3[[#This Row],[dzien]]=4,IF(lpg_3[[#This Row],[pb po trasie]]&lt;40,45-lpg_3[[#This Row],[pb po trasie]],0),0)</f>
        <v>0</v>
      </c>
      <c r="X12">
        <f>IF(lpg_3[[#This Row],[lpg po trasie]]&lt;5,30-lpg_3[[#This Row],[lpg po trasie]],0)</f>
        <v>0</v>
      </c>
      <c r="Y12">
        <f>WEEKDAY(lpg_3[[#This Row],[data]],2)</f>
        <v>6</v>
      </c>
    </row>
    <row r="13" spans="1:25" x14ac:dyDescent="0.25">
      <c r="A13" s="1">
        <v>41651</v>
      </c>
      <c r="B13">
        <v>124</v>
      </c>
      <c r="C13">
        <f>G12+I12</f>
        <v>40.68</v>
      </c>
      <c r="D13">
        <f>H12+J12</f>
        <v>28.56</v>
      </c>
      <c r="E13">
        <f>ROUND(IF(lpg[[#This Row],[zbiornik LPG]]&gt;15,0,(lpg[[#This Row],[km]]/2)*6/100),2)</f>
        <v>0</v>
      </c>
      <c r="F13">
        <f>ROUND(IF(lpg[[#This Row],[zbiornik LPG]]&gt;15,lpg[[#This Row],[km]]*9/100,(lpg[[#This Row],[km]]/2)*9/100),2)</f>
        <v>11.16</v>
      </c>
      <c r="G13">
        <f>lpg[[#This Row],[zbiornik PB95]]-lpg[[#This Row],[zuzycie PB95]]</f>
        <v>40.68</v>
      </c>
      <c r="H13">
        <f>lpg[[#This Row],[zbiornik LPG]]-lpg[[#This Row],[zyzucie lpg]]</f>
        <v>17.399999999999999</v>
      </c>
      <c r="I13">
        <f>IF(lpg[[#This Row],[dzien]]=4,IF(lpg[[#This Row],[pb po trasie]]&lt;40,45-lpg[[#This Row],[pb po trasie]],0),0)</f>
        <v>0</v>
      </c>
      <c r="J13">
        <f>IF(lpg[[#This Row],[lpg po trasie]]&lt;5,30-lpg[[#This Row],[lpg po trasie]],0)</f>
        <v>0</v>
      </c>
      <c r="K13">
        <f>WEEKDAY(lpg[[#This Row],[data]],2)</f>
        <v>7</v>
      </c>
      <c r="O13" s="1">
        <v>41651</v>
      </c>
      <c r="P13">
        <v>124</v>
      </c>
      <c r="Q13">
        <f>U12+W12</f>
        <v>40.68</v>
      </c>
      <c r="R13">
        <f>V12+X12</f>
        <v>28.56</v>
      </c>
      <c r="S13">
        <f>ROUND(IF(lpg_3[[#This Row],[zbiornik LPG]]&gt;15,0,(lpg_3[[#This Row],[km]]/2)*6/100),2)</f>
        <v>0</v>
      </c>
      <c r="T13">
        <f>ROUND(IF(lpg_3[[#This Row],[zbiornik LPG]]&gt;15,lpg_3[[#This Row],[km]]*9/100,(lpg_3[[#This Row],[km]]/2)*9/100),2)</f>
        <v>11.16</v>
      </c>
      <c r="U13">
        <f>lpg_3[[#This Row],[zbiornik PB95]]-lpg_3[[#This Row],[zuzycie PB95]]</f>
        <v>40.68</v>
      </c>
      <c r="V13">
        <f>lpg_3[[#This Row],[zbiornik LPG]]-lpg_3[[#This Row],[zyzucie lpg]]</f>
        <v>17.399999999999999</v>
      </c>
      <c r="W13">
        <f>IF(lpg_3[[#This Row],[dzien]]=4,IF(lpg_3[[#This Row],[pb po trasie]]&lt;40,45-lpg_3[[#This Row],[pb po trasie]],0),0)</f>
        <v>0</v>
      </c>
      <c r="X13">
        <f>IF(lpg_3[[#This Row],[lpg po trasie]]&lt;5,30-lpg_3[[#This Row],[lpg po trasie]],0)</f>
        <v>0</v>
      </c>
      <c r="Y13">
        <f>WEEKDAY(lpg_3[[#This Row],[data]],2)</f>
        <v>7</v>
      </c>
    </row>
    <row r="14" spans="1:25" x14ac:dyDescent="0.25">
      <c r="A14" s="1">
        <v>41652</v>
      </c>
      <c r="B14">
        <v>65</v>
      </c>
      <c r="C14">
        <f>G13+I13</f>
        <v>40.68</v>
      </c>
      <c r="D14">
        <f>H13+J13</f>
        <v>17.399999999999999</v>
      </c>
      <c r="E14">
        <f>ROUND(IF(lpg[[#This Row],[zbiornik LPG]]&gt;15,0,(lpg[[#This Row],[km]]/2)*6/100),2)</f>
        <v>0</v>
      </c>
      <c r="F14">
        <f>ROUND(IF(lpg[[#This Row],[zbiornik LPG]]&gt;15,lpg[[#This Row],[km]]*9/100,(lpg[[#This Row],[km]]/2)*9/100),2)</f>
        <v>5.85</v>
      </c>
      <c r="G14">
        <f>lpg[[#This Row],[zbiornik PB95]]-lpg[[#This Row],[zuzycie PB95]]</f>
        <v>40.68</v>
      </c>
      <c r="H14">
        <f>lpg[[#This Row],[zbiornik LPG]]-lpg[[#This Row],[zyzucie lpg]]</f>
        <v>11.549999999999999</v>
      </c>
      <c r="I14">
        <f>IF(lpg[[#This Row],[dzien]]=4,IF(lpg[[#This Row],[pb po trasie]]&lt;40,45-lpg[[#This Row],[pb po trasie]],0),0)</f>
        <v>0</v>
      </c>
      <c r="J14">
        <f>IF(lpg[[#This Row],[lpg po trasie]]&lt;5,30-lpg[[#This Row],[lpg po trasie]],0)</f>
        <v>0</v>
      </c>
      <c r="K14">
        <f>WEEKDAY(lpg[[#This Row],[data]],2)</f>
        <v>1</v>
      </c>
      <c r="O14" s="1">
        <v>41652</v>
      </c>
      <c r="P14">
        <v>65</v>
      </c>
      <c r="Q14">
        <f>U13+W13</f>
        <v>40.68</v>
      </c>
      <c r="R14">
        <f>V13+X13</f>
        <v>17.399999999999999</v>
      </c>
      <c r="S14">
        <f>ROUND(IF(lpg_3[[#This Row],[zbiornik LPG]]&gt;15,0,(lpg_3[[#This Row],[km]]/2)*6/100),2)</f>
        <v>0</v>
      </c>
      <c r="T14">
        <f>ROUND(IF(lpg_3[[#This Row],[zbiornik LPG]]&gt;15,lpg_3[[#This Row],[km]]*9/100,(lpg_3[[#This Row],[km]]/2)*9/100),2)</f>
        <v>5.85</v>
      </c>
      <c r="U14">
        <f>lpg_3[[#This Row],[zbiornik PB95]]-lpg_3[[#This Row],[zuzycie PB95]]</f>
        <v>40.68</v>
      </c>
      <c r="V14">
        <f>lpg_3[[#This Row],[zbiornik LPG]]-lpg_3[[#This Row],[zyzucie lpg]]</f>
        <v>11.549999999999999</v>
      </c>
      <c r="W14">
        <f>IF(lpg_3[[#This Row],[dzien]]=4,IF(lpg_3[[#This Row],[pb po trasie]]&lt;40,45-lpg_3[[#This Row],[pb po trasie]],0),0)</f>
        <v>0</v>
      </c>
      <c r="X14">
        <f>IF(lpg_3[[#This Row],[lpg po trasie]]&lt;5,30-lpg_3[[#This Row],[lpg po trasie]],0)</f>
        <v>0</v>
      </c>
      <c r="Y14">
        <f>WEEKDAY(lpg_3[[#This Row],[data]],2)</f>
        <v>1</v>
      </c>
    </row>
    <row r="15" spans="1:25" x14ac:dyDescent="0.25">
      <c r="A15" s="1">
        <v>41653</v>
      </c>
      <c r="B15">
        <v>101</v>
      </c>
      <c r="C15">
        <f>G14+I14</f>
        <v>40.68</v>
      </c>
      <c r="D15">
        <f>H14+J14</f>
        <v>11.549999999999999</v>
      </c>
      <c r="E15">
        <f>ROUND(IF(lpg[[#This Row],[zbiornik LPG]]&gt;15,0,(lpg[[#This Row],[km]]/2)*6/100),2)</f>
        <v>3.03</v>
      </c>
      <c r="F15">
        <f>ROUND(IF(lpg[[#This Row],[zbiornik LPG]]&gt;15,lpg[[#This Row],[km]]*9/100,(lpg[[#This Row],[km]]/2)*9/100),2)</f>
        <v>4.55</v>
      </c>
      <c r="G15">
        <f>lpg[[#This Row],[zbiornik PB95]]-lpg[[#This Row],[zuzycie PB95]]</f>
        <v>37.65</v>
      </c>
      <c r="H15">
        <f>lpg[[#This Row],[zbiornik LPG]]-lpg[[#This Row],[zyzucie lpg]]</f>
        <v>6.9999999999999991</v>
      </c>
      <c r="I15">
        <f>IF(lpg[[#This Row],[dzien]]=4,IF(lpg[[#This Row],[pb po trasie]]&lt;40,45-lpg[[#This Row],[pb po trasie]],0),0)</f>
        <v>0</v>
      </c>
      <c r="J15">
        <f>IF(lpg[[#This Row],[lpg po trasie]]&lt;5,30-lpg[[#This Row],[lpg po trasie]],0)</f>
        <v>0</v>
      </c>
      <c r="K15">
        <f>WEEKDAY(lpg[[#This Row],[data]],2)</f>
        <v>2</v>
      </c>
      <c r="O15" s="1">
        <v>41653</v>
      </c>
      <c r="P15">
        <v>101</v>
      </c>
      <c r="Q15">
        <f>U14+W14</f>
        <v>40.68</v>
      </c>
      <c r="R15">
        <f>V14+X14</f>
        <v>11.549999999999999</v>
      </c>
      <c r="S15">
        <f>ROUND(IF(lpg_3[[#This Row],[zbiornik LPG]]&gt;15,0,(lpg_3[[#This Row],[km]]/2)*6/100),2)</f>
        <v>3.03</v>
      </c>
      <c r="T15">
        <f>ROUND(IF(lpg_3[[#This Row],[zbiornik LPG]]&gt;15,lpg_3[[#This Row],[km]]*9/100,(lpg_3[[#This Row],[km]]/2)*9/100),2)</f>
        <v>4.55</v>
      </c>
      <c r="U15">
        <f>lpg_3[[#This Row],[zbiornik PB95]]-lpg_3[[#This Row],[zuzycie PB95]]</f>
        <v>37.65</v>
      </c>
      <c r="V15">
        <f>lpg_3[[#This Row],[zbiornik LPG]]-lpg_3[[#This Row],[zyzucie lpg]]</f>
        <v>6.9999999999999991</v>
      </c>
      <c r="W15">
        <f>IF(lpg_3[[#This Row],[dzien]]=4,IF(lpg_3[[#This Row],[pb po trasie]]&lt;40,45-lpg_3[[#This Row],[pb po trasie]],0),0)</f>
        <v>0</v>
      </c>
      <c r="X15">
        <f>IF(lpg_3[[#This Row],[lpg po trasie]]&lt;5,30-lpg_3[[#This Row],[lpg po trasie]],0)</f>
        <v>0</v>
      </c>
      <c r="Y15">
        <f>WEEKDAY(lpg_3[[#This Row],[data]],2)</f>
        <v>2</v>
      </c>
    </row>
    <row r="16" spans="1:25" x14ac:dyDescent="0.25">
      <c r="A16" s="1">
        <v>41654</v>
      </c>
      <c r="B16">
        <v>19</v>
      </c>
      <c r="C16">
        <f>G15+I15</f>
        <v>37.65</v>
      </c>
      <c r="D16">
        <f>H15+J15</f>
        <v>6.9999999999999991</v>
      </c>
      <c r="E16">
        <f>ROUND(IF(lpg[[#This Row],[zbiornik LPG]]&gt;15,0,(lpg[[#This Row],[km]]/2)*6/100),2)</f>
        <v>0.56999999999999995</v>
      </c>
      <c r="F16">
        <f>ROUND(IF(lpg[[#This Row],[zbiornik LPG]]&gt;15,lpg[[#This Row],[km]]*9/100,(lpg[[#This Row],[km]]/2)*9/100),2)</f>
        <v>0.86</v>
      </c>
      <c r="G16">
        <f>lpg[[#This Row],[zbiornik PB95]]-lpg[[#This Row],[zuzycie PB95]]</f>
        <v>37.08</v>
      </c>
      <c r="H16">
        <f>lpg[[#This Row],[zbiornik LPG]]-lpg[[#This Row],[zyzucie lpg]]</f>
        <v>6.1399999999999988</v>
      </c>
      <c r="I16">
        <f>IF(lpg[[#This Row],[dzien]]=4,IF(lpg[[#This Row],[pb po trasie]]&lt;40,45-lpg[[#This Row],[pb po trasie]],0),0)</f>
        <v>0</v>
      </c>
      <c r="J16">
        <f>IF(lpg[[#This Row],[lpg po trasie]]&lt;5,30-lpg[[#This Row],[lpg po trasie]],0)</f>
        <v>0</v>
      </c>
      <c r="K16">
        <f>WEEKDAY(lpg[[#This Row],[data]],2)</f>
        <v>3</v>
      </c>
      <c r="O16" s="1">
        <v>41654</v>
      </c>
      <c r="P16">
        <v>19</v>
      </c>
      <c r="Q16">
        <f>U15+W15</f>
        <v>37.65</v>
      </c>
      <c r="R16">
        <f>V15+X15</f>
        <v>6.9999999999999991</v>
      </c>
      <c r="S16">
        <f>ROUND(IF(lpg_3[[#This Row],[zbiornik LPG]]&gt;15,0,(lpg_3[[#This Row],[km]]/2)*6/100),2)</f>
        <v>0.56999999999999995</v>
      </c>
      <c r="T16">
        <f>ROUND(IF(lpg_3[[#This Row],[zbiornik LPG]]&gt;15,lpg_3[[#This Row],[km]]*9/100,(lpg_3[[#This Row],[km]]/2)*9/100),2)</f>
        <v>0.86</v>
      </c>
      <c r="U16">
        <f>lpg_3[[#This Row],[zbiornik PB95]]-lpg_3[[#This Row],[zuzycie PB95]]</f>
        <v>37.08</v>
      </c>
      <c r="V16">
        <f>lpg_3[[#This Row],[zbiornik LPG]]-lpg_3[[#This Row],[zyzucie lpg]]</f>
        <v>6.1399999999999988</v>
      </c>
      <c r="W16">
        <f>IF(lpg_3[[#This Row],[dzien]]=4,IF(lpg_3[[#This Row],[pb po trasie]]&lt;40,45-lpg_3[[#This Row],[pb po trasie]],0),0)</f>
        <v>0</v>
      </c>
      <c r="X16">
        <f>IF(lpg_3[[#This Row],[lpg po trasie]]&lt;5,30-lpg_3[[#This Row],[lpg po trasie]],0)</f>
        <v>0</v>
      </c>
      <c r="Y16">
        <f>WEEKDAY(lpg_3[[#This Row],[data]],2)</f>
        <v>3</v>
      </c>
    </row>
    <row r="17" spans="1:25" x14ac:dyDescent="0.25">
      <c r="A17" s="1">
        <v>41655</v>
      </c>
      <c r="B17">
        <v>31</v>
      </c>
      <c r="C17">
        <f>G16+I16</f>
        <v>37.08</v>
      </c>
      <c r="D17">
        <f>H16+J16</f>
        <v>6.1399999999999988</v>
      </c>
      <c r="E17">
        <f>ROUND(IF(lpg[[#This Row],[zbiornik LPG]]&gt;15,0,(lpg[[#This Row],[km]]/2)*6/100),2)</f>
        <v>0.93</v>
      </c>
      <c r="F17">
        <f>ROUND(IF(lpg[[#This Row],[zbiornik LPG]]&gt;15,lpg[[#This Row],[km]]*9/100,(lpg[[#This Row],[km]]/2)*9/100),2)</f>
        <v>1.4</v>
      </c>
      <c r="G17">
        <f>lpg[[#This Row],[zbiornik PB95]]-lpg[[#This Row],[zuzycie PB95]]</f>
        <v>36.15</v>
      </c>
      <c r="H17">
        <f>lpg[[#This Row],[zbiornik LPG]]-lpg[[#This Row],[zyzucie lpg]]</f>
        <v>4.7399999999999984</v>
      </c>
      <c r="I17">
        <f>IF(lpg[[#This Row],[dzien]]=4,IF(lpg[[#This Row],[pb po trasie]]&lt;40,45-lpg[[#This Row],[pb po trasie]],0),0)</f>
        <v>8.8500000000000014</v>
      </c>
      <c r="J17">
        <f>IF(lpg[[#This Row],[lpg po trasie]]&lt;5,30-lpg[[#This Row],[lpg po trasie]],0)</f>
        <v>25.26</v>
      </c>
      <c r="K17">
        <f>WEEKDAY(lpg[[#This Row],[data]],2)</f>
        <v>4</v>
      </c>
      <c r="O17" s="1">
        <v>41655</v>
      </c>
      <c r="P17">
        <v>31</v>
      </c>
      <c r="Q17">
        <f>U16+W16</f>
        <v>37.08</v>
      </c>
      <c r="R17">
        <f>V16+X16</f>
        <v>6.1399999999999988</v>
      </c>
      <c r="S17">
        <f>ROUND(IF(lpg_3[[#This Row],[zbiornik LPG]]&gt;15,0,(lpg_3[[#This Row],[km]]/2)*6/100),2)</f>
        <v>0.93</v>
      </c>
      <c r="T17">
        <f>ROUND(IF(lpg_3[[#This Row],[zbiornik LPG]]&gt;15,lpg_3[[#This Row],[km]]*9/100,(lpg_3[[#This Row],[km]]/2)*9/100),2)</f>
        <v>1.4</v>
      </c>
      <c r="U17">
        <f>lpg_3[[#This Row],[zbiornik PB95]]-lpg_3[[#This Row],[zuzycie PB95]]</f>
        <v>36.15</v>
      </c>
      <c r="V17">
        <f>lpg_3[[#This Row],[zbiornik LPG]]-lpg_3[[#This Row],[zyzucie lpg]]</f>
        <v>4.7399999999999984</v>
      </c>
      <c r="W17">
        <f>IF(lpg_3[[#This Row],[dzien]]=4,IF(lpg_3[[#This Row],[pb po trasie]]&lt;40,45-lpg_3[[#This Row],[pb po trasie]],0),0)</f>
        <v>8.8500000000000014</v>
      </c>
      <c r="X17">
        <f>IF(lpg_3[[#This Row],[lpg po trasie]]&lt;5,30-lpg_3[[#This Row],[lpg po trasie]],0)</f>
        <v>25.26</v>
      </c>
      <c r="Y17">
        <f>WEEKDAY(lpg_3[[#This Row],[data]],2)</f>
        <v>4</v>
      </c>
    </row>
    <row r="18" spans="1:25" x14ac:dyDescent="0.25">
      <c r="A18" s="1">
        <v>41656</v>
      </c>
      <c r="B18">
        <v>109</v>
      </c>
      <c r="C18">
        <f>G17+I17</f>
        <v>45</v>
      </c>
      <c r="D18">
        <f>H17+J17</f>
        <v>30</v>
      </c>
      <c r="E18">
        <f>ROUND(IF(lpg[[#This Row],[zbiornik LPG]]&gt;15,0,(lpg[[#This Row],[km]]/2)*6/100),2)</f>
        <v>0</v>
      </c>
      <c r="F18">
        <f>ROUND(IF(lpg[[#This Row],[zbiornik LPG]]&gt;15,lpg[[#This Row],[km]]*9/100,(lpg[[#This Row],[km]]/2)*9/100),2)</f>
        <v>9.81</v>
      </c>
      <c r="G18">
        <f>lpg[[#This Row],[zbiornik PB95]]-lpg[[#This Row],[zuzycie PB95]]</f>
        <v>45</v>
      </c>
      <c r="H18">
        <f>lpg[[#This Row],[zbiornik LPG]]-lpg[[#This Row],[zyzucie lpg]]</f>
        <v>20.189999999999998</v>
      </c>
      <c r="I18">
        <f>IF(lpg[[#This Row],[dzien]]=4,IF(lpg[[#This Row],[pb po trasie]]&lt;40,45-lpg[[#This Row],[pb po trasie]],0),0)</f>
        <v>0</v>
      </c>
      <c r="J18">
        <f>IF(lpg[[#This Row],[lpg po trasie]]&lt;5,30-lpg[[#This Row],[lpg po trasie]],0)</f>
        <v>0</v>
      </c>
      <c r="K18">
        <f>WEEKDAY(lpg[[#This Row],[data]],2)</f>
        <v>5</v>
      </c>
      <c r="O18" s="1">
        <v>41656</v>
      </c>
      <c r="P18">
        <v>109</v>
      </c>
      <c r="Q18">
        <f>U17+W17</f>
        <v>45</v>
      </c>
      <c r="R18">
        <f>V17+X17</f>
        <v>30</v>
      </c>
      <c r="S18">
        <f>ROUND(IF(lpg_3[[#This Row],[zbiornik LPG]]&gt;15,0,(lpg_3[[#This Row],[km]]/2)*6/100),2)</f>
        <v>0</v>
      </c>
      <c r="T18">
        <f>ROUND(IF(lpg_3[[#This Row],[zbiornik LPG]]&gt;15,lpg_3[[#This Row],[km]]*9/100,(lpg_3[[#This Row],[km]]/2)*9/100),2)</f>
        <v>9.81</v>
      </c>
      <c r="U18">
        <f>lpg_3[[#This Row],[zbiornik PB95]]-lpg_3[[#This Row],[zuzycie PB95]]</f>
        <v>45</v>
      </c>
      <c r="V18">
        <f>lpg_3[[#This Row],[zbiornik LPG]]-lpg_3[[#This Row],[zyzucie lpg]]</f>
        <v>20.189999999999998</v>
      </c>
      <c r="W18">
        <f>IF(lpg_3[[#This Row],[dzien]]=4,IF(lpg_3[[#This Row],[pb po trasie]]&lt;40,45-lpg_3[[#This Row],[pb po trasie]],0),0)</f>
        <v>0</v>
      </c>
      <c r="X18">
        <f>IF(lpg_3[[#This Row],[lpg po trasie]]&lt;5,30-lpg_3[[#This Row],[lpg po trasie]],0)</f>
        <v>0</v>
      </c>
      <c r="Y18">
        <f>WEEKDAY(lpg_3[[#This Row],[data]],2)</f>
        <v>5</v>
      </c>
    </row>
    <row r="19" spans="1:25" x14ac:dyDescent="0.25">
      <c r="A19" s="1">
        <v>41657</v>
      </c>
      <c r="B19">
        <v>40</v>
      </c>
      <c r="C19">
        <f>G18+I18</f>
        <v>45</v>
      </c>
      <c r="D19">
        <f>H18+J18</f>
        <v>20.189999999999998</v>
      </c>
      <c r="E19">
        <f>ROUND(IF(lpg[[#This Row],[zbiornik LPG]]&gt;15,0,(lpg[[#This Row],[km]]/2)*6/100),2)</f>
        <v>0</v>
      </c>
      <c r="F19">
        <f>ROUND(IF(lpg[[#This Row],[zbiornik LPG]]&gt;15,lpg[[#This Row],[km]]*9/100,(lpg[[#This Row],[km]]/2)*9/100),2)</f>
        <v>3.6</v>
      </c>
      <c r="G19">
        <f>lpg[[#This Row],[zbiornik PB95]]-lpg[[#This Row],[zuzycie PB95]]</f>
        <v>45</v>
      </c>
      <c r="H19">
        <f>lpg[[#This Row],[zbiornik LPG]]-lpg[[#This Row],[zyzucie lpg]]</f>
        <v>16.589999999999996</v>
      </c>
      <c r="I19">
        <f>IF(lpg[[#This Row],[dzien]]=4,IF(lpg[[#This Row],[pb po trasie]]&lt;40,45-lpg[[#This Row],[pb po trasie]],0),0)</f>
        <v>0</v>
      </c>
      <c r="J19">
        <f>IF(lpg[[#This Row],[lpg po trasie]]&lt;5,30-lpg[[#This Row],[lpg po trasie]],0)</f>
        <v>0</v>
      </c>
      <c r="K19">
        <f>WEEKDAY(lpg[[#This Row],[data]],2)</f>
        <v>6</v>
      </c>
      <c r="O19" s="1">
        <v>41657</v>
      </c>
      <c r="P19">
        <v>40</v>
      </c>
      <c r="Q19">
        <f>U18+W18</f>
        <v>45</v>
      </c>
      <c r="R19">
        <f>V18+X18</f>
        <v>20.189999999999998</v>
      </c>
      <c r="S19">
        <f>ROUND(IF(lpg_3[[#This Row],[zbiornik LPG]]&gt;15,0,(lpg_3[[#This Row],[km]]/2)*6/100),2)</f>
        <v>0</v>
      </c>
      <c r="T19">
        <f>ROUND(IF(lpg_3[[#This Row],[zbiornik LPG]]&gt;15,lpg_3[[#This Row],[km]]*9/100,(lpg_3[[#This Row],[km]]/2)*9/100),2)</f>
        <v>3.6</v>
      </c>
      <c r="U19">
        <f>lpg_3[[#This Row],[zbiornik PB95]]-lpg_3[[#This Row],[zuzycie PB95]]</f>
        <v>45</v>
      </c>
      <c r="V19">
        <f>lpg_3[[#This Row],[zbiornik LPG]]-lpg_3[[#This Row],[zyzucie lpg]]</f>
        <v>16.589999999999996</v>
      </c>
      <c r="W19">
        <f>IF(lpg_3[[#This Row],[dzien]]=4,IF(lpg_3[[#This Row],[pb po trasie]]&lt;40,45-lpg_3[[#This Row],[pb po trasie]],0),0)</f>
        <v>0</v>
      </c>
      <c r="X19">
        <f>IF(lpg_3[[#This Row],[lpg po trasie]]&lt;5,30-lpg_3[[#This Row],[lpg po trasie]],0)</f>
        <v>0</v>
      </c>
      <c r="Y19">
        <f>WEEKDAY(lpg_3[[#This Row],[data]],2)</f>
        <v>6</v>
      </c>
    </row>
    <row r="20" spans="1:25" x14ac:dyDescent="0.25">
      <c r="A20" s="1">
        <v>41658</v>
      </c>
      <c r="B20">
        <v>70</v>
      </c>
      <c r="C20">
        <f>G19+I19</f>
        <v>45</v>
      </c>
      <c r="D20">
        <f>H19+J19</f>
        <v>16.589999999999996</v>
      </c>
      <c r="E20">
        <f>ROUND(IF(lpg[[#This Row],[zbiornik LPG]]&gt;15,0,(lpg[[#This Row],[km]]/2)*6/100),2)</f>
        <v>0</v>
      </c>
      <c r="F20">
        <f>ROUND(IF(lpg[[#This Row],[zbiornik LPG]]&gt;15,lpg[[#This Row],[km]]*9/100,(lpg[[#This Row],[km]]/2)*9/100),2)</f>
        <v>6.3</v>
      </c>
      <c r="G20">
        <f>lpg[[#This Row],[zbiornik PB95]]-lpg[[#This Row],[zuzycie PB95]]</f>
        <v>45</v>
      </c>
      <c r="H20">
        <f>lpg[[#This Row],[zbiornik LPG]]-lpg[[#This Row],[zyzucie lpg]]</f>
        <v>10.289999999999996</v>
      </c>
      <c r="I20">
        <f>IF(lpg[[#This Row],[dzien]]=4,IF(lpg[[#This Row],[pb po trasie]]&lt;40,45-lpg[[#This Row],[pb po trasie]],0),0)</f>
        <v>0</v>
      </c>
      <c r="J20">
        <f>IF(lpg[[#This Row],[lpg po trasie]]&lt;5,30-lpg[[#This Row],[lpg po trasie]],0)</f>
        <v>0</v>
      </c>
      <c r="K20">
        <f>WEEKDAY(lpg[[#This Row],[data]],2)</f>
        <v>7</v>
      </c>
      <c r="O20" s="1">
        <v>41658</v>
      </c>
      <c r="P20">
        <v>70</v>
      </c>
      <c r="Q20">
        <f>U19+W19</f>
        <v>45</v>
      </c>
      <c r="R20">
        <f>V19+X19</f>
        <v>16.589999999999996</v>
      </c>
      <c r="S20">
        <f>ROUND(IF(lpg_3[[#This Row],[zbiornik LPG]]&gt;15,0,(lpg_3[[#This Row],[km]]/2)*6/100),2)</f>
        <v>0</v>
      </c>
      <c r="T20">
        <f>ROUND(IF(lpg_3[[#This Row],[zbiornik LPG]]&gt;15,lpg_3[[#This Row],[km]]*9/100,(lpg_3[[#This Row],[km]]/2)*9/100),2)</f>
        <v>6.3</v>
      </c>
      <c r="U20">
        <f>lpg_3[[#This Row],[zbiornik PB95]]-lpg_3[[#This Row],[zuzycie PB95]]</f>
        <v>45</v>
      </c>
      <c r="V20">
        <f>lpg_3[[#This Row],[zbiornik LPG]]-lpg_3[[#This Row],[zyzucie lpg]]</f>
        <v>10.289999999999996</v>
      </c>
      <c r="W20">
        <f>IF(lpg_3[[#This Row],[dzien]]=4,IF(lpg_3[[#This Row],[pb po trasie]]&lt;40,45-lpg_3[[#This Row],[pb po trasie]],0),0)</f>
        <v>0</v>
      </c>
      <c r="X20">
        <f>IF(lpg_3[[#This Row],[lpg po trasie]]&lt;5,30-lpg_3[[#This Row],[lpg po trasie]],0)</f>
        <v>0</v>
      </c>
      <c r="Y20">
        <f>WEEKDAY(lpg_3[[#This Row],[data]],2)</f>
        <v>7</v>
      </c>
    </row>
    <row r="21" spans="1:25" x14ac:dyDescent="0.25">
      <c r="A21" s="1">
        <v>41659</v>
      </c>
      <c r="B21">
        <v>34</v>
      </c>
      <c r="C21">
        <f>G20+I20</f>
        <v>45</v>
      </c>
      <c r="D21">
        <f>H20+J20</f>
        <v>10.289999999999996</v>
      </c>
      <c r="E21">
        <f>ROUND(IF(lpg[[#This Row],[zbiornik LPG]]&gt;15,0,(lpg[[#This Row],[km]]/2)*6/100),2)</f>
        <v>1.02</v>
      </c>
      <c r="F21">
        <f>ROUND(IF(lpg[[#This Row],[zbiornik LPG]]&gt;15,lpg[[#This Row],[km]]*9/100,(lpg[[#This Row],[km]]/2)*9/100),2)</f>
        <v>1.53</v>
      </c>
      <c r="G21">
        <f>lpg[[#This Row],[zbiornik PB95]]-lpg[[#This Row],[zuzycie PB95]]</f>
        <v>43.98</v>
      </c>
      <c r="H21">
        <f>lpg[[#This Row],[zbiornik LPG]]-lpg[[#This Row],[zyzucie lpg]]</f>
        <v>8.7599999999999962</v>
      </c>
      <c r="I21">
        <f>IF(lpg[[#This Row],[dzien]]=4,IF(lpg[[#This Row],[pb po trasie]]&lt;40,45-lpg[[#This Row],[pb po trasie]],0),0)</f>
        <v>0</v>
      </c>
      <c r="J21">
        <f>IF(lpg[[#This Row],[lpg po trasie]]&lt;5,30-lpg[[#This Row],[lpg po trasie]],0)</f>
        <v>0</v>
      </c>
      <c r="K21">
        <f>WEEKDAY(lpg[[#This Row],[data]],2)</f>
        <v>1</v>
      </c>
      <c r="O21" s="1">
        <v>41659</v>
      </c>
      <c r="P21">
        <v>34</v>
      </c>
      <c r="Q21">
        <f>U20+W20</f>
        <v>45</v>
      </c>
      <c r="R21">
        <f>V20+X20</f>
        <v>10.289999999999996</v>
      </c>
      <c r="S21">
        <f>ROUND(IF(lpg_3[[#This Row],[zbiornik LPG]]&gt;15,0,(lpg_3[[#This Row],[km]]/2)*6/100),2)</f>
        <v>1.02</v>
      </c>
      <c r="T21">
        <f>ROUND(IF(lpg_3[[#This Row],[zbiornik LPG]]&gt;15,lpg_3[[#This Row],[km]]*9/100,(lpg_3[[#This Row],[km]]/2)*9/100),2)</f>
        <v>1.53</v>
      </c>
      <c r="U21">
        <f>lpg_3[[#This Row],[zbiornik PB95]]-lpg_3[[#This Row],[zuzycie PB95]]</f>
        <v>43.98</v>
      </c>
      <c r="V21">
        <f>lpg_3[[#This Row],[zbiornik LPG]]-lpg_3[[#This Row],[zyzucie lpg]]</f>
        <v>8.7599999999999962</v>
      </c>
      <c r="W21">
        <f>IF(lpg_3[[#This Row],[dzien]]=4,IF(lpg_3[[#This Row],[pb po trasie]]&lt;40,45-lpg_3[[#This Row],[pb po trasie]],0),0)</f>
        <v>0</v>
      </c>
      <c r="X21">
        <f>IF(lpg_3[[#This Row],[lpg po trasie]]&lt;5,30-lpg_3[[#This Row],[lpg po trasie]],0)</f>
        <v>0</v>
      </c>
      <c r="Y21">
        <f>WEEKDAY(lpg_3[[#This Row],[data]],2)</f>
        <v>1</v>
      </c>
    </row>
    <row r="22" spans="1:25" x14ac:dyDescent="0.25">
      <c r="A22" s="1">
        <v>41660</v>
      </c>
      <c r="B22">
        <v>111</v>
      </c>
      <c r="C22">
        <f>G21+I21</f>
        <v>43.98</v>
      </c>
      <c r="D22">
        <f>H21+J21</f>
        <v>8.7599999999999962</v>
      </c>
      <c r="E22">
        <f>ROUND(IF(lpg[[#This Row],[zbiornik LPG]]&gt;15,0,(lpg[[#This Row],[km]]/2)*6/100),2)</f>
        <v>3.33</v>
      </c>
      <c r="F22">
        <f>ROUND(IF(lpg[[#This Row],[zbiornik LPG]]&gt;15,lpg[[#This Row],[km]]*9/100,(lpg[[#This Row],[km]]/2)*9/100),2)</f>
        <v>5</v>
      </c>
      <c r="G22">
        <f>lpg[[#This Row],[zbiornik PB95]]-lpg[[#This Row],[zuzycie PB95]]</f>
        <v>40.65</v>
      </c>
      <c r="H22">
        <f>lpg[[#This Row],[zbiornik LPG]]-lpg[[#This Row],[zyzucie lpg]]</f>
        <v>3.7599999999999962</v>
      </c>
      <c r="I22">
        <f>IF(lpg[[#This Row],[dzien]]=4,IF(lpg[[#This Row],[pb po trasie]]&lt;40,45-lpg[[#This Row],[pb po trasie]],0),0)</f>
        <v>0</v>
      </c>
      <c r="J22">
        <f>IF(lpg[[#This Row],[lpg po trasie]]&lt;5,30-lpg[[#This Row],[lpg po trasie]],0)</f>
        <v>26.240000000000002</v>
      </c>
      <c r="K22">
        <f>WEEKDAY(lpg[[#This Row],[data]],2)</f>
        <v>2</v>
      </c>
      <c r="O22" s="1">
        <v>41660</v>
      </c>
      <c r="P22">
        <v>111</v>
      </c>
      <c r="Q22">
        <f>U21+W21</f>
        <v>43.98</v>
      </c>
      <c r="R22">
        <f>V21+X21</f>
        <v>8.7599999999999962</v>
      </c>
      <c r="S22">
        <f>ROUND(IF(lpg_3[[#This Row],[zbiornik LPG]]&gt;15,0,(lpg_3[[#This Row],[km]]/2)*6/100),2)</f>
        <v>3.33</v>
      </c>
      <c r="T22">
        <f>ROUND(IF(lpg_3[[#This Row],[zbiornik LPG]]&gt;15,lpg_3[[#This Row],[km]]*9/100,(lpg_3[[#This Row],[km]]/2)*9/100),2)</f>
        <v>5</v>
      </c>
      <c r="U22">
        <f>lpg_3[[#This Row],[zbiornik PB95]]-lpg_3[[#This Row],[zuzycie PB95]]</f>
        <v>40.65</v>
      </c>
      <c r="V22">
        <f>lpg_3[[#This Row],[zbiornik LPG]]-lpg_3[[#This Row],[zyzucie lpg]]</f>
        <v>3.7599999999999962</v>
      </c>
      <c r="W22">
        <f>IF(lpg_3[[#This Row],[dzien]]=4,IF(lpg_3[[#This Row],[pb po trasie]]&lt;40,45-lpg_3[[#This Row],[pb po trasie]],0),0)</f>
        <v>0</v>
      </c>
      <c r="X22">
        <f>IF(lpg_3[[#This Row],[lpg po trasie]]&lt;5,30-lpg_3[[#This Row],[lpg po trasie]],0)</f>
        <v>26.240000000000002</v>
      </c>
      <c r="Y22">
        <f>WEEKDAY(lpg_3[[#This Row],[data]],2)</f>
        <v>2</v>
      </c>
    </row>
    <row r="23" spans="1:25" x14ac:dyDescent="0.25">
      <c r="A23" s="1">
        <v>41661</v>
      </c>
      <c r="B23">
        <v>125</v>
      </c>
      <c r="C23">
        <f>G22+I22</f>
        <v>40.65</v>
      </c>
      <c r="D23">
        <f>H22+J22</f>
        <v>30</v>
      </c>
      <c r="E23">
        <f>ROUND(IF(lpg[[#This Row],[zbiornik LPG]]&gt;15,0,(lpg[[#This Row],[km]]/2)*6/100),2)</f>
        <v>0</v>
      </c>
      <c r="F23">
        <f>ROUND(IF(lpg[[#This Row],[zbiornik LPG]]&gt;15,lpg[[#This Row],[km]]*9/100,(lpg[[#This Row],[km]]/2)*9/100),2)</f>
        <v>11.25</v>
      </c>
      <c r="G23">
        <f>lpg[[#This Row],[zbiornik PB95]]-lpg[[#This Row],[zuzycie PB95]]</f>
        <v>40.65</v>
      </c>
      <c r="H23">
        <f>lpg[[#This Row],[zbiornik LPG]]-lpg[[#This Row],[zyzucie lpg]]</f>
        <v>18.75</v>
      </c>
      <c r="I23">
        <f>IF(lpg[[#This Row],[dzien]]=4,IF(lpg[[#This Row],[pb po trasie]]&lt;40,45-lpg[[#This Row],[pb po trasie]],0),0)</f>
        <v>0</v>
      </c>
      <c r="J23">
        <f>IF(lpg[[#This Row],[lpg po trasie]]&lt;5,30-lpg[[#This Row],[lpg po trasie]],0)</f>
        <v>0</v>
      </c>
      <c r="K23">
        <f>WEEKDAY(lpg[[#This Row],[data]],2)</f>
        <v>3</v>
      </c>
      <c r="O23" s="1">
        <v>41661</v>
      </c>
      <c r="P23">
        <v>125</v>
      </c>
      <c r="Q23">
        <f>U22+W22</f>
        <v>40.65</v>
      </c>
      <c r="R23">
        <f>V22+X22</f>
        <v>30</v>
      </c>
      <c r="S23">
        <f>ROUND(IF(lpg_3[[#This Row],[zbiornik LPG]]&gt;15,0,(lpg_3[[#This Row],[km]]/2)*6/100),2)</f>
        <v>0</v>
      </c>
      <c r="T23">
        <f>ROUND(IF(lpg_3[[#This Row],[zbiornik LPG]]&gt;15,lpg_3[[#This Row],[km]]*9/100,(lpg_3[[#This Row],[km]]/2)*9/100),2)</f>
        <v>11.25</v>
      </c>
      <c r="U23">
        <f>lpg_3[[#This Row],[zbiornik PB95]]-lpg_3[[#This Row],[zuzycie PB95]]</f>
        <v>40.65</v>
      </c>
      <c r="V23">
        <f>lpg_3[[#This Row],[zbiornik LPG]]-lpg_3[[#This Row],[zyzucie lpg]]</f>
        <v>18.75</v>
      </c>
      <c r="W23">
        <f>IF(lpg_3[[#This Row],[dzien]]=4,IF(lpg_3[[#This Row],[pb po trasie]]&lt;40,45-lpg_3[[#This Row],[pb po trasie]],0),0)</f>
        <v>0</v>
      </c>
      <c r="X23">
        <f>IF(lpg_3[[#This Row],[lpg po trasie]]&lt;5,30-lpg_3[[#This Row],[lpg po trasie]],0)</f>
        <v>0</v>
      </c>
      <c r="Y23">
        <f>WEEKDAY(lpg_3[[#This Row],[data]],2)</f>
        <v>3</v>
      </c>
    </row>
    <row r="24" spans="1:25" x14ac:dyDescent="0.25">
      <c r="A24" s="1">
        <v>41662</v>
      </c>
      <c r="B24">
        <v>76</v>
      </c>
      <c r="C24">
        <f>G23+I23</f>
        <v>40.65</v>
      </c>
      <c r="D24">
        <f>H23+J23</f>
        <v>18.75</v>
      </c>
      <c r="E24">
        <f>ROUND(IF(lpg[[#This Row],[zbiornik LPG]]&gt;15,0,(lpg[[#This Row],[km]]/2)*6/100),2)</f>
        <v>0</v>
      </c>
      <c r="F24">
        <f>ROUND(IF(lpg[[#This Row],[zbiornik LPG]]&gt;15,lpg[[#This Row],[km]]*9/100,(lpg[[#This Row],[km]]/2)*9/100),2)</f>
        <v>6.84</v>
      </c>
      <c r="G24">
        <f>lpg[[#This Row],[zbiornik PB95]]-lpg[[#This Row],[zuzycie PB95]]</f>
        <v>40.65</v>
      </c>
      <c r="H24">
        <f>lpg[[#This Row],[zbiornik LPG]]-lpg[[#This Row],[zyzucie lpg]]</f>
        <v>11.91</v>
      </c>
      <c r="I24">
        <f>IF(lpg[[#This Row],[dzien]]=4,IF(lpg[[#This Row],[pb po trasie]]&lt;40,45-lpg[[#This Row],[pb po trasie]],0),0)</f>
        <v>0</v>
      </c>
      <c r="J24">
        <f>IF(lpg[[#This Row],[lpg po trasie]]&lt;5,30-lpg[[#This Row],[lpg po trasie]],0)</f>
        <v>0</v>
      </c>
      <c r="K24">
        <f>WEEKDAY(lpg[[#This Row],[data]],2)</f>
        <v>4</v>
      </c>
      <c r="O24" s="1">
        <v>41662</v>
      </c>
      <c r="P24">
        <v>76</v>
      </c>
      <c r="Q24">
        <f>U23+W23</f>
        <v>40.65</v>
      </c>
      <c r="R24">
        <f>V23+X23</f>
        <v>18.75</v>
      </c>
      <c r="S24">
        <f>ROUND(IF(lpg_3[[#This Row],[zbiornik LPG]]&gt;15,0,(lpg_3[[#This Row],[km]]/2)*6/100),2)</f>
        <v>0</v>
      </c>
      <c r="T24">
        <f>ROUND(IF(lpg_3[[#This Row],[zbiornik LPG]]&gt;15,lpg_3[[#This Row],[km]]*9/100,(lpg_3[[#This Row],[km]]/2)*9/100),2)</f>
        <v>6.84</v>
      </c>
      <c r="U24">
        <f>lpg_3[[#This Row],[zbiornik PB95]]-lpg_3[[#This Row],[zuzycie PB95]]</f>
        <v>40.65</v>
      </c>
      <c r="V24">
        <f>lpg_3[[#This Row],[zbiornik LPG]]-lpg_3[[#This Row],[zyzucie lpg]]</f>
        <v>11.91</v>
      </c>
      <c r="W24">
        <f>IF(lpg_3[[#This Row],[dzien]]=4,IF(lpg_3[[#This Row],[pb po trasie]]&lt;40,45-lpg_3[[#This Row],[pb po trasie]],0),0)</f>
        <v>0</v>
      </c>
      <c r="X24">
        <f>IF(lpg_3[[#This Row],[lpg po trasie]]&lt;5,30-lpg_3[[#This Row],[lpg po trasie]],0)</f>
        <v>0</v>
      </c>
      <c r="Y24">
        <f>WEEKDAY(lpg_3[[#This Row],[data]],2)</f>
        <v>4</v>
      </c>
    </row>
    <row r="25" spans="1:25" x14ac:dyDescent="0.25">
      <c r="A25" s="1">
        <v>41663</v>
      </c>
      <c r="B25">
        <v>125</v>
      </c>
      <c r="C25">
        <f>G24+I24</f>
        <v>40.65</v>
      </c>
      <c r="D25">
        <f>H24+J24</f>
        <v>11.91</v>
      </c>
      <c r="E25">
        <f>ROUND(IF(lpg[[#This Row],[zbiornik LPG]]&gt;15,0,(lpg[[#This Row],[km]]/2)*6/100),2)</f>
        <v>3.75</v>
      </c>
      <c r="F25">
        <f>ROUND(IF(lpg[[#This Row],[zbiornik LPG]]&gt;15,lpg[[#This Row],[km]]*9/100,(lpg[[#This Row],[km]]/2)*9/100),2)</f>
        <v>5.63</v>
      </c>
      <c r="G25">
        <f>lpg[[#This Row],[zbiornik PB95]]-lpg[[#This Row],[zuzycie PB95]]</f>
        <v>36.9</v>
      </c>
      <c r="H25">
        <f>lpg[[#This Row],[zbiornik LPG]]-lpg[[#This Row],[zyzucie lpg]]</f>
        <v>6.28</v>
      </c>
      <c r="I25">
        <f>IF(lpg[[#This Row],[dzien]]=4,IF(lpg[[#This Row],[pb po trasie]]&lt;40,45-lpg[[#This Row],[pb po trasie]],0),0)</f>
        <v>0</v>
      </c>
      <c r="J25">
        <f>IF(lpg[[#This Row],[lpg po trasie]]&lt;5,30-lpg[[#This Row],[lpg po trasie]],0)</f>
        <v>0</v>
      </c>
      <c r="K25">
        <f>WEEKDAY(lpg[[#This Row],[data]],2)</f>
        <v>5</v>
      </c>
      <c r="O25" s="1">
        <v>41663</v>
      </c>
      <c r="P25">
        <v>125</v>
      </c>
      <c r="Q25">
        <f>U24+W24</f>
        <v>40.65</v>
      </c>
      <c r="R25">
        <f>V24+X24</f>
        <v>11.91</v>
      </c>
      <c r="S25">
        <f>ROUND(IF(lpg_3[[#This Row],[zbiornik LPG]]&gt;15,0,(lpg_3[[#This Row],[km]]/2)*6/100),2)</f>
        <v>3.75</v>
      </c>
      <c r="T25">
        <f>ROUND(IF(lpg_3[[#This Row],[zbiornik LPG]]&gt;15,lpg_3[[#This Row],[km]]*9/100,(lpg_3[[#This Row],[km]]/2)*9/100),2)</f>
        <v>5.63</v>
      </c>
      <c r="U25">
        <f>lpg_3[[#This Row],[zbiornik PB95]]-lpg_3[[#This Row],[zuzycie PB95]]</f>
        <v>36.9</v>
      </c>
      <c r="V25">
        <f>lpg_3[[#This Row],[zbiornik LPG]]-lpg_3[[#This Row],[zyzucie lpg]]</f>
        <v>6.28</v>
      </c>
      <c r="W25">
        <f>IF(lpg_3[[#This Row],[dzien]]=4,IF(lpg_3[[#This Row],[pb po trasie]]&lt;40,45-lpg_3[[#This Row],[pb po trasie]],0),0)</f>
        <v>0</v>
      </c>
      <c r="X25">
        <f>IF(lpg_3[[#This Row],[lpg po trasie]]&lt;5,30-lpg_3[[#This Row],[lpg po trasie]],0)</f>
        <v>0</v>
      </c>
      <c r="Y25">
        <f>WEEKDAY(lpg_3[[#This Row],[data]],2)</f>
        <v>5</v>
      </c>
    </row>
    <row r="26" spans="1:25" x14ac:dyDescent="0.25">
      <c r="A26" s="1">
        <v>41664</v>
      </c>
      <c r="B26">
        <v>23</v>
      </c>
      <c r="C26">
        <f>G25+I25</f>
        <v>36.9</v>
      </c>
      <c r="D26">
        <f>H25+J25</f>
        <v>6.28</v>
      </c>
      <c r="E26">
        <f>ROUND(IF(lpg[[#This Row],[zbiornik LPG]]&gt;15,0,(lpg[[#This Row],[km]]/2)*6/100),2)</f>
        <v>0.69</v>
      </c>
      <c r="F26">
        <f>ROUND(IF(lpg[[#This Row],[zbiornik LPG]]&gt;15,lpg[[#This Row],[km]]*9/100,(lpg[[#This Row],[km]]/2)*9/100),2)</f>
        <v>1.04</v>
      </c>
      <c r="G26">
        <f>lpg[[#This Row],[zbiornik PB95]]-lpg[[#This Row],[zuzycie PB95]]</f>
        <v>36.21</v>
      </c>
      <c r="H26">
        <f>lpg[[#This Row],[zbiornik LPG]]-lpg[[#This Row],[zyzucie lpg]]</f>
        <v>5.24</v>
      </c>
      <c r="I26">
        <f>IF(lpg[[#This Row],[dzien]]=4,IF(lpg[[#This Row],[pb po trasie]]&lt;40,45-lpg[[#This Row],[pb po trasie]],0),0)</f>
        <v>0</v>
      </c>
      <c r="J26">
        <f>IF(lpg[[#This Row],[lpg po trasie]]&lt;5,30-lpg[[#This Row],[lpg po trasie]],0)</f>
        <v>0</v>
      </c>
      <c r="K26">
        <f>WEEKDAY(lpg[[#This Row],[data]],2)</f>
        <v>6</v>
      </c>
      <c r="O26" s="1">
        <v>41664</v>
      </c>
      <c r="P26">
        <v>23</v>
      </c>
      <c r="Q26">
        <f>U25+W25</f>
        <v>36.9</v>
      </c>
      <c r="R26">
        <f>V25+X25</f>
        <v>6.28</v>
      </c>
      <c r="S26">
        <f>ROUND(IF(lpg_3[[#This Row],[zbiornik LPG]]&gt;15,0,(lpg_3[[#This Row],[km]]/2)*6/100),2)</f>
        <v>0.69</v>
      </c>
      <c r="T26">
        <f>ROUND(IF(lpg_3[[#This Row],[zbiornik LPG]]&gt;15,lpg_3[[#This Row],[km]]*9/100,(lpg_3[[#This Row],[km]]/2)*9/100),2)</f>
        <v>1.04</v>
      </c>
      <c r="U26">
        <f>lpg_3[[#This Row],[zbiornik PB95]]-lpg_3[[#This Row],[zuzycie PB95]]</f>
        <v>36.21</v>
      </c>
      <c r="V26">
        <f>lpg_3[[#This Row],[zbiornik LPG]]-lpg_3[[#This Row],[zyzucie lpg]]</f>
        <v>5.24</v>
      </c>
      <c r="W26">
        <f>IF(lpg_3[[#This Row],[dzien]]=4,IF(lpg_3[[#This Row],[pb po trasie]]&lt;40,45-lpg_3[[#This Row],[pb po trasie]],0),0)</f>
        <v>0</v>
      </c>
      <c r="X26">
        <f>IF(lpg_3[[#This Row],[lpg po trasie]]&lt;5,30-lpg_3[[#This Row],[lpg po trasie]],0)</f>
        <v>0</v>
      </c>
      <c r="Y26">
        <f>WEEKDAY(lpg_3[[#This Row],[data]],2)</f>
        <v>6</v>
      </c>
    </row>
    <row r="27" spans="1:25" x14ac:dyDescent="0.25">
      <c r="A27" s="1">
        <v>41665</v>
      </c>
      <c r="B27">
        <v>93</v>
      </c>
      <c r="C27">
        <f>G26+I26</f>
        <v>36.21</v>
      </c>
      <c r="D27">
        <f>H26+J26</f>
        <v>5.24</v>
      </c>
      <c r="E27">
        <f>ROUND(IF(lpg[[#This Row],[zbiornik LPG]]&gt;15,0,(lpg[[#This Row],[km]]/2)*6/100),2)</f>
        <v>2.79</v>
      </c>
      <c r="F27">
        <f>ROUND(IF(lpg[[#This Row],[zbiornik LPG]]&gt;15,lpg[[#This Row],[km]]*9/100,(lpg[[#This Row],[km]]/2)*9/100),2)</f>
        <v>4.1900000000000004</v>
      </c>
      <c r="G27">
        <f>lpg[[#This Row],[zbiornik PB95]]-lpg[[#This Row],[zuzycie PB95]]</f>
        <v>33.42</v>
      </c>
      <c r="H27">
        <f>lpg[[#This Row],[zbiornik LPG]]-lpg[[#This Row],[zyzucie lpg]]</f>
        <v>1.0499999999999998</v>
      </c>
      <c r="I27">
        <f>IF(lpg[[#This Row],[dzien]]=4,IF(lpg[[#This Row],[pb po trasie]]&lt;40,45-lpg[[#This Row],[pb po trasie]],0),0)</f>
        <v>0</v>
      </c>
      <c r="J27">
        <f>IF(lpg[[#This Row],[lpg po trasie]]&lt;5,30-lpg[[#This Row],[lpg po trasie]],0)</f>
        <v>28.95</v>
      </c>
      <c r="K27">
        <f>WEEKDAY(lpg[[#This Row],[data]],2)</f>
        <v>7</v>
      </c>
      <c r="O27" s="1">
        <v>41665</v>
      </c>
      <c r="P27">
        <v>93</v>
      </c>
      <c r="Q27">
        <f>U26+W26</f>
        <v>36.21</v>
      </c>
      <c r="R27">
        <f>V26+X26</f>
        <v>5.24</v>
      </c>
      <c r="S27">
        <f>ROUND(IF(lpg_3[[#This Row],[zbiornik LPG]]&gt;15,0,(lpg_3[[#This Row],[km]]/2)*6/100),2)</f>
        <v>2.79</v>
      </c>
      <c r="T27">
        <f>ROUND(IF(lpg_3[[#This Row],[zbiornik LPG]]&gt;15,lpg_3[[#This Row],[km]]*9/100,(lpg_3[[#This Row],[km]]/2)*9/100),2)</f>
        <v>4.1900000000000004</v>
      </c>
      <c r="U27">
        <f>lpg_3[[#This Row],[zbiornik PB95]]-lpg_3[[#This Row],[zuzycie PB95]]</f>
        <v>33.42</v>
      </c>
      <c r="V27">
        <f>lpg_3[[#This Row],[zbiornik LPG]]-lpg_3[[#This Row],[zyzucie lpg]]</f>
        <v>1.0499999999999998</v>
      </c>
      <c r="W27">
        <f>IF(lpg_3[[#This Row],[dzien]]=4,IF(lpg_3[[#This Row],[pb po trasie]]&lt;40,45-lpg_3[[#This Row],[pb po trasie]],0),0)</f>
        <v>0</v>
      </c>
      <c r="X27">
        <f>IF(lpg_3[[#This Row],[lpg po trasie]]&lt;5,30-lpg_3[[#This Row],[lpg po trasie]],0)</f>
        <v>28.95</v>
      </c>
      <c r="Y27">
        <f>WEEKDAY(lpg_3[[#This Row],[data]],2)</f>
        <v>7</v>
      </c>
    </row>
    <row r="28" spans="1:25" x14ac:dyDescent="0.25">
      <c r="A28" s="1">
        <v>41666</v>
      </c>
      <c r="B28">
        <v>111</v>
      </c>
      <c r="C28">
        <f>G27+I27</f>
        <v>33.42</v>
      </c>
      <c r="D28">
        <f>H27+J27</f>
        <v>30</v>
      </c>
      <c r="E28">
        <f>ROUND(IF(lpg[[#This Row],[zbiornik LPG]]&gt;15,0,(lpg[[#This Row],[km]]/2)*6/100),2)</f>
        <v>0</v>
      </c>
      <c r="F28">
        <f>ROUND(IF(lpg[[#This Row],[zbiornik LPG]]&gt;15,lpg[[#This Row],[km]]*9/100,(lpg[[#This Row],[km]]/2)*9/100),2)</f>
        <v>9.99</v>
      </c>
      <c r="G28">
        <f>lpg[[#This Row],[zbiornik PB95]]-lpg[[#This Row],[zuzycie PB95]]</f>
        <v>33.42</v>
      </c>
      <c r="H28">
        <f>lpg[[#This Row],[zbiornik LPG]]-lpg[[#This Row],[zyzucie lpg]]</f>
        <v>20.009999999999998</v>
      </c>
      <c r="I28">
        <f>IF(lpg[[#This Row],[dzien]]=4,IF(lpg[[#This Row],[pb po trasie]]&lt;40,45-lpg[[#This Row],[pb po trasie]],0),0)</f>
        <v>0</v>
      </c>
      <c r="J28">
        <f>IF(lpg[[#This Row],[lpg po trasie]]&lt;5,30-lpg[[#This Row],[lpg po trasie]],0)</f>
        <v>0</v>
      </c>
      <c r="K28">
        <f>WEEKDAY(lpg[[#This Row],[data]],2)</f>
        <v>1</v>
      </c>
      <c r="O28" s="1">
        <v>41666</v>
      </c>
      <c r="P28">
        <v>111</v>
      </c>
      <c r="Q28">
        <f>U27+W27</f>
        <v>33.42</v>
      </c>
      <c r="R28">
        <f>V27+X27</f>
        <v>30</v>
      </c>
      <c r="S28">
        <f>ROUND(IF(lpg_3[[#This Row],[zbiornik LPG]]&gt;15,0,(lpg_3[[#This Row],[km]]/2)*6/100),2)</f>
        <v>0</v>
      </c>
      <c r="T28">
        <f>ROUND(IF(lpg_3[[#This Row],[zbiornik LPG]]&gt;15,lpg_3[[#This Row],[km]]*9/100,(lpg_3[[#This Row],[km]]/2)*9/100),2)</f>
        <v>9.99</v>
      </c>
      <c r="U28">
        <f>lpg_3[[#This Row],[zbiornik PB95]]-lpg_3[[#This Row],[zuzycie PB95]]</f>
        <v>33.42</v>
      </c>
      <c r="V28">
        <f>lpg_3[[#This Row],[zbiornik LPG]]-lpg_3[[#This Row],[zyzucie lpg]]</f>
        <v>20.009999999999998</v>
      </c>
      <c r="W28">
        <f>IF(lpg_3[[#This Row],[dzien]]=4,IF(lpg_3[[#This Row],[pb po trasie]]&lt;40,45-lpg_3[[#This Row],[pb po trasie]],0),0)</f>
        <v>0</v>
      </c>
      <c r="X28">
        <f>IF(lpg_3[[#This Row],[lpg po trasie]]&lt;5,30-lpg_3[[#This Row],[lpg po trasie]],0)</f>
        <v>0</v>
      </c>
      <c r="Y28">
        <f>WEEKDAY(lpg_3[[#This Row],[data]],2)</f>
        <v>1</v>
      </c>
    </row>
    <row r="29" spans="1:25" x14ac:dyDescent="0.25">
      <c r="A29" s="1">
        <v>41667</v>
      </c>
      <c r="B29">
        <v>52</v>
      </c>
      <c r="C29">
        <f>G28+I28</f>
        <v>33.42</v>
      </c>
      <c r="D29">
        <f>H28+J28</f>
        <v>20.009999999999998</v>
      </c>
      <c r="E29">
        <f>ROUND(IF(lpg[[#This Row],[zbiornik LPG]]&gt;15,0,(lpg[[#This Row],[km]]/2)*6/100),2)</f>
        <v>0</v>
      </c>
      <c r="F29">
        <f>ROUND(IF(lpg[[#This Row],[zbiornik LPG]]&gt;15,lpg[[#This Row],[km]]*9/100,(lpg[[#This Row],[km]]/2)*9/100),2)</f>
        <v>4.68</v>
      </c>
      <c r="G29">
        <f>lpg[[#This Row],[zbiornik PB95]]-lpg[[#This Row],[zuzycie PB95]]</f>
        <v>33.42</v>
      </c>
      <c r="H29">
        <f>lpg[[#This Row],[zbiornik LPG]]-lpg[[#This Row],[zyzucie lpg]]</f>
        <v>15.329999999999998</v>
      </c>
      <c r="I29">
        <f>IF(lpg[[#This Row],[dzien]]=4,IF(lpg[[#This Row],[pb po trasie]]&lt;40,45-lpg[[#This Row],[pb po trasie]],0),0)</f>
        <v>0</v>
      </c>
      <c r="J29">
        <f>IF(lpg[[#This Row],[lpg po trasie]]&lt;5,30-lpg[[#This Row],[lpg po trasie]],0)</f>
        <v>0</v>
      </c>
      <c r="K29">
        <f>WEEKDAY(lpg[[#This Row],[data]],2)</f>
        <v>2</v>
      </c>
      <c r="O29" s="1">
        <v>41667</v>
      </c>
      <c r="P29">
        <v>52</v>
      </c>
      <c r="Q29">
        <f>U28+W28</f>
        <v>33.42</v>
      </c>
      <c r="R29">
        <f>V28+X28</f>
        <v>20.009999999999998</v>
      </c>
      <c r="S29">
        <f>ROUND(IF(lpg_3[[#This Row],[zbiornik LPG]]&gt;15,0,(lpg_3[[#This Row],[km]]/2)*6/100),2)</f>
        <v>0</v>
      </c>
      <c r="T29">
        <f>ROUND(IF(lpg_3[[#This Row],[zbiornik LPG]]&gt;15,lpg_3[[#This Row],[km]]*9/100,(lpg_3[[#This Row],[km]]/2)*9/100),2)</f>
        <v>4.68</v>
      </c>
      <c r="U29">
        <f>lpg_3[[#This Row],[zbiornik PB95]]-lpg_3[[#This Row],[zuzycie PB95]]</f>
        <v>33.42</v>
      </c>
      <c r="V29">
        <f>lpg_3[[#This Row],[zbiornik LPG]]-lpg_3[[#This Row],[zyzucie lpg]]</f>
        <v>15.329999999999998</v>
      </c>
      <c r="W29">
        <f>IF(lpg_3[[#This Row],[dzien]]=4,IF(lpg_3[[#This Row],[pb po trasie]]&lt;40,45-lpg_3[[#This Row],[pb po trasie]],0),0)</f>
        <v>0</v>
      </c>
      <c r="X29">
        <f>IF(lpg_3[[#This Row],[lpg po trasie]]&lt;5,30-lpg_3[[#This Row],[lpg po trasie]],0)</f>
        <v>0</v>
      </c>
      <c r="Y29">
        <f>WEEKDAY(lpg_3[[#This Row],[data]],2)</f>
        <v>2</v>
      </c>
    </row>
    <row r="30" spans="1:25" x14ac:dyDescent="0.25">
      <c r="A30" s="1">
        <v>41668</v>
      </c>
      <c r="B30">
        <v>65</v>
      </c>
      <c r="C30">
        <f>G29+I29</f>
        <v>33.42</v>
      </c>
      <c r="D30">
        <f>H29+J29</f>
        <v>15.329999999999998</v>
      </c>
      <c r="E30">
        <f>ROUND(IF(lpg[[#This Row],[zbiornik LPG]]&gt;15,0,(lpg[[#This Row],[km]]/2)*6/100),2)</f>
        <v>0</v>
      </c>
      <c r="F30">
        <f>ROUND(IF(lpg[[#This Row],[zbiornik LPG]]&gt;15,lpg[[#This Row],[km]]*9/100,(lpg[[#This Row],[km]]/2)*9/100),2)</f>
        <v>5.85</v>
      </c>
      <c r="G30">
        <f>lpg[[#This Row],[zbiornik PB95]]-lpg[[#This Row],[zuzycie PB95]]</f>
        <v>33.42</v>
      </c>
      <c r="H30">
        <f>lpg[[#This Row],[zbiornik LPG]]-lpg[[#This Row],[zyzucie lpg]]</f>
        <v>9.4799999999999986</v>
      </c>
      <c r="I30">
        <f>IF(lpg[[#This Row],[dzien]]=4,IF(lpg[[#This Row],[pb po trasie]]&lt;40,45-lpg[[#This Row],[pb po trasie]],0),0)</f>
        <v>0</v>
      </c>
      <c r="J30">
        <f>IF(lpg[[#This Row],[lpg po trasie]]&lt;5,30-lpg[[#This Row],[lpg po trasie]],0)</f>
        <v>0</v>
      </c>
      <c r="K30">
        <f>WEEKDAY(lpg[[#This Row],[data]],2)</f>
        <v>3</v>
      </c>
      <c r="O30" s="1">
        <v>41668</v>
      </c>
      <c r="P30">
        <v>65</v>
      </c>
      <c r="Q30">
        <f>U29+W29</f>
        <v>33.42</v>
      </c>
      <c r="R30">
        <f>V29+X29</f>
        <v>15.329999999999998</v>
      </c>
      <c r="S30">
        <f>ROUND(IF(lpg_3[[#This Row],[zbiornik LPG]]&gt;15,0,(lpg_3[[#This Row],[km]]/2)*6/100),2)</f>
        <v>0</v>
      </c>
      <c r="T30">
        <f>ROUND(IF(lpg_3[[#This Row],[zbiornik LPG]]&gt;15,lpg_3[[#This Row],[km]]*9/100,(lpg_3[[#This Row],[km]]/2)*9/100),2)</f>
        <v>5.85</v>
      </c>
      <c r="U30">
        <f>lpg_3[[#This Row],[zbiornik PB95]]-lpg_3[[#This Row],[zuzycie PB95]]</f>
        <v>33.42</v>
      </c>
      <c r="V30">
        <f>lpg_3[[#This Row],[zbiornik LPG]]-lpg_3[[#This Row],[zyzucie lpg]]</f>
        <v>9.4799999999999986</v>
      </c>
      <c r="W30">
        <f>IF(lpg_3[[#This Row],[dzien]]=4,IF(lpg_3[[#This Row],[pb po trasie]]&lt;40,45-lpg_3[[#This Row],[pb po trasie]],0),0)</f>
        <v>0</v>
      </c>
      <c r="X30">
        <f>IF(lpg_3[[#This Row],[lpg po trasie]]&lt;5,30-lpg_3[[#This Row],[lpg po trasie]],0)</f>
        <v>0</v>
      </c>
      <c r="Y30">
        <f>WEEKDAY(lpg_3[[#This Row],[data]],2)</f>
        <v>3</v>
      </c>
    </row>
    <row r="31" spans="1:25" x14ac:dyDescent="0.25">
      <c r="A31" s="1">
        <v>41669</v>
      </c>
      <c r="B31">
        <v>120</v>
      </c>
      <c r="C31">
        <f>G30+I30</f>
        <v>33.42</v>
      </c>
      <c r="D31">
        <f>H30+J30</f>
        <v>9.4799999999999986</v>
      </c>
      <c r="E31">
        <f>ROUND(IF(lpg[[#This Row],[zbiornik LPG]]&gt;15,0,(lpg[[#This Row],[km]]/2)*6/100),2)</f>
        <v>3.6</v>
      </c>
      <c r="F31">
        <f>ROUND(IF(lpg[[#This Row],[zbiornik LPG]]&gt;15,lpg[[#This Row],[km]]*9/100,(lpg[[#This Row],[km]]/2)*9/100),2)</f>
        <v>5.4</v>
      </c>
      <c r="G31">
        <f>lpg[[#This Row],[zbiornik PB95]]-lpg[[#This Row],[zuzycie PB95]]</f>
        <v>29.82</v>
      </c>
      <c r="H31">
        <f>lpg[[#This Row],[zbiornik LPG]]-lpg[[#This Row],[zyzucie lpg]]</f>
        <v>4.0799999999999983</v>
      </c>
      <c r="I31">
        <f>IF(lpg[[#This Row],[dzien]]=4,IF(lpg[[#This Row],[pb po trasie]]&lt;40,45-lpg[[#This Row],[pb po trasie]],0),0)</f>
        <v>15.18</v>
      </c>
      <c r="J31">
        <f>IF(lpg[[#This Row],[lpg po trasie]]&lt;5,30-lpg[[#This Row],[lpg po trasie]],0)</f>
        <v>25.92</v>
      </c>
      <c r="K31">
        <f>WEEKDAY(lpg[[#This Row],[data]],2)</f>
        <v>4</v>
      </c>
      <c r="O31" s="1">
        <v>41669</v>
      </c>
      <c r="P31">
        <v>120</v>
      </c>
      <c r="Q31">
        <f>U30+W30</f>
        <v>33.42</v>
      </c>
      <c r="R31">
        <f>V30+X30</f>
        <v>9.4799999999999986</v>
      </c>
      <c r="S31">
        <f>ROUND(IF(lpg_3[[#This Row],[zbiornik LPG]]&gt;15,0,(lpg_3[[#This Row],[km]]/2)*6/100),2)</f>
        <v>3.6</v>
      </c>
      <c r="T31">
        <f>ROUND(IF(lpg_3[[#This Row],[zbiornik LPG]]&gt;15,lpg_3[[#This Row],[km]]*9/100,(lpg_3[[#This Row],[km]]/2)*9/100),2)</f>
        <v>5.4</v>
      </c>
      <c r="U31">
        <f>lpg_3[[#This Row],[zbiornik PB95]]-lpg_3[[#This Row],[zuzycie PB95]]</f>
        <v>29.82</v>
      </c>
      <c r="V31">
        <f>lpg_3[[#This Row],[zbiornik LPG]]-lpg_3[[#This Row],[zyzucie lpg]]</f>
        <v>4.0799999999999983</v>
      </c>
      <c r="W31">
        <f>IF(lpg_3[[#This Row],[dzien]]=4,IF(lpg_3[[#This Row],[pb po trasie]]&lt;40,45-lpg_3[[#This Row],[pb po trasie]],0),0)</f>
        <v>15.18</v>
      </c>
      <c r="X31">
        <f>IF(lpg_3[[#This Row],[lpg po trasie]]&lt;5,30-lpg_3[[#This Row],[lpg po trasie]],0)</f>
        <v>25.92</v>
      </c>
      <c r="Y31">
        <f>WEEKDAY(lpg_3[[#This Row],[data]],2)</f>
        <v>4</v>
      </c>
    </row>
    <row r="32" spans="1:25" x14ac:dyDescent="0.25">
      <c r="A32" s="1">
        <v>41670</v>
      </c>
      <c r="B32">
        <v>113</v>
      </c>
      <c r="C32">
        <f>G31+I31</f>
        <v>45</v>
      </c>
      <c r="D32">
        <f>H31+J31</f>
        <v>30</v>
      </c>
      <c r="E32">
        <f>ROUND(IF(lpg[[#This Row],[zbiornik LPG]]&gt;15,0,(lpg[[#This Row],[km]]/2)*6/100),2)</f>
        <v>0</v>
      </c>
      <c r="F32">
        <f>ROUND(IF(lpg[[#This Row],[zbiornik LPG]]&gt;15,lpg[[#This Row],[km]]*9/100,(lpg[[#This Row],[km]]/2)*9/100),2)</f>
        <v>10.17</v>
      </c>
      <c r="G32">
        <f>lpg[[#This Row],[zbiornik PB95]]-lpg[[#This Row],[zuzycie PB95]]</f>
        <v>45</v>
      </c>
      <c r="H32">
        <f>lpg[[#This Row],[zbiornik LPG]]-lpg[[#This Row],[zyzucie lpg]]</f>
        <v>19.829999999999998</v>
      </c>
      <c r="I32">
        <f>IF(lpg[[#This Row],[dzien]]=4,IF(lpg[[#This Row],[pb po trasie]]&lt;40,45-lpg[[#This Row],[pb po trasie]],0),0)</f>
        <v>0</v>
      </c>
      <c r="J32">
        <f>IF(lpg[[#This Row],[lpg po trasie]]&lt;5,30-lpg[[#This Row],[lpg po trasie]],0)</f>
        <v>0</v>
      </c>
      <c r="K32">
        <f>WEEKDAY(lpg[[#This Row],[data]],2)</f>
        <v>5</v>
      </c>
      <c r="O32" s="1">
        <v>41670</v>
      </c>
      <c r="P32">
        <v>113</v>
      </c>
      <c r="Q32">
        <f>U31+W31</f>
        <v>45</v>
      </c>
      <c r="R32">
        <f>V31+X31</f>
        <v>30</v>
      </c>
      <c r="S32">
        <f>ROUND(IF(lpg_3[[#This Row],[zbiornik LPG]]&gt;15,0,(lpg_3[[#This Row],[km]]/2)*6/100),2)</f>
        <v>0</v>
      </c>
      <c r="T32">
        <f>ROUND(IF(lpg_3[[#This Row],[zbiornik LPG]]&gt;15,lpg_3[[#This Row],[km]]*9/100,(lpg_3[[#This Row],[km]]/2)*9/100),2)</f>
        <v>10.17</v>
      </c>
      <c r="U32">
        <f>lpg_3[[#This Row],[zbiornik PB95]]-lpg_3[[#This Row],[zuzycie PB95]]</f>
        <v>45</v>
      </c>
      <c r="V32">
        <f>lpg_3[[#This Row],[zbiornik LPG]]-lpg_3[[#This Row],[zyzucie lpg]]</f>
        <v>19.829999999999998</v>
      </c>
      <c r="W32">
        <f>IF(lpg_3[[#This Row],[dzien]]=4,IF(lpg_3[[#This Row],[pb po trasie]]&lt;40,45-lpg_3[[#This Row],[pb po trasie]],0),0)</f>
        <v>0</v>
      </c>
      <c r="X32">
        <f>IF(lpg_3[[#This Row],[lpg po trasie]]&lt;5,30-lpg_3[[#This Row],[lpg po trasie]],0)</f>
        <v>0</v>
      </c>
      <c r="Y32">
        <f>WEEKDAY(lpg_3[[#This Row],[data]],2)</f>
        <v>5</v>
      </c>
    </row>
    <row r="33" spans="1:25" x14ac:dyDescent="0.25">
      <c r="A33" s="1">
        <v>41671</v>
      </c>
      <c r="B33">
        <v>110</v>
      </c>
      <c r="C33">
        <f>G32+I32</f>
        <v>45</v>
      </c>
      <c r="D33">
        <f>H32+J32</f>
        <v>19.829999999999998</v>
      </c>
      <c r="E33">
        <f>ROUND(IF(lpg[[#This Row],[zbiornik LPG]]&gt;15,0,(lpg[[#This Row],[km]]/2)*6/100),2)</f>
        <v>0</v>
      </c>
      <c r="F33">
        <f>ROUND(IF(lpg[[#This Row],[zbiornik LPG]]&gt;15,lpg[[#This Row],[km]]*9/100,(lpg[[#This Row],[km]]/2)*9/100),2)</f>
        <v>9.9</v>
      </c>
      <c r="G33">
        <f>lpg[[#This Row],[zbiornik PB95]]-lpg[[#This Row],[zuzycie PB95]]</f>
        <v>45</v>
      </c>
      <c r="H33">
        <f>lpg[[#This Row],[zbiornik LPG]]-lpg[[#This Row],[zyzucie lpg]]</f>
        <v>9.9299999999999979</v>
      </c>
      <c r="I33">
        <f>IF(lpg[[#This Row],[dzien]]=4,IF(lpg[[#This Row],[pb po trasie]]&lt;40,45-lpg[[#This Row],[pb po trasie]],0),0)</f>
        <v>0</v>
      </c>
      <c r="J33">
        <f>IF(lpg[[#This Row],[lpg po trasie]]&lt;5,30-lpg[[#This Row],[lpg po trasie]],0)</f>
        <v>0</v>
      </c>
      <c r="K33">
        <f>WEEKDAY(lpg[[#This Row],[data]],2)</f>
        <v>6</v>
      </c>
      <c r="O33" s="1">
        <v>41671</v>
      </c>
      <c r="P33">
        <v>110</v>
      </c>
      <c r="Q33">
        <f>U32+W32</f>
        <v>45</v>
      </c>
      <c r="R33">
        <f>V32+X32</f>
        <v>19.829999999999998</v>
      </c>
      <c r="S33">
        <f>ROUND(IF(lpg_3[[#This Row],[zbiornik LPG]]&gt;15,0,(lpg_3[[#This Row],[km]]/2)*6/100),2)</f>
        <v>0</v>
      </c>
      <c r="T33">
        <f>ROUND(IF(lpg_3[[#This Row],[zbiornik LPG]]&gt;15,lpg_3[[#This Row],[km]]*9/100,(lpg_3[[#This Row],[km]]/2)*9/100),2)</f>
        <v>9.9</v>
      </c>
      <c r="U33">
        <f>lpg_3[[#This Row],[zbiornik PB95]]-lpg_3[[#This Row],[zuzycie PB95]]</f>
        <v>45</v>
      </c>
      <c r="V33">
        <f>lpg_3[[#This Row],[zbiornik LPG]]-lpg_3[[#This Row],[zyzucie lpg]]</f>
        <v>9.9299999999999979</v>
      </c>
      <c r="W33">
        <f>IF(lpg_3[[#This Row],[dzien]]=4,IF(lpg_3[[#This Row],[pb po trasie]]&lt;40,45-lpg_3[[#This Row],[pb po trasie]],0),0)</f>
        <v>0</v>
      </c>
      <c r="X33">
        <f>IF(lpg_3[[#This Row],[lpg po trasie]]&lt;5,30-lpg_3[[#This Row],[lpg po trasie]],0)</f>
        <v>0</v>
      </c>
      <c r="Y33">
        <f>WEEKDAY(lpg_3[[#This Row],[data]],2)</f>
        <v>6</v>
      </c>
    </row>
    <row r="34" spans="1:25" x14ac:dyDescent="0.25">
      <c r="A34" s="1">
        <v>41672</v>
      </c>
      <c r="B34">
        <v>135</v>
      </c>
      <c r="C34">
        <f>G33+I33</f>
        <v>45</v>
      </c>
      <c r="D34">
        <f>H33+J33</f>
        <v>9.9299999999999979</v>
      </c>
      <c r="E34">
        <f>ROUND(IF(lpg[[#This Row],[zbiornik LPG]]&gt;15,0,(lpg[[#This Row],[km]]/2)*6/100),2)</f>
        <v>4.05</v>
      </c>
      <c r="F34">
        <f>ROUND(IF(lpg[[#This Row],[zbiornik LPG]]&gt;15,lpg[[#This Row],[km]]*9/100,(lpg[[#This Row],[km]]/2)*9/100),2)</f>
        <v>6.08</v>
      </c>
      <c r="G34">
        <f>lpg[[#This Row],[zbiornik PB95]]-lpg[[#This Row],[zuzycie PB95]]</f>
        <v>40.950000000000003</v>
      </c>
      <c r="H34">
        <f>lpg[[#This Row],[zbiornik LPG]]-lpg[[#This Row],[zyzucie lpg]]</f>
        <v>3.8499999999999979</v>
      </c>
      <c r="I34">
        <f>IF(lpg[[#This Row],[dzien]]=4,IF(lpg[[#This Row],[pb po trasie]]&lt;40,45-lpg[[#This Row],[pb po trasie]],0),0)</f>
        <v>0</v>
      </c>
      <c r="J34">
        <f>IF(lpg[[#This Row],[lpg po trasie]]&lt;5,30-lpg[[#This Row],[lpg po trasie]],0)</f>
        <v>26.150000000000002</v>
      </c>
      <c r="K34">
        <f>WEEKDAY(lpg[[#This Row],[data]],2)</f>
        <v>7</v>
      </c>
      <c r="O34" s="1">
        <v>41672</v>
      </c>
      <c r="P34">
        <v>135</v>
      </c>
      <c r="Q34">
        <f>U33+W33</f>
        <v>45</v>
      </c>
      <c r="R34">
        <f>V33+X33</f>
        <v>9.9299999999999979</v>
      </c>
      <c r="S34">
        <f>ROUND(IF(lpg_3[[#This Row],[zbiornik LPG]]&gt;15,0,(lpg_3[[#This Row],[km]]/2)*6/100),2)</f>
        <v>4.05</v>
      </c>
      <c r="T34">
        <f>ROUND(IF(lpg_3[[#This Row],[zbiornik LPG]]&gt;15,lpg_3[[#This Row],[km]]*9/100,(lpg_3[[#This Row],[km]]/2)*9/100),2)</f>
        <v>6.08</v>
      </c>
      <c r="U34">
        <f>lpg_3[[#This Row],[zbiornik PB95]]-lpg_3[[#This Row],[zuzycie PB95]]</f>
        <v>40.950000000000003</v>
      </c>
      <c r="V34">
        <f>lpg_3[[#This Row],[zbiornik LPG]]-lpg_3[[#This Row],[zyzucie lpg]]</f>
        <v>3.8499999999999979</v>
      </c>
      <c r="W34">
        <f>IF(lpg_3[[#This Row],[dzien]]=4,IF(lpg_3[[#This Row],[pb po trasie]]&lt;40,45-lpg_3[[#This Row],[pb po trasie]],0),0)</f>
        <v>0</v>
      </c>
      <c r="X34">
        <f>IF(lpg_3[[#This Row],[lpg po trasie]]&lt;5,30-lpg_3[[#This Row],[lpg po trasie]],0)</f>
        <v>26.150000000000002</v>
      </c>
      <c r="Y34">
        <f>WEEKDAY(lpg_3[[#This Row],[data]],2)</f>
        <v>7</v>
      </c>
    </row>
    <row r="35" spans="1:25" x14ac:dyDescent="0.25">
      <c r="A35" s="1">
        <v>41673</v>
      </c>
      <c r="B35">
        <v>37</v>
      </c>
      <c r="C35">
        <f>G34+I34</f>
        <v>40.950000000000003</v>
      </c>
      <c r="D35">
        <f>H34+J34</f>
        <v>30</v>
      </c>
      <c r="E35">
        <f>ROUND(IF(lpg[[#This Row],[zbiornik LPG]]&gt;15,0,(lpg[[#This Row],[km]]/2)*6/100),2)</f>
        <v>0</v>
      </c>
      <c r="F35">
        <f>ROUND(IF(lpg[[#This Row],[zbiornik LPG]]&gt;15,lpg[[#This Row],[km]]*9/100,(lpg[[#This Row],[km]]/2)*9/100),2)</f>
        <v>3.33</v>
      </c>
      <c r="G35">
        <f>lpg[[#This Row],[zbiornik PB95]]-lpg[[#This Row],[zuzycie PB95]]</f>
        <v>40.950000000000003</v>
      </c>
      <c r="H35">
        <f>lpg[[#This Row],[zbiornik LPG]]-lpg[[#This Row],[zyzucie lpg]]</f>
        <v>26.67</v>
      </c>
      <c r="I35">
        <f>IF(lpg[[#This Row],[dzien]]=4,IF(lpg[[#This Row],[pb po trasie]]&lt;40,45-lpg[[#This Row],[pb po trasie]],0),0)</f>
        <v>0</v>
      </c>
      <c r="J35">
        <f>IF(lpg[[#This Row],[lpg po trasie]]&lt;5,30-lpg[[#This Row],[lpg po trasie]],0)</f>
        <v>0</v>
      </c>
      <c r="K35">
        <f>WEEKDAY(lpg[[#This Row],[data]],2)</f>
        <v>1</v>
      </c>
      <c r="O35" s="1">
        <v>41673</v>
      </c>
      <c r="P35">
        <v>37</v>
      </c>
      <c r="Q35">
        <f>U34+W34</f>
        <v>40.950000000000003</v>
      </c>
      <c r="R35">
        <f>V34+X34</f>
        <v>30</v>
      </c>
      <c r="S35">
        <f>ROUND(IF(lpg_3[[#This Row],[zbiornik LPG]]&gt;15,0,(lpg_3[[#This Row],[km]]/2)*6/100),2)</f>
        <v>0</v>
      </c>
      <c r="T35">
        <f>ROUND(IF(lpg_3[[#This Row],[zbiornik LPG]]&gt;15,lpg_3[[#This Row],[km]]*9/100,(lpg_3[[#This Row],[km]]/2)*9/100),2)</f>
        <v>3.33</v>
      </c>
      <c r="U35">
        <f>lpg_3[[#This Row],[zbiornik PB95]]-lpg_3[[#This Row],[zuzycie PB95]]</f>
        <v>40.950000000000003</v>
      </c>
      <c r="V35">
        <f>lpg_3[[#This Row],[zbiornik LPG]]-lpg_3[[#This Row],[zyzucie lpg]]</f>
        <v>26.67</v>
      </c>
      <c r="W35">
        <f>IF(lpg_3[[#This Row],[dzien]]=4,IF(lpg_3[[#This Row],[pb po trasie]]&lt;40,45-lpg_3[[#This Row],[pb po trasie]],0),0)</f>
        <v>0</v>
      </c>
      <c r="X35">
        <f>IF(lpg_3[[#This Row],[lpg po trasie]]&lt;5,30-lpg_3[[#This Row],[lpg po trasie]],0)</f>
        <v>0</v>
      </c>
      <c r="Y35">
        <f>WEEKDAY(lpg_3[[#This Row],[data]],2)</f>
        <v>1</v>
      </c>
    </row>
    <row r="36" spans="1:25" x14ac:dyDescent="0.25">
      <c r="A36" s="1">
        <v>41674</v>
      </c>
      <c r="B36">
        <v>113</v>
      </c>
      <c r="C36">
        <f>G35+I35</f>
        <v>40.950000000000003</v>
      </c>
      <c r="D36">
        <f>H35+J35</f>
        <v>26.67</v>
      </c>
      <c r="E36">
        <f>ROUND(IF(lpg[[#This Row],[zbiornik LPG]]&gt;15,0,(lpg[[#This Row],[km]]/2)*6/100),2)</f>
        <v>0</v>
      </c>
      <c r="F36">
        <f>ROUND(IF(lpg[[#This Row],[zbiornik LPG]]&gt;15,lpg[[#This Row],[km]]*9/100,(lpg[[#This Row],[km]]/2)*9/100),2)</f>
        <v>10.17</v>
      </c>
      <c r="G36">
        <f>lpg[[#This Row],[zbiornik PB95]]-lpg[[#This Row],[zuzycie PB95]]</f>
        <v>40.950000000000003</v>
      </c>
      <c r="H36">
        <f>lpg[[#This Row],[zbiornik LPG]]-lpg[[#This Row],[zyzucie lpg]]</f>
        <v>16.5</v>
      </c>
      <c r="I36">
        <f>IF(lpg[[#This Row],[dzien]]=4,IF(lpg[[#This Row],[pb po trasie]]&lt;40,45-lpg[[#This Row],[pb po trasie]],0),0)</f>
        <v>0</v>
      </c>
      <c r="J36">
        <f>IF(lpg[[#This Row],[lpg po trasie]]&lt;5,30-lpg[[#This Row],[lpg po trasie]],0)</f>
        <v>0</v>
      </c>
      <c r="K36">
        <f>WEEKDAY(lpg[[#This Row],[data]],2)</f>
        <v>2</v>
      </c>
      <c r="O36" s="1">
        <v>41674</v>
      </c>
      <c r="P36">
        <v>113</v>
      </c>
      <c r="Q36">
        <f>U35+W35</f>
        <v>40.950000000000003</v>
      </c>
      <c r="R36">
        <f>V35+X35</f>
        <v>26.67</v>
      </c>
      <c r="S36">
        <f>ROUND(IF(lpg_3[[#This Row],[zbiornik LPG]]&gt;15,0,(lpg_3[[#This Row],[km]]/2)*6/100),2)</f>
        <v>0</v>
      </c>
      <c r="T36">
        <f>ROUND(IF(lpg_3[[#This Row],[zbiornik LPG]]&gt;15,lpg_3[[#This Row],[km]]*9/100,(lpg_3[[#This Row],[km]]/2)*9/100),2)</f>
        <v>10.17</v>
      </c>
      <c r="U36">
        <f>lpg_3[[#This Row],[zbiornik PB95]]-lpg_3[[#This Row],[zuzycie PB95]]</f>
        <v>40.950000000000003</v>
      </c>
      <c r="V36">
        <f>lpg_3[[#This Row],[zbiornik LPG]]-lpg_3[[#This Row],[zyzucie lpg]]</f>
        <v>16.5</v>
      </c>
      <c r="W36">
        <f>IF(lpg_3[[#This Row],[dzien]]=4,IF(lpg_3[[#This Row],[pb po trasie]]&lt;40,45-lpg_3[[#This Row],[pb po trasie]],0),0)</f>
        <v>0</v>
      </c>
      <c r="X36">
        <f>IF(lpg_3[[#This Row],[lpg po trasie]]&lt;5,30-lpg_3[[#This Row],[lpg po trasie]],0)</f>
        <v>0</v>
      </c>
      <c r="Y36">
        <f>WEEKDAY(lpg_3[[#This Row],[data]],2)</f>
        <v>2</v>
      </c>
    </row>
    <row r="37" spans="1:25" x14ac:dyDescent="0.25">
      <c r="A37" s="1">
        <v>41675</v>
      </c>
      <c r="B37">
        <v>79</v>
      </c>
      <c r="C37">
        <f>G36+I36</f>
        <v>40.950000000000003</v>
      </c>
      <c r="D37">
        <f>H36+J36</f>
        <v>16.5</v>
      </c>
      <c r="E37">
        <f>ROUND(IF(lpg[[#This Row],[zbiornik LPG]]&gt;15,0,(lpg[[#This Row],[km]]/2)*6/100),2)</f>
        <v>0</v>
      </c>
      <c r="F37">
        <f>ROUND(IF(lpg[[#This Row],[zbiornik LPG]]&gt;15,lpg[[#This Row],[km]]*9/100,(lpg[[#This Row],[km]]/2)*9/100),2)</f>
        <v>7.11</v>
      </c>
      <c r="G37">
        <f>lpg[[#This Row],[zbiornik PB95]]-lpg[[#This Row],[zuzycie PB95]]</f>
        <v>40.950000000000003</v>
      </c>
      <c r="H37">
        <f>lpg[[#This Row],[zbiornik LPG]]-lpg[[#This Row],[zyzucie lpg]]</f>
        <v>9.39</v>
      </c>
      <c r="I37">
        <f>IF(lpg[[#This Row],[dzien]]=4,IF(lpg[[#This Row],[pb po trasie]]&lt;40,45-lpg[[#This Row],[pb po trasie]],0),0)</f>
        <v>0</v>
      </c>
      <c r="J37">
        <f>IF(lpg[[#This Row],[lpg po trasie]]&lt;5,30-lpg[[#This Row],[lpg po trasie]],0)</f>
        <v>0</v>
      </c>
      <c r="K37">
        <f>WEEKDAY(lpg[[#This Row],[data]],2)</f>
        <v>3</v>
      </c>
      <c r="O37" s="1">
        <v>41675</v>
      </c>
      <c r="P37">
        <v>79</v>
      </c>
      <c r="Q37">
        <f>U36+W36</f>
        <v>40.950000000000003</v>
      </c>
      <c r="R37">
        <f>V36+X36</f>
        <v>16.5</v>
      </c>
      <c r="S37">
        <f>ROUND(IF(lpg_3[[#This Row],[zbiornik LPG]]&gt;15,0,(lpg_3[[#This Row],[km]]/2)*6/100),2)</f>
        <v>0</v>
      </c>
      <c r="T37">
        <f>ROUND(IF(lpg_3[[#This Row],[zbiornik LPG]]&gt;15,lpg_3[[#This Row],[km]]*9/100,(lpg_3[[#This Row],[km]]/2)*9/100),2)</f>
        <v>7.11</v>
      </c>
      <c r="U37">
        <f>lpg_3[[#This Row],[zbiornik PB95]]-lpg_3[[#This Row],[zuzycie PB95]]</f>
        <v>40.950000000000003</v>
      </c>
      <c r="V37">
        <f>lpg_3[[#This Row],[zbiornik LPG]]-lpg_3[[#This Row],[zyzucie lpg]]</f>
        <v>9.39</v>
      </c>
      <c r="W37">
        <f>IF(lpg_3[[#This Row],[dzien]]=4,IF(lpg_3[[#This Row],[pb po trasie]]&lt;40,45-lpg_3[[#This Row],[pb po trasie]],0),0)</f>
        <v>0</v>
      </c>
      <c r="X37">
        <f>IF(lpg_3[[#This Row],[lpg po trasie]]&lt;5,30-lpg_3[[#This Row],[lpg po trasie]],0)</f>
        <v>0</v>
      </c>
      <c r="Y37">
        <f>WEEKDAY(lpg_3[[#This Row],[data]],2)</f>
        <v>3</v>
      </c>
    </row>
    <row r="38" spans="1:25" x14ac:dyDescent="0.25">
      <c r="A38" s="1">
        <v>41676</v>
      </c>
      <c r="B38">
        <v>94</v>
      </c>
      <c r="C38">
        <f>G37+I37</f>
        <v>40.950000000000003</v>
      </c>
      <c r="D38">
        <f>H37+J37</f>
        <v>9.39</v>
      </c>
      <c r="E38">
        <f>ROUND(IF(lpg[[#This Row],[zbiornik LPG]]&gt;15,0,(lpg[[#This Row],[km]]/2)*6/100),2)</f>
        <v>2.82</v>
      </c>
      <c r="F38">
        <f>ROUND(IF(lpg[[#This Row],[zbiornik LPG]]&gt;15,lpg[[#This Row],[km]]*9/100,(lpg[[#This Row],[km]]/2)*9/100),2)</f>
        <v>4.2300000000000004</v>
      </c>
      <c r="G38">
        <f>lpg[[#This Row],[zbiornik PB95]]-lpg[[#This Row],[zuzycie PB95]]</f>
        <v>38.130000000000003</v>
      </c>
      <c r="H38">
        <f>lpg[[#This Row],[zbiornik LPG]]-lpg[[#This Row],[zyzucie lpg]]</f>
        <v>5.16</v>
      </c>
      <c r="I38">
        <f>IF(lpg[[#This Row],[dzien]]=4,IF(lpg[[#This Row],[pb po trasie]]&lt;40,45-lpg[[#This Row],[pb po trasie]],0),0)</f>
        <v>6.8699999999999974</v>
      </c>
      <c r="J38">
        <f>IF(lpg[[#This Row],[lpg po trasie]]&lt;5,30-lpg[[#This Row],[lpg po trasie]],0)</f>
        <v>0</v>
      </c>
      <c r="K38">
        <f>WEEKDAY(lpg[[#This Row],[data]],2)</f>
        <v>4</v>
      </c>
      <c r="O38" s="1">
        <v>41676</v>
      </c>
      <c r="P38">
        <v>94</v>
      </c>
      <c r="Q38">
        <f>U37+W37</f>
        <v>40.950000000000003</v>
      </c>
      <c r="R38">
        <f>V37+X37</f>
        <v>9.39</v>
      </c>
      <c r="S38">
        <f>ROUND(IF(lpg_3[[#This Row],[zbiornik LPG]]&gt;15,0,(lpg_3[[#This Row],[km]]/2)*6/100),2)</f>
        <v>2.82</v>
      </c>
      <c r="T38">
        <f>ROUND(IF(lpg_3[[#This Row],[zbiornik LPG]]&gt;15,lpg_3[[#This Row],[km]]*9/100,(lpg_3[[#This Row],[km]]/2)*9/100),2)</f>
        <v>4.2300000000000004</v>
      </c>
      <c r="U38">
        <f>lpg_3[[#This Row],[zbiornik PB95]]-lpg_3[[#This Row],[zuzycie PB95]]</f>
        <v>38.130000000000003</v>
      </c>
      <c r="V38">
        <f>lpg_3[[#This Row],[zbiornik LPG]]-lpg_3[[#This Row],[zyzucie lpg]]</f>
        <v>5.16</v>
      </c>
      <c r="W38">
        <f>IF(lpg_3[[#This Row],[dzien]]=4,IF(lpg_3[[#This Row],[pb po trasie]]&lt;40,45-lpg_3[[#This Row],[pb po trasie]],0),0)</f>
        <v>6.8699999999999974</v>
      </c>
      <c r="X38">
        <f>IF(lpg_3[[#This Row],[lpg po trasie]]&lt;5,30-lpg_3[[#This Row],[lpg po trasie]],0)</f>
        <v>0</v>
      </c>
      <c r="Y38">
        <f>WEEKDAY(lpg_3[[#This Row],[data]],2)</f>
        <v>4</v>
      </c>
    </row>
    <row r="39" spans="1:25" x14ac:dyDescent="0.25">
      <c r="A39" s="1">
        <v>41677</v>
      </c>
      <c r="B39">
        <v>35</v>
      </c>
      <c r="C39">
        <f>G38+I38</f>
        <v>45</v>
      </c>
      <c r="D39">
        <f>H38+J38</f>
        <v>5.16</v>
      </c>
      <c r="E39">
        <f>ROUND(IF(lpg[[#This Row],[zbiornik LPG]]&gt;15,0,(lpg[[#This Row],[km]]/2)*6/100),2)</f>
        <v>1.05</v>
      </c>
      <c r="F39">
        <f>ROUND(IF(lpg[[#This Row],[zbiornik LPG]]&gt;15,lpg[[#This Row],[km]]*9/100,(lpg[[#This Row],[km]]/2)*9/100),2)</f>
        <v>1.58</v>
      </c>
      <c r="G39">
        <f>lpg[[#This Row],[zbiornik PB95]]-lpg[[#This Row],[zuzycie PB95]]</f>
        <v>43.95</v>
      </c>
      <c r="H39">
        <f>lpg[[#This Row],[zbiornik LPG]]-lpg[[#This Row],[zyzucie lpg]]</f>
        <v>3.58</v>
      </c>
      <c r="I39">
        <f>IF(lpg[[#This Row],[dzien]]=4,IF(lpg[[#This Row],[pb po trasie]]&lt;40,45-lpg[[#This Row],[pb po trasie]],0),0)</f>
        <v>0</v>
      </c>
      <c r="J39">
        <f>IF(lpg[[#This Row],[lpg po trasie]]&lt;5,30-lpg[[#This Row],[lpg po trasie]],0)</f>
        <v>26.42</v>
      </c>
      <c r="K39">
        <f>WEEKDAY(lpg[[#This Row],[data]],2)</f>
        <v>5</v>
      </c>
      <c r="O39" s="1">
        <v>41677</v>
      </c>
      <c r="P39">
        <v>35</v>
      </c>
      <c r="Q39">
        <f>U38+W38</f>
        <v>45</v>
      </c>
      <c r="R39">
        <f>V38+X38</f>
        <v>5.16</v>
      </c>
      <c r="S39">
        <f>ROUND(IF(lpg_3[[#This Row],[zbiornik LPG]]&gt;15,0,(lpg_3[[#This Row],[km]]/2)*6/100),2)</f>
        <v>1.05</v>
      </c>
      <c r="T39">
        <f>ROUND(IF(lpg_3[[#This Row],[zbiornik LPG]]&gt;15,lpg_3[[#This Row],[km]]*9/100,(lpg_3[[#This Row],[km]]/2)*9/100),2)</f>
        <v>1.58</v>
      </c>
      <c r="U39">
        <f>lpg_3[[#This Row],[zbiornik PB95]]-lpg_3[[#This Row],[zuzycie PB95]]</f>
        <v>43.95</v>
      </c>
      <c r="V39">
        <f>lpg_3[[#This Row],[zbiornik LPG]]-lpg_3[[#This Row],[zyzucie lpg]]</f>
        <v>3.58</v>
      </c>
      <c r="W39">
        <f>IF(lpg_3[[#This Row],[dzien]]=4,IF(lpg_3[[#This Row],[pb po trasie]]&lt;40,45-lpg_3[[#This Row],[pb po trasie]],0),0)</f>
        <v>0</v>
      </c>
      <c r="X39">
        <f>IF(lpg_3[[#This Row],[lpg po trasie]]&lt;5,30-lpg_3[[#This Row],[lpg po trasie]],0)</f>
        <v>26.42</v>
      </c>
      <c r="Y39">
        <f>WEEKDAY(lpg_3[[#This Row],[data]],2)</f>
        <v>5</v>
      </c>
    </row>
    <row r="40" spans="1:25" x14ac:dyDescent="0.25">
      <c r="A40" s="1">
        <v>41678</v>
      </c>
      <c r="B40">
        <v>54</v>
      </c>
      <c r="C40">
        <f>G39+I39</f>
        <v>43.95</v>
      </c>
      <c r="D40">
        <f>H39+J39</f>
        <v>30</v>
      </c>
      <c r="E40">
        <f>ROUND(IF(lpg[[#This Row],[zbiornik LPG]]&gt;15,0,(lpg[[#This Row],[km]]/2)*6/100),2)</f>
        <v>0</v>
      </c>
      <c r="F40">
        <f>ROUND(IF(lpg[[#This Row],[zbiornik LPG]]&gt;15,lpg[[#This Row],[km]]*9/100,(lpg[[#This Row],[km]]/2)*9/100),2)</f>
        <v>4.8600000000000003</v>
      </c>
      <c r="G40">
        <f>lpg[[#This Row],[zbiornik PB95]]-lpg[[#This Row],[zuzycie PB95]]</f>
        <v>43.95</v>
      </c>
      <c r="H40">
        <f>lpg[[#This Row],[zbiornik LPG]]-lpg[[#This Row],[zyzucie lpg]]</f>
        <v>25.14</v>
      </c>
      <c r="I40">
        <f>IF(lpg[[#This Row],[dzien]]=4,IF(lpg[[#This Row],[pb po trasie]]&lt;40,45-lpg[[#This Row],[pb po trasie]],0),0)</f>
        <v>0</v>
      </c>
      <c r="J40">
        <f>IF(lpg[[#This Row],[lpg po trasie]]&lt;5,30-lpg[[#This Row],[lpg po trasie]],0)</f>
        <v>0</v>
      </c>
      <c r="K40">
        <f>WEEKDAY(lpg[[#This Row],[data]],2)</f>
        <v>6</v>
      </c>
      <c r="O40" s="1">
        <v>41678</v>
      </c>
      <c r="P40">
        <v>54</v>
      </c>
      <c r="Q40">
        <f>U39+W39</f>
        <v>43.95</v>
      </c>
      <c r="R40">
        <f>V39+X39</f>
        <v>30</v>
      </c>
      <c r="S40">
        <f>ROUND(IF(lpg_3[[#This Row],[zbiornik LPG]]&gt;15,0,(lpg_3[[#This Row],[km]]/2)*6/100),2)</f>
        <v>0</v>
      </c>
      <c r="T40">
        <f>ROUND(IF(lpg_3[[#This Row],[zbiornik LPG]]&gt;15,lpg_3[[#This Row],[km]]*9/100,(lpg_3[[#This Row],[km]]/2)*9/100),2)</f>
        <v>4.8600000000000003</v>
      </c>
      <c r="U40">
        <f>lpg_3[[#This Row],[zbiornik PB95]]-lpg_3[[#This Row],[zuzycie PB95]]</f>
        <v>43.95</v>
      </c>
      <c r="V40">
        <f>lpg_3[[#This Row],[zbiornik LPG]]-lpg_3[[#This Row],[zyzucie lpg]]</f>
        <v>25.14</v>
      </c>
      <c r="W40">
        <f>IF(lpg_3[[#This Row],[dzien]]=4,IF(lpg_3[[#This Row],[pb po trasie]]&lt;40,45-lpg_3[[#This Row],[pb po trasie]],0),0)</f>
        <v>0</v>
      </c>
      <c r="X40">
        <f>IF(lpg_3[[#This Row],[lpg po trasie]]&lt;5,30-lpg_3[[#This Row],[lpg po trasie]],0)</f>
        <v>0</v>
      </c>
      <c r="Y40">
        <f>WEEKDAY(lpg_3[[#This Row],[data]],2)</f>
        <v>6</v>
      </c>
    </row>
    <row r="41" spans="1:25" x14ac:dyDescent="0.25">
      <c r="A41" s="1">
        <v>41679</v>
      </c>
      <c r="B41">
        <v>57</v>
      </c>
      <c r="C41">
        <f>G40+I40</f>
        <v>43.95</v>
      </c>
      <c r="D41">
        <f>H40+J40</f>
        <v>25.14</v>
      </c>
      <c r="E41">
        <f>ROUND(IF(lpg[[#This Row],[zbiornik LPG]]&gt;15,0,(lpg[[#This Row],[km]]/2)*6/100),2)</f>
        <v>0</v>
      </c>
      <c r="F41">
        <f>ROUND(IF(lpg[[#This Row],[zbiornik LPG]]&gt;15,lpg[[#This Row],[km]]*9/100,(lpg[[#This Row],[km]]/2)*9/100),2)</f>
        <v>5.13</v>
      </c>
      <c r="G41">
        <f>lpg[[#This Row],[zbiornik PB95]]-lpg[[#This Row],[zuzycie PB95]]</f>
        <v>43.95</v>
      </c>
      <c r="H41">
        <f>lpg[[#This Row],[zbiornik LPG]]-lpg[[#This Row],[zyzucie lpg]]</f>
        <v>20.010000000000002</v>
      </c>
      <c r="I41">
        <f>IF(lpg[[#This Row],[dzien]]=4,IF(lpg[[#This Row],[pb po trasie]]&lt;40,45-lpg[[#This Row],[pb po trasie]],0),0)</f>
        <v>0</v>
      </c>
      <c r="J41">
        <f>IF(lpg[[#This Row],[lpg po trasie]]&lt;5,30-lpg[[#This Row],[lpg po trasie]],0)</f>
        <v>0</v>
      </c>
      <c r="K41">
        <f>WEEKDAY(lpg[[#This Row],[data]],2)</f>
        <v>7</v>
      </c>
      <c r="O41" s="1">
        <v>41679</v>
      </c>
      <c r="P41">
        <v>57</v>
      </c>
      <c r="Q41">
        <f>U40+W40</f>
        <v>43.95</v>
      </c>
      <c r="R41">
        <f>V40+X40</f>
        <v>25.14</v>
      </c>
      <c r="S41">
        <f>ROUND(IF(lpg_3[[#This Row],[zbiornik LPG]]&gt;15,0,(lpg_3[[#This Row],[km]]/2)*6/100),2)</f>
        <v>0</v>
      </c>
      <c r="T41">
        <f>ROUND(IF(lpg_3[[#This Row],[zbiornik LPG]]&gt;15,lpg_3[[#This Row],[km]]*9/100,(lpg_3[[#This Row],[km]]/2)*9/100),2)</f>
        <v>5.13</v>
      </c>
      <c r="U41">
        <f>lpg_3[[#This Row],[zbiornik PB95]]-lpg_3[[#This Row],[zuzycie PB95]]</f>
        <v>43.95</v>
      </c>
      <c r="V41">
        <f>lpg_3[[#This Row],[zbiornik LPG]]-lpg_3[[#This Row],[zyzucie lpg]]</f>
        <v>20.010000000000002</v>
      </c>
      <c r="W41">
        <f>IF(lpg_3[[#This Row],[dzien]]=4,IF(lpg_3[[#This Row],[pb po trasie]]&lt;40,45-lpg_3[[#This Row],[pb po trasie]],0),0)</f>
        <v>0</v>
      </c>
      <c r="X41">
        <f>IF(lpg_3[[#This Row],[lpg po trasie]]&lt;5,30-lpg_3[[#This Row],[lpg po trasie]],0)</f>
        <v>0</v>
      </c>
      <c r="Y41">
        <f>WEEKDAY(lpg_3[[#This Row],[data]],2)</f>
        <v>7</v>
      </c>
    </row>
    <row r="42" spans="1:25" x14ac:dyDescent="0.25">
      <c r="A42" s="1">
        <v>41680</v>
      </c>
      <c r="B42">
        <v>147</v>
      </c>
      <c r="C42">
        <f>G41+I41</f>
        <v>43.95</v>
      </c>
      <c r="D42">
        <f>H41+J41</f>
        <v>20.010000000000002</v>
      </c>
      <c r="E42">
        <f>ROUND(IF(lpg[[#This Row],[zbiornik LPG]]&gt;15,0,(lpg[[#This Row],[km]]/2)*6/100),2)</f>
        <v>0</v>
      </c>
      <c r="F42">
        <f>ROUND(IF(lpg[[#This Row],[zbiornik LPG]]&gt;15,lpg[[#This Row],[km]]*9/100,(lpg[[#This Row],[km]]/2)*9/100),2)</f>
        <v>13.23</v>
      </c>
      <c r="G42">
        <f>lpg[[#This Row],[zbiornik PB95]]-lpg[[#This Row],[zuzycie PB95]]</f>
        <v>43.95</v>
      </c>
      <c r="H42">
        <f>lpg[[#This Row],[zbiornik LPG]]-lpg[[#This Row],[zyzucie lpg]]</f>
        <v>6.7800000000000011</v>
      </c>
      <c r="I42">
        <f>IF(lpg[[#This Row],[dzien]]=4,IF(lpg[[#This Row],[pb po trasie]]&lt;40,45-lpg[[#This Row],[pb po trasie]],0),0)</f>
        <v>0</v>
      </c>
      <c r="J42">
        <f>IF(lpg[[#This Row],[lpg po trasie]]&lt;5,30-lpg[[#This Row],[lpg po trasie]],0)</f>
        <v>0</v>
      </c>
      <c r="K42">
        <f>WEEKDAY(lpg[[#This Row],[data]],2)</f>
        <v>1</v>
      </c>
      <c r="O42" s="1">
        <v>41680</v>
      </c>
      <c r="P42">
        <v>147</v>
      </c>
      <c r="Q42">
        <f>U41+W41</f>
        <v>43.95</v>
      </c>
      <c r="R42">
        <f>V41+X41</f>
        <v>20.010000000000002</v>
      </c>
      <c r="S42">
        <f>ROUND(IF(lpg_3[[#This Row],[zbiornik LPG]]&gt;15,0,(lpg_3[[#This Row],[km]]/2)*6/100),2)</f>
        <v>0</v>
      </c>
      <c r="T42">
        <f>ROUND(IF(lpg_3[[#This Row],[zbiornik LPG]]&gt;15,lpg_3[[#This Row],[km]]*9/100,(lpg_3[[#This Row],[km]]/2)*9/100),2)</f>
        <v>13.23</v>
      </c>
      <c r="U42">
        <f>lpg_3[[#This Row],[zbiornik PB95]]-lpg_3[[#This Row],[zuzycie PB95]]</f>
        <v>43.95</v>
      </c>
      <c r="V42">
        <f>lpg_3[[#This Row],[zbiornik LPG]]-lpg_3[[#This Row],[zyzucie lpg]]</f>
        <v>6.7800000000000011</v>
      </c>
      <c r="W42">
        <f>IF(lpg_3[[#This Row],[dzien]]=4,IF(lpg_3[[#This Row],[pb po trasie]]&lt;40,45-lpg_3[[#This Row],[pb po trasie]],0),0)</f>
        <v>0</v>
      </c>
      <c r="X42">
        <f>IF(lpg_3[[#This Row],[lpg po trasie]]&lt;5,30-lpg_3[[#This Row],[lpg po trasie]],0)</f>
        <v>0</v>
      </c>
      <c r="Y42">
        <f>WEEKDAY(lpg_3[[#This Row],[data]],2)</f>
        <v>1</v>
      </c>
    </row>
    <row r="43" spans="1:25" x14ac:dyDescent="0.25">
      <c r="A43" s="1">
        <v>41681</v>
      </c>
      <c r="B43">
        <v>144</v>
      </c>
      <c r="C43">
        <f>G42+I42</f>
        <v>43.95</v>
      </c>
      <c r="D43">
        <f>H42+J42</f>
        <v>6.7800000000000011</v>
      </c>
      <c r="E43">
        <f>ROUND(IF(lpg[[#This Row],[zbiornik LPG]]&gt;15,0,(lpg[[#This Row],[km]]/2)*6/100),2)</f>
        <v>4.32</v>
      </c>
      <c r="F43">
        <f>ROUND(IF(lpg[[#This Row],[zbiornik LPG]]&gt;15,lpg[[#This Row],[km]]*9/100,(lpg[[#This Row],[km]]/2)*9/100),2)</f>
        <v>6.48</v>
      </c>
      <c r="G43">
        <f>lpg[[#This Row],[zbiornik PB95]]-lpg[[#This Row],[zuzycie PB95]]</f>
        <v>39.630000000000003</v>
      </c>
      <c r="H43">
        <f>lpg[[#This Row],[zbiornik LPG]]-lpg[[#This Row],[zyzucie lpg]]</f>
        <v>0.30000000000000071</v>
      </c>
      <c r="I43">
        <f>IF(lpg[[#This Row],[dzien]]=4,IF(lpg[[#This Row],[pb po trasie]]&lt;40,45-lpg[[#This Row],[pb po trasie]],0),0)</f>
        <v>0</v>
      </c>
      <c r="J43">
        <f>IF(lpg[[#This Row],[lpg po trasie]]&lt;5,30-lpg[[#This Row],[lpg po trasie]],0)</f>
        <v>29.7</v>
      </c>
      <c r="K43">
        <f>WEEKDAY(lpg[[#This Row],[data]],2)</f>
        <v>2</v>
      </c>
      <c r="O43" s="1">
        <v>41681</v>
      </c>
      <c r="P43">
        <v>144</v>
      </c>
      <c r="Q43">
        <f>U42+W42</f>
        <v>43.95</v>
      </c>
      <c r="R43">
        <f>V42+X42</f>
        <v>6.7800000000000011</v>
      </c>
      <c r="S43">
        <f>ROUND(IF(lpg_3[[#This Row],[zbiornik LPG]]&gt;15,0,(lpg_3[[#This Row],[km]]/2)*6/100),2)</f>
        <v>4.32</v>
      </c>
      <c r="T43">
        <f>ROUND(IF(lpg_3[[#This Row],[zbiornik LPG]]&gt;15,lpg_3[[#This Row],[km]]*9/100,(lpg_3[[#This Row],[km]]/2)*9/100),2)</f>
        <v>6.48</v>
      </c>
      <c r="U43">
        <f>lpg_3[[#This Row],[zbiornik PB95]]-lpg_3[[#This Row],[zuzycie PB95]]</f>
        <v>39.630000000000003</v>
      </c>
      <c r="V43">
        <f>lpg_3[[#This Row],[zbiornik LPG]]-lpg_3[[#This Row],[zyzucie lpg]]</f>
        <v>0.30000000000000071</v>
      </c>
      <c r="W43">
        <f>IF(lpg_3[[#This Row],[dzien]]=4,IF(lpg_3[[#This Row],[pb po trasie]]&lt;40,45-lpg_3[[#This Row],[pb po trasie]],0),0)</f>
        <v>0</v>
      </c>
      <c r="X43">
        <f>IF(lpg_3[[#This Row],[lpg po trasie]]&lt;5,30-lpg_3[[#This Row],[lpg po trasie]],0)</f>
        <v>29.7</v>
      </c>
      <c r="Y43">
        <f>WEEKDAY(lpg_3[[#This Row],[data]],2)</f>
        <v>2</v>
      </c>
    </row>
    <row r="44" spans="1:25" x14ac:dyDescent="0.25">
      <c r="A44" s="1">
        <v>41682</v>
      </c>
      <c r="B44">
        <v>50</v>
      </c>
      <c r="C44">
        <f>G43+I43</f>
        <v>39.630000000000003</v>
      </c>
      <c r="D44">
        <f>H43+J43</f>
        <v>30</v>
      </c>
      <c r="E44">
        <f>ROUND(IF(lpg[[#This Row],[zbiornik LPG]]&gt;15,0,(lpg[[#This Row],[km]]/2)*6/100),2)</f>
        <v>0</v>
      </c>
      <c r="F44">
        <f>ROUND(IF(lpg[[#This Row],[zbiornik LPG]]&gt;15,lpg[[#This Row],[km]]*9/100,(lpg[[#This Row],[km]]/2)*9/100),2)</f>
        <v>4.5</v>
      </c>
      <c r="G44">
        <f>lpg[[#This Row],[zbiornik PB95]]-lpg[[#This Row],[zuzycie PB95]]</f>
        <v>39.630000000000003</v>
      </c>
      <c r="H44">
        <f>lpg[[#This Row],[zbiornik LPG]]-lpg[[#This Row],[zyzucie lpg]]</f>
        <v>25.5</v>
      </c>
      <c r="I44">
        <f>IF(lpg[[#This Row],[dzien]]=4,IF(lpg[[#This Row],[pb po trasie]]&lt;40,45-lpg[[#This Row],[pb po trasie]],0),0)</f>
        <v>0</v>
      </c>
      <c r="J44">
        <f>IF(lpg[[#This Row],[lpg po trasie]]&lt;5,30-lpg[[#This Row],[lpg po trasie]],0)</f>
        <v>0</v>
      </c>
      <c r="K44">
        <f>WEEKDAY(lpg[[#This Row],[data]],2)</f>
        <v>3</v>
      </c>
      <c r="O44" s="1">
        <v>41682</v>
      </c>
      <c r="P44">
        <v>50</v>
      </c>
      <c r="Q44">
        <f>U43+W43</f>
        <v>39.630000000000003</v>
      </c>
      <c r="R44">
        <f>V43+X43</f>
        <v>30</v>
      </c>
      <c r="S44">
        <f>ROUND(IF(lpg_3[[#This Row],[zbiornik LPG]]&gt;15,0,(lpg_3[[#This Row],[km]]/2)*6/100),2)</f>
        <v>0</v>
      </c>
      <c r="T44">
        <f>ROUND(IF(lpg_3[[#This Row],[zbiornik LPG]]&gt;15,lpg_3[[#This Row],[km]]*9/100,(lpg_3[[#This Row],[km]]/2)*9/100),2)</f>
        <v>4.5</v>
      </c>
      <c r="U44">
        <f>lpg_3[[#This Row],[zbiornik PB95]]-lpg_3[[#This Row],[zuzycie PB95]]</f>
        <v>39.630000000000003</v>
      </c>
      <c r="V44">
        <f>lpg_3[[#This Row],[zbiornik LPG]]-lpg_3[[#This Row],[zyzucie lpg]]</f>
        <v>25.5</v>
      </c>
      <c r="W44">
        <f>IF(lpg_3[[#This Row],[dzien]]=4,IF(lpg_3[[#This Row],[pb po trasie]]&lt;40,45-lpg_3[[#This Row],[pb po trasie]],0),0)</f>
        <v>0</v>
      </c>
      <c r="X44">
        <f>IF(lpg_3[[#This Row],[lpg po trasie]]&lt;5,30-lpg_3[[#This Row],[lpg po trasie]],0)</f>
        <v>0</v>
      </c>
      <c r="Y44">
        <f>WEEKDAY(lpg_3[[#This Row],[data]],2)</f>
        <v>3</v>
      </c>
    </row>
    <row r="45" spans="1:25" x14ac:dyDescent="0.25">
      <c r="A45" s="1">
        <v>41683</v>
      </c>
      <c r="B45">
        <v>129</v>
      </c>
      <c r="C45">
        <f>G44+I44</f>
        <v>39.630000000000003</v>
      </c>
      <c r="D45">
        <f>H44+J44</f>
        <v>25.5</v>
      </c>
      <c r="E45">
        <f>ROUND(IF(lpg[[#This Row],[zbiornik LPG]]&gt;15,0,(lpg[[#This Row],[km]]/2)*6/100),2)</f>
        <v>0</v>
      </c>
      <c r="F45">
        <f>ROUND(IF(lpg[[#This Row],[zbiornik LPG]]&gt;15,lpg[[#This Row],[km]]*9/100,(lpg[[#This Row],[km]]/2)*9/100),2)</f>
        <v>11.61</v>
      </c>
      <c r="G45">
        <f>lpg[[#This Row],[zbiornik PB95]]-lpg[[#This Row],[zuzycie PB95]]</f>
        <v>39.630000000000003</v>
      </c>
      <c r="H45">
        <f>lpg[[#This Row],[zbiornik LPG]]-lpg[[#This Row],[zyzucie lpg]]</f>
        <v>13.89</v>
      </c>
      <c r="I45">
        <f>IF(lpg[[#This Row],[dzien]]=4,IF(lpg[[#This Row],[pb po trasie]]&lt;40,45-lpg[[#This Row],[pb po trasie]],0),0)</f>
        <v>5.3699999999999974</v>
      </c>
      <c r="J45">
        <f>IF(lpg[[#This Row],[lpg po trasie]]&lt;5,30-lpg[[#This Row],[lpg po trasie]],0)</f>
        <v>0</v>
      </c>
      <c r="K45">
        <f>WEEKDAY(lpg[[#This Row],[data]],2)</f>
        <v>4</v>
      </c>
      <c r="O45" s="1">
        <v>41683</v>
      </c>
      <c r="P45">
        <v>129</v>
      </c>
      <c r="Q45">
        <f>U44+W44</f>
        <v>39.630000000000003</v>
      </c>
      <c r="R45">
        <f>V44+X44</f>
        <v>25.5</v>
      </c>
      <c r="S45">
        <f>ROUND(IF(lpg_3[[#This Row],[zbiornik LPG]]&gt;15,0,(lpg_3[[#This Row],[km]]/2)*6/100),2)</f>
        <v>0</v>
      </c>
      <c r="T45">
        <f>ROUND(IF(lpg_3[[#This Row],[zbiornik LPG]]&gt;15,lpg_3[[#This Row],[km]]*9/100,(lpg_3[[#This Row],[km]]/2)*9/100),2)</f>
        <v>11.61</v>
      </c>
      <c r="U45">
        <f>lpg_3[[#This Row],[zbiornik PB95]]-lpg_3[[#This Row],[zuzycie PB95]]</f>
        <v>39.630000000000003</v>
      </c>
      <c r="V45">
        <f>lpg_3[[#This Row],[zbiornik LPG]]-lpg_3[[#This Row],[zyzucie lpg]]</f>
        <v>13.89</v>
      </c>
      <c r="W45">
        <f>IF(lpg_3[[#This Row],[dzien]]=4,IF(lpg_3[[#This Row],[pb po trasie]]&lt;40,45-lpg_3[[#This Row],[pb po trasie]],0),0)</f>
        <v>5.3699999999999974</v>
      </c>
      <c r="X45">
        <f>IF(lpg_3[[#This Row],[lpg po trasie]]&lt;5,30-lpg_3[[#This Row],[lpg po trasie]],0)</f>
        <v>0</v>
      </c>
      <c r="Y45">
        <f>WEEKDAY(lpg_3[[#This Row],[data]],2)</f>
        <v>4</v>
      </c>
    </row>
    <row r="46" spans="1:25" x14ac:dyDescent="0.25">
      <c r="A46" s="1">
        <v>41684</v>
      </c>
      <c r="B46">
        <v>71</v>
      </c>
      <c r="C46">
        <f>G45+I45</f>
        <v>45</v>
      </c>
      <c r="D46">
        <f>H45+J45</f>
        <v>13.89</v>
      </c>
      <c r="E46">
        <f>ROUND(IF(lpg[[#This Row],[zbiornik LPG]]&gt;15,0,(lpg[[#This Row],[km]]/2)*6/100),2)</f>
        <v>2.13</v>
      </c>
      <c r="F46">
        <f>ROUND(IF(lpg[[#This Row],[zbiornik LPG]]&gt;15,lpg[[#This Row],[km]]*9/100,(lpg[[#This Row],[km]]/2)*9/100),2)</f>
        <v>3.2</v>
      </c>
      <c r="G46">
        <f>lpg[[#This Row],[zbiornik PB95]]-lpg[[#This Row],[zuzycie PB95]]</f>
        <v>42.87</v>
      </c>
      <c r="H46">
        <f>lpg[[#This Row],[zbiornik LPG]]-lpg[[#This Row],[zyzucie lpg]]</f>
        <v>10.690000000000001</v>
      </c>
      <c r="I46">
        <f>IF(lpg[[#This Row],[dzien]]=4,IF(lpg[[#This Row],[pb po trasie]]&lt;40,45-lpg[[#This Row],[pb po trasie]],0),0)</f>
        <v>0</v>
      </c>
      <c r="J46">
        <f>IF(lpg[[#This Row],[lpg po trasie]]&lt;5,30-lpg[[#This Row],[lpg po trasie]],0)</f>
        <v>0</v>
      </c>
      <c r="K46">
        <f>WEEKDAY(lpg[[#This Row],[data]],2)</f>
        <v>5</v>
      </c>
      <c r="O46" s="1">
        <v>41684</v>
      </c>
      <c r="P46">
        <v>71</v>
      </c>
      <c r="Q46">
        <f>U45+W45</f>
        <v>45</v>
      </c>
      <c r="R46">
        <f>V45+X45</f>
        <v>13.89</v>
      </c>
      <c r="S46">
        <f>ROUND(IF(lpg_3[[#This Row],[zbiornik LPG]]&gt;15,0,(lpg_3[[#This Row],[km]]/2)*6/100),2)</f>
        <v>2.13</v>
      </c>
      <c r="T46">
        <f>ROUND(IF(lpg_3[[#This Row],[zbiornik LPG]]&gt;15,lpg_3[[#This Row],[km]]*9/100,(lpg_3[[#This Row],[km]]/2)*9/100),2)</f>
        <v>3.2</v>
      </c>
      <c r="U46">
        <f>lpg_3[[#This Row],[zbiornik PB95]]-lpg_3[[#This Row],[zuzycie PB95]]</f>
        <v>42.87</v>
      </c>
      <c r="V46">
        <f>lpg_3[[#This Row],[zbiornik LPG]]-lpg_3[[#This Row],[zyzucie lpg]]</f>
        <v>10.690000000000001</v>
      </c>
      <c r="W46">
        <f>IF(lpg_3[[#This Row],[dzien]]=4,IF(lpg_3[[#This Row],[pb po trasie]]&lt;40,45-lpg_3[[#This Row],[pb po trasie]],0),0)</f>
        <v>0</v>
      </c>
      <c r="X46">
        <f>IF(lpg_3[[#This Row],[lpg po trasie]]&lt;5,30-lpg_3[[#This Row],[lpg po trasie]],0)</f>
        <v>0</v>
      </c>
      <c r="Y46">
        <f>WEEKDAY(lpg_3[[#This Row],[data]],2)</f>
        <v>5</v>
      </c>
    </row>
    <row r="47" spans="1:25" x14ac:dyDescent="0.25">
      <c r="A47" s="1">
        <v>41685</v>
      </c>
      <c r="B47">
        <v>125</v>
      </c>
      <c r="C47">
        <f>G46+I46</f>
        <v>42.87</v>
      </c>
      <c r="D47">
        <f>H46+J46</f>
        <v>10.690000000000001</v>
      </c>
      <c r="E47">
        <f>ROUND(IF(lpg[[#This Row],[zbiornik LPG]]&gt;15,0,(lpg[[#This Row],[km]]/2)*6/100),2)</f>
        <v>3.75</v>
      </c>
      <c r="F47">
        <f>ROUND(IF(lpg[[#This Row],[zbiornik LPG]]&gt;15,lpg[[#This Row],[km]]*9/100,(lpg[[#This Row],[km]]/2)*9/100),2)</f>
        <v>5.63</v>
      </c>
      <c r="G47">
        <f>lpg[[#This Row],[zbiornik PB95]]-lpg[[#This Row],[zuzycie PB95]]</f>
        <v>39.119999999999997</v>
      </c>
      <c r="H47">
        <f>lpg[[#This Row],[zbiornik LPG]]-lpg[[#This Row],[zyzucie lpg]]</f>
        <v>5.0600000000000014</v>
      </c>
      <c r="I47">
        <f>IF(lpg[[#This Row],[dzien]]=4,IF(lpg[[#This Row],[pb po trasie]]&lt;40,45-lpg[[#This Row],[pb po trasie]],0),0)</f>
        <v>0</v>
      </c>
      <c r="J47">
        <f>IF(lpg[[#This Row],[lpg po trasie]]&lt;5,30-lpg[[#This Row],[lpg po trasie]],0)</f>
        <v>0</v>
      </c>
      <c r="K47">
        <f>WEEKDAY(lpg[[#This Row],[data]],2)</f>
        <v>6</v>
      </c>
      <c r="O47" s="1">
        <v>41685</v>
      </c>
      <c r="P47">
        <v>125</v>
      </c>
      <c r="Q47">
        <f>U46+W46</f>
        <v>42.87</v>
      </c>
      <c r="R47">
        <f>V46+X46</f>
        <v>10.690000000000001</v>
      </c>
      <c r="S47">
        <f>ROUND(IF(lpg_3[[#This Row],[zbiornik LPG]]&gt;15,0,(lpg_3[[#This Row],[km]]/2)*6/100),2)</f>
        <v>3.75</v>
      </c>
      <c r="T47">
        <f>ROUND(IF(lpg_3[[#This Row],[zbiornik LPG]]&gt;15,lpg_3[[#This Row],[km]]*9/100,(lpg_3[[#This Row],[km]]/2)*9/100),2)</f>
        <v>5.63</v>
      </c>
      <c r="U47">
        <f>lpg_3[[#This Row],[zbiornik PB95]]-lpg_3[[#This Row],[zuzycie PB95]]</f>
        <v>39.119999999999997</v>
      </c>
      <c r="V47">
        <f>lpg_3[[#This Row],[zbiornik LPG]]-lpg_3[[#This Row],[zyzucie lpg]]</f>
        <v>5.0600000000000014</v>
      </c>
      <c r="W47">
        <f>IF(lpg_3[[#This Row],[dzien]]=4,IF(lpg_3[[#This Row],[pb po trasie]]&lt;40,45-lpg_3[[#This Row],[pb po trasie]],0),0)</f>
        <v>0</v>
      </c>
      <c r="X47">
        <f>IF(lpg_3[[#This Row],[lpg po trasie]]&lt;5,30-lpg_3[[#This Row],[lpg po trasie]],0)</f>
        <v>0</v>
      </c>
      <c r="Y47">
        <f>WEEKDAY(lpg_3[[#This Row],[data]],2)</f>
        <v>6</v>
      </c>
    </row>
    <row r="48" spans="1:25" x14ac:dyDescent="0.25">
      <c r="A48" s="1">
        <v>41686</v>
      </c>
      <c r="B48">
        <v>97</v>
      </c>
      <c r="C48">
        <f>G47+I47</f>
        <v>39.119999999999997</v>
      </c>
      <c r="D48">
        <f>H47+J47</f>
        <v>5.0600000000000014</v>
      </c>
      <c r="E48">
        <f>ROUND(IF(lpg[[#This Row],[zbiornik LPG]]&gt;15,0,(lpg[[#This Row],[km]]/2)*6/100),2)</f>
        <v>2.91</v>
      </c>
      <c r="F48">
        <f>ROUND(IF(lpg[[#This Row],[zbiornik LPG]]&gt;15,lpg[[#This Row],[km]]*9/100,(lpg[[#This Row],[km]]/2)*9/100),2)</f>
        <v>4.37</v>
      </c>
      <c r="G48">
        <f>lpg[[#This Row],[zbiornik PB95]]-lpg[[#This Row],[zuzycie PB95]]</f>
        <v>36.209999999999994</v>
      </c>
      <c r="H48">
        <f>lpg[[#This Row],[zbiornik LPG]]-lpg[[#This Row],[zyzucie lpg]]</f>
        <v>0.69000000000000128</v>
      </c>
      <c r="I48">
        <f>IF(lpg[[#This Row],[dzien]]=4,IF(lpg[[#This Row],[pb po trasie]]&lt;40,45-lpg[[#This Row],[pb po trasie]],0),0)</f>
        <v>0</v>
      </c>
      <c r="J48">
        <f>IF(lpg[[#This Row],[lpg po trasie]]&lt;5,30-lpg[[#This Row],[lpg po trasie]],0)</f>
        <v>29.31</v>
      </c>
      <c r="K48">
        <f>WEEKDAY(lpg[[#This Row],[data]],2)</f>
        <v>7</v>
      </c>
      <c r="O48" s="1">
        <v>41686</v>
      </c>
      <c r="P48">
        <v>97</v>
      </c>
      <c r="Q48">
        <f>U47+W47</f>
        <v>39.119999999999997</v>
      </c>
      <c r="R48">
        <f>V47+X47</f>
        <v>5.0600000000000014</v>
      </c>
      <c r="S48">
        <f>ROUND(IF(lpg_3[[#This Row],[zbiornik LPG]]&gt;15,0,(lpg_3[[#This Row],[km]]/2)*6/100),2)</f>
        <v>2.91</v>
      </c>
      <c r="T48">
        <f>ROUND(IF(lpg_3[[#This Row],[zbiornik LPG]]&gt;15,lpg_3[[#This Row],[km]]*9/100,(lpg_3[[#This Row],[km]]/2)*9/100),2)</f>
        <v>4.37</v>
      </c>
      <c r="U48">
        <f>lpg_3[[#This Row],[zbiornik PB95]]-lpg_3[[#This Row],[zuzycie PB95]]</f>
        <v>36.209999999999994</v>
      </c>
      <c r="V48">
        <f>lpg_3[[#This Row],[zbiornik LPG]]-lpg_3[[#This Row],[zyzucie lpg]]</f>
        <v>0.69000000000000128</v>
      </c>
      <c r="W48">
        <f>IF(lpg_3[[#This Row],[dzien]]=4,IF(lpg_3[[#This Row],[pb po trasie]]&lt;40,45-lpg_3[[#This Row],[pb po trasie]],0),0)</f>
        <v>0</v>
      </c>
      <c r="X48">
        <f>IF(lpg_3[[#This Row],[lpg po trasie]]&lt;5,30-lpg_3[[#This Row],[lpg po trasie]],0)</f>
        <v>29.31</v>
      </c>
      <c r="Y48">
        <f>WEEKDAY(lpg_3[[#This Row],[data]],2)</f>
        <v>7</v>
      </c>
    </row>
    <row r="49" spans="1:25" x14ac:dyDescent="0.25">
      <c r="A49" s="1">
        <v>41687</v>
      </c>
      <c r="B49">
        <v>104</v>
      </c>
      <c r="C49">
        <f>G48+I48</f>
        <v>36.209999999999994</v>
      </c>
      <c r="D49">
        <f>H48+J48</f>
        <v>30</v>
      </c>
      <c r="E49">
        <f>ROUND(IF(lpg[[#This Row],[zbiornik LPG]]&gt;15,0,(lpg[[#This Row],[km]]/2)*6/100),2)</f>
        <v>0</v>
      </c>
      <c r="F49">
        <f>ROUND(IF(lpg[[#This Row],[zbiornik LPG]]&gt;15,lpg[[#This Row],[km]]*9/100,(lpg[[#This Row],[km]]/2)*9/100),2)</f>
        <v>9.36</v>
      </c>
      <c r="G49">
        <f>lpg[[#This Row],[zbiornik PB95]]-lpg[[#This Row],[zuzycie PB95]]</f>
        <v>36.209999999999994</v>
      </c>
      <c r="H49">
        <f>lpg[[#This Row],[zbiornik LPG]]-lpg[[#This Row],[zyzucie lpg]]</f>
        <v>20.64</v>
      </c>
      <c r="I49">
        <f>IF(lpg[[#This Row],[dzien]]=4,IF(lpg[[#This Row],[pb po trasie]]&lt;40,45-lpg[[#This Row],[pb po trasie]],0),0)</f>
        <v>0</v>
      </c>
      <c r="J49">
        <f>IF(lpg[[#This Row],[lpg po trasie]]&lt;5,30-lpg[[#This Row],[lpg po trasie]],0)</f>
        <v>0</v>
      </c>
      <c r="K49">
        <f>WEEKDAY(lpg[[#This Row],[data]],2)</f>
        <v>1</v>
      </c>
      <c r="O49" s="1">
        <v>41687</v>
      </c>
      <c r="P49">
        <v>104</v>
      </c>
      <c r="Q49">
        <f>U48+W48</f>
        <v>36.209999999999994</v>
      </c>
      <c r="R49">
        <f>V48+X48</f>
        <v>30</v>
      </c>
      <c r="S49">
        <f>ROUND(IF(lpg_3[[#This Row],[zbiornik LPG]]&gt;15,0,(lpg_3[[#This Row],[km]]/2)*6/100),2)</f>
        <v>0</v>
      </c>
      <c r="T49">
        <f>ROUND(IF(lpg_3[[#This Row],[zbiornik LPG]]&gt;15,lpg_3[[#This Row],[km]]*9/100,(lpg_3[[#This Row],[km]]/2)*9/100),2)</f>
        <v>9.36</v>
      </c>
      <c r="U49">
        <f>lpg_3[[#This Row],[zbiornik PB95]]-lpg_3[[#This Row],[zuzycie PB95]]</f>
        <v>36.209999999999994</v>
      </c>
      <c r="V49">
        <f>lpg_3[[#This Row],[zbiornik LPG]]-lpg_3[[#This Row],[zyzucie lpg]]</f>
        <v>20.64</v>
      </c>
      <c r="W49">
        <f>IF(lpg_3[[#This Row],[dzien]]=4,IF(lpg_3[[#This Row],[pb po trasie]]&lt;40,45-lpg_3[[#This Row],[pb po trasie]],0),0)</f>
        <v>0</v>
      </c>
      <c r="X49">
        <f>IF(lpg_3[[#This Row],[lpg po trasie]]&lt;5,30-lpg_3[[#This Row],[lpg po trasie]],0)</f>
        <v>0</v>
      </c>
      <c r="Y49">
        <f>WEEKDAY(lpg_3[[#This Row],[data]],2)</f>
        <v>1</v>
      </c>
    </row>
    <row r="50" spans="1:25" x14ac:dyDescent="0.25">
      <c r="A50" s="1">
        <v>41688</v>
      </c>
      <c r="B50">
        <v>108</v>
      </c>
      <c r="C50">
        <f>G49+I49</f>
        <v>36.209999999999994</v>
      </c>
      <c r="D50">
        <f>H49+J49</f>
        <v>20.64</v>
      </c>
      <c r="E50">
        <f>ROUND(IF(lpg[[#This Row],[zbiornik LPG]]&gt;15,0,(lpg[[#This Row],[km]]/2)*6/100),2)</f>
        <v>0</v>
      </c>
      <c r="F50">
        <f>ROUND(IF(lpg[[#This Row],[zbiornik LPG]]&gt;15,lpg[[#This Row],[km]]*9/100,(lpg[[#This Row],[km]]/2)*9/100),2)</f>
        <v>9.7200000000000006</v>
      </c>
      <c r="G50">
        <f>lpg[[#This Row],[zbiornik PB95]]-lpg[[#This Row],[zuzycie PB95]]</f>
        <v>36.209999999999994</v>
      </c>
      <c r="H50">
        <f>lpg[[#This Row],[zbiornik LPG]]-lpg[[#This Row],[zyzucie lpg]]</f>
        <v>10.92</v>
      </c>
      <c r="I50">
        <f>IF(lpg[[#This Row],[dzien]]=4,IF(lpg[[#This Row],[pb po trasie]]&lt;40,45-lpg[[#This Row],[pb po trasie]],0),0)</f>
        <v>0</v>
      </c>
      <c r="J50">
        <f>IF(lpg[[#This Row],[lpg po trasie]]&lt;5,30-lpg[[#This Row],[lpg po trasie]],0)</f>
        <v>0</v>
      </c>
      <c r="K50">
        <f>WEEKDAY(lpg[[#This Row],[data]],2)</f>
        <v>2</v>
      </c>
      <c r="O50" s="1">
        <v>41688</v>
      </c>
      <c r="P50">
        <v>108</v>
      </c>
      <c r="Q50">
        <f>U49+W49</f>
        <v>36.209999999999994</v>
      </c>
      <c r="R50">
        <f>V49+X49</f>
        <v>20.64</v>
      </c>
      <c r="S50">
        <f>ROUND(IF(lpg_3[[#This Row],[zbiornik LPG]]&gt;15,0,(lpg_3[[#This Row],[km]]/2)*6/100),2)</f>
        <v>0</v>
      </c>
      <c r="T50">
        <f>ROUND(IF(lpg_3[[#This Row],[zbiornik LPG]]&gt;15,lpg_3[[#This Row],[km]]*9/100,(lpg_3[[#This Row],[km]]/2)*9/100),2)</f>
        <v>9.7200000000000006</v>
      </c>
      <c r="U50">
        <f>lpg_3[[#This Row],[zbiornik PB95]]-lpg_3[[#This Row],[zuzycie PB95]]</f>
        <v>36.209999999999994</v>
      </c>
      <c r="V50">
        <f>lpg_3[[#This Row],[zbiornik LPG]]-lpg_3[[#This Row],[zyzucie lpg]]</f>
        <v>10.92</v>
      </c>
      <c r="W50">
        <f>IF(lpg_3[[#This Row],[dzien]]=4,IF(lpg_3[[#This Row],[pb po trasie]]&lt;40,45-lpg_3[[#This Row],[pb po trasie]],0),0)</f>
        <v>0</v>
      </c>
      <c r="X50">
        <f>IF(lpg_3[[#This Row],[lpg po trasie]]&lt;5,30-lpg_3[[#This Row],[lpg po trasie]],0)</f>
        <v>0</v>
      </c>
      <c r="Y50">
        <f>WEEKDAY(lpg_3[[#This Row],[data]],2)</f>
        <v>2</v>
      </c>
    </row>
    <row r="51" spans="1:25" x14ac:dyDescent="0.25">
      <c r="A51" s="1">
        <v>41689</v>
      </c>
      <c r="B51">
        <v>61</v>
      </c>
      <c r="C51">
        <f>G50+I50</f>
        <v>36.209999999999994</v>
      </c>
      <c r="D51">
        <f>H50+J50</f>
        <v>10.92</v>
      </c>
      <c r="E51">
        <f>ROUND(IF(lpg[[#This Row],[zbiornik LPG]]&gt;15,0,(lpg[[#This Row],[km]]/2)*6/100),2)</f>
        <v>1.83</v>
      </c>
      <c r="F51">
        <f>ROUND(IF(lpg[[#This Row],[zbiornik LPG]]&gt;15,lpg[[#This Row],[km]]*9/100,(lpg[[#This Row],[km]]/2)*9/100),2)</f>
        <v>2.75</v>
      </c>
      <c r="G51">
        <f>lpg[[#This Row],[zbiornik PB95]]-lpg[[#This Row],[zuzycie PB95]]</f>
        <v>34.379999999999995</v>
      </c>
      <c r="H51">
        <f>lpg[[#This Row],[zbiornik LPG]]-lpg[[#This Row],[zyzucie lpg]]</f>
        <v>8.17</v>
      </c>
      <c r="I51">
        <f>IF(lpg[[#This Row],[dzien]]=4,IF(lpg[[#This Row],[pb po trasie]]&lt;40,45-lpg[[#This Row],[pb po trasie]],0),0)</f>
        <v>0</v>
      </c>
      <c r="J51">
        <f>IF(lpg[[#This Row],[lpg po trasie]]&lt;5,30-lpg[[#This Row],[lpg po trasie]],0)</f>
        <v>0</v>
      </c>
      <c r="K51">
        <f>WEEKDAY(lpg[[#This Row],[data]],2)</f>
        <v>3</v>
      </c>
      <c r="O51" s="1">
        <v>41689</v>
      </c>
      <c r="P51">
        <v>61</v>
      </c>
      <c r="Q51">
        <f>U50+W50</f>
        <v>36.209999999999994</v>
      </c>
      <c r="R51">
        <f>V50+X50</f>
        <v>10.92</v>
      </c>
      <c r="S51">
        <f>ROUND(IF(lpg_3[[#This Row],[zbiornik LPG]]&gt;15,0,(lpg_3[[#This Row],[km]]/2)*6/100),2)</f>
        <v>1.83</v>
      </c>
      <c r="T51">
        <f>ROUND(IF(lpg_3[[#This Row],[zbiornik LPG]]&gt;15,lpg_3[[#This Row],[km]]*9/100,(lpg_3[[#This Row],[km]]/2)*9/100),2)</f>
        <v>2.75</v>
      </c>
      <c r="U51">
        <f>lpg_3[[#This Row],[zbiornik PB95]]-lpg_3[[#This Row],[zuzycie PB95]]</f>
        <v>34.379999999999995</v>
      </c>
      <c r="V51">
        <f>lpg_3[[#This Row],[zbiornik LPG]]-lpg_3[[#This Row],[zyzucie lpg]]</f>
        <v>8.17</v>
      </c>
      <c r="W51">
        <f>IF(lpg_3[[#This Row],[dzien]]=4,IF(lpg_3[[#This Row],[pb po trasie]]&lt;40,45-lpg_3[[#This Row],[pb po trasie]],0),0)</f>
        <v>0</v>
      </c>
      <c r="X51">
        <f>IF(lpg_3[[#This Row],[lpg po trasie]]&lt;5,30-lpg_3[[#This Row],[lpg po trasie]],0)</f>
        <v>0</v>
      </c>
      <c r="Y51">
        <f>WEEKDAY(lpg_3[[#This Row],[data]],2)</f>
        <v>3</v>
      </c>
    </row>
    <row r="52" spans="1:25" x14ac:dyDescent="0.25">
      <c r="A52" s="1">
        <v>41690</v>
      </c>
      <c r="B52">
        <v>35</v>
      </c>
      <c r="C52">
        <f>G51+I51</f>
        <v>34.379999999999995</v>
      </c>
      <c r="D52">
        <f>H51+J51</f>
        <v>8.17</v>
      </c>
      <c r="E52">
        <f>ROUND(IF(lpg[[#This Row],[zbiornik LPG]]&gt;15,0,(lpg[[#This Row],[km]]/2)*6/100),2)</f>
        <v>1.05</v>
      </c>
      <c r="F52">
        <f>ROUND(IF(lpg[[#This Row],[zbiornik LPG]]&gt;15,lpg[[#This Row],[km]]*9/100,(lpg[[#This Row],[km]]/2)*9/100),2)</f>
        <v>1.58</v>
      </c>
      <c r="G52">
        <f>lpg[[#This Row],[zbiornik PB95]]-lpg[[#This Row],[zuzycie PB95]]</f>
        <v>33.33</v>
      </c>
      <c r="H52">
        <f>lpg[[#This Row],[zbiornik LPG]]-lpg[[#This Row],[zyzucie lpg]]</f>
        <v>6.59</v>
      </c>
      <c r="I52">
        <f>IF(lpg[[#This Row],[dzien]]=4,IF(lpg[[#This Row],[pb po trasie]]&lt;40,45-lpg[[#This Row],[pb po trasie]],0),0)</f>
        <v>11.670000000000002</v>
      </c>
      <c r="J52">
        <f>IF(lpg[[#This Row],[lpg po trasie]]&lt;5,30-lpg[[#This Row],[lpg po trasie]],0)</f>
        <v>0</v>
      </c>
      <c r="K52">
        <f>WEEKDAY(lpg[[#This Row],[data]],2)</f>
        <v>4</v>
      </c>
      <c r="O52" s="1">
        <v>41690</v>
      </c>
      <c r="P52">
        <v>35</v>
      </c>
      <c r="Q52">
        <f>U51+W51</f>
        <v>34.379999999999995</v>
      </c>
      <c r="R52">
        <f>V51+X51</f>
        <v>8.17</v>
      </c>
      <c r="S52">
        <f>ROUND(IF(lpg_3[[#This Row],[zbiornik LPG]]&gt;15,0,(lpg_3[[#This Row],[km]]/2)*6/100),2)</f>
        <v>1.05</v>
      </c>
      <c r="T52">
        <f>ROUND(IF(lpg_3[[#This Row],[zbiornik LPG]]&gt;15,lpg_3[[#This Row],[km]]*9/100,(lpg_3[[#This Row],[km]]/2)*9/100),2)</f>
        <v>1.58</v>
      </c>
      <c r="U52">
        <f>lpg_3[[#This Row],[zbiornik PB95]]-lpg_3[[#This Row],[zuzycie PB95]]</f>
        <v>33.33</v>
      </c>
      <c r="V52">
        <f>lpg_3[[#This Row],[zbiornik LPG]]-lpg_3[[#This Row],[zyzucie lpg]]</f>
        <v>6.59</v>
      </c>
      <c r="W52">
        <f>IF(lpg_3[[#This Row],[dzien]]=4,IF(lpg_3[[#This Row],[pb po trasie]]&lt;40,45-lpg_3[[#This Row],[pb po trasie]],0),0)</f>
        <v>11.670000000000002</v>
      </c>
      <c r="X52">
        <f>IF(lpg_3[[#This Row],[lpg po trasie]]&lt;5,30-lpg_3[[#This Row],[lpg po trasie]],0)</f>
        <v>0</v>
      </c>
      <c r="Y52">
        <f>WEEKDAY(lpg_3[[#This Row],[data]],2)</f>
        <v>4</v>
      </c>
    </row>
    <row r="53" spans="1:25" x14ac:dyDescent="0.25">
      <c r="A53" s="1">
        <v>41691</v>
      </c>
      <c r="B53">
        <v>40</v>
      </c>
      <c r="C53">
        <f>G52+I52</f>
        <v>45</v>
      </c>
      <c r="D53">
        <f>H52+J52</f>
        <v>6.59</v>
      </c>
      <c r="E53">
        <f>ROUND(IF(lpg[[#This Row],[zbiornik LPG]]&gt;15,0,(lpg[[#This Row],[km]]/2)*6/100),2)</f>
        <v>1.2</v>
      </c>
      <c r="F53">
        <f>ROUND(IF(lpg[[#This Row],[zbiornik LPG]]&gt;15,lpg[[#This Row],[km]]*9/100,(lpg[[#This Row],[km]]/2)*9/100),2)</f>
        <v>1.8</v>
      </c>
      <c r="G53">
        <f>lpg[[#This Row],[zbiornik PB95]]-lpg[[#This Row],[zuzycie PB95]]</f>
        <v>43.8</v>
      </c>
      <c r="H53">
        <f>lpg[[#This Row],[zbiornik LPG]]-lpg[[#This Row],[zyzucie lpg]]</f>
        <v>4.79</v>
      </c>
      <c r="I53">
        <f>IF(lpg[[#This Row],[dzien]]=4,IF(lpg[[#This Row],[pb po trasie]]&lt;40,45-lpg[[#This Row],[pb po trasie]],0),0)</f>
        <v>0</v>
      </c>
      <c r="J53">
        <f>IF(lpg[[#This Row],[lpg po trasie]]&lt;5,30-lpg[[#This Row],[lpg po trasie]],0)</f>
        <v>25.21</v>
      </c>
      <c r="K53">
        <f>WEEKDAY(lpg[[#This Row],[data]],2)</f>
        <v>5</v>
      </c>
      <c r="O53" s="1">
        <v>41691</v>
      </c>
      <c r="P53">
        <v>40</v>
      </c>
      <c r="Q53">
        <f>U52+W52</f>
        <v>45</v>
      </c>
      <c r="R53">
        <f>V52+X52</f>
        <v>6.59</v>
      </c>
      <c r="S53">
        <f>ROUND(IF(lpg_3[[#This Row],[zbiornik LPG]]&gt;15,0,(lpg_3[[#This Row],[km]]/2)*6/100),2)</f>
        <v>1.2</v>
      </c>
      <c r="T53">
        <f>ROUND(IF(lpg_3[[#This Row],[zbiornik LPG]]&gt;15,lpg_3[[#This Row],[km]]*9/100,(lpg_3[[#This Row],[km]]/2)*9/100),2)</f>
        <v>1.8</v>
      </c>
      <c r="U53">
        <f>lpg_3[[#This Row],[zbiornik PB95]]-lpg_3[[#This Row],[zuzycie PB95]]</f>
        <v>43.8</v>
      </c>
      <c r="V53">
        <f>lpg_3[[#This Row],[zbiornik LPG]]-lpg_3[[#This Row],[zyzucie lpg]]</f>
        <v>4.79</v>
      </c>
      <c r="W53">
        <f>IF(lpg_3[[#This Row],[dzien]]=4,IF(lpg_3[[#This Row],[pb po trasie]]&lt;40,45-lpg_3[[#This Row],[pb po trasie]],0),0)</f>
        <v>0</v>
      </c>
      <c r="X53">
        <f>IF(lpg_3[[#This Row],[lpg po trasie]]&lt;5,30-lpg_3[[#This Row],[lpg po trasie]],0)</f>
        <v>25.21</v>
      </c>
      <c r="Y53">
        <f>WEEKDAY(lpg_3[[#This Row],[data]],2)</f>
        <v>5</v>
      </c>
    </row>
    <row r="54" spans="1:25" x14ac:dyDescent="0.25">
      <c r="A54" s="1">
        <v>41692</v>
      </c>
      <c r="B54">
        <v>23</v>
      </c>
      <c r="C54">
        <f>G53+I53</f>
        <v>43.8</v>
      </c>
      <c r="D54">
        <f>H53+J53</f>
        <v>30</v>
      </c>
      <c r="E54">
        <f>ROUND(IF(lpg[[#This Row],[zbiornik LPG]]&gt;15,0,(lpg[[#This Row],[km]]/2)*6/100),2)</f>
        <v>0</v>
      </c>
      <c r="F54">
        <f>ROUND(IF(lpg[[#This Row],[zbiornik LPG]]&gt;15,lpg[[#This Row],[km]]*9/100,(lpg[[#This Row],[km]]/2)*9/100),2)</f>
        <v>2.0699999999999998</v>
      </c>
      <c r="G54">
        <f>lpg[[#This Row],[zbiornik PB95]]-lpg[[#This Row],[zuzycie PB95]]</f>
        <v>43.8</v>
      </c>
      <c r="H54">
        <f>lpg[[#This Row],[zbiornik LPG]]-lpg[[#This Row],[zyzucie lpg]]</f>
        <v>27.93</v>
      </c>
      <c r="I54">
        <f>IF(lpg[[#This Row],[dzien]]=4,IF(lpg[[#This Row],[pb po trasie]]&lt;40,45-lpg[[#This Row],[pb po trasie]],0),0)</f>
        <v>0</v>
      </c>
      <c r="J54">
        <f>IF(lpg[[#This Row],[lpg po trasie]]&lt;5,30-lpg[[#This Row],[lpg po trasie]],0)</f>
        <v>0</v>
      </c>
      <c r="K54">
        <f>WEEKDAY(lpg[[#This Row],[data]],2)</f>
        <v>6</v>
      </c>
      <c r="O54" s="1">
        <v>41692</v>
      </c>
      <c r="P54">
        <v>23</v>
      </c>
      <c r="Q54">
        <f>U53+W53</f>
        <v>43.8</v>
      </c>
      <c r="R54">
        <f>V53+X53</f>
        <v>30</v>
      </c>
      <c r="S54">
        <f>ROUND(IF(lpg_3[[#This Row],[zbiornik LPG]]&gt;15,0,(lpg_3[[#This Row],[km]]/2)*6/100),2)</f>
        <v>0</v>
      </c>
      <c r="T54">
        <f>ROUND(IF(lpg_3[[#This Row],[zbiornik LPG]]&gt;15,lpg_3[[#This Row],[km]]*9/100,(lpg_3[[#This Row],[km]]/2)*9/100),2)</f>
        <v>2.0699999999999998</v>
      </c>
      <c r="U54">
        <f>lpg_3[[#This Row],[zbiornik PB95]]-lpg_3[[#This Row],[zuzycie PB95]]</f>
        <v>43.8</v>
      </c>
      <c r="V54">
        <f>lpg_3[[#This Row],[zbiornik LPG]]-lpg_3[[#This Row],[zyzucie lpg]]</f>
        <v>27.93</v>
      </c>
      <c r="W54">
        <f>IF(lpg_3[[#This Row],[dzien]]=4,IF(lpg_3[[#This Row],[pb po trasie]]&lt;40,45-lpg_3[[#This Row],[pb po trasie]],0),0)</f>
        <v>0</v>
      </c>
      <c r="X54">
        <f>IF(lpg_3[[#This Row],[lpg po trasie]]&lt;5,30-lpg_3[[#This Row],[lpg po trasie]],0)</f>
        <v>0</v>
      </c>
      <c r="Y54">
        <f>WEEKDAY(lpg_3[[#This Row],[data]],2)</f>
        <v>6</v>
      </c>
    </row>
    <row r="55" spans="1:25" x14ac:dyDescent="0.25">
      <c r="A55" s="1">
        <v>41693</v>
      </c>
      <c r="B55">
        <v>116</v>
      </c>
      <c r="C55">
        <f>G54+I54</f>
        <v>43.8</v>
      </c>
      <c r="D55">
        <f>H54+J54</f>
        <v>27.93</v>
      </c>
      <c r="E55">
        <f>ROUND(IF(lpg[[#This Row],[zbiornik LPG]]&gt;15,0,(lpg[[#This Row],[km]]/2)*6/100),2)</f>
        <v>0</v>
      </c>
      <c r="F55">
        <f>ROUND(IF(lpg[[#This Row],[zbiornik LPG]]&gt;15,lpg[[#This Row],[km]]*9/100,(lpg[[#This Row],[km]]/2)*9/100),2)</f>
        <v>10.44</v>
      </c>
      <c r="G55">
        <f>lpg[[#This Row],[zbiornik PB95]]-lpg[[#This Row],[zuzycie PB95]]</f>
        <v>43.8</v>
      </c>
      <c r="H55">
        <f>lpg[[#This Row],[zbiornik LPG]]-lpg[[#This Row],[zyzucie lpg]]</f>
        <v>17.490000000000002</v>
      </c>
      <c r="I55">
        <f>IF(lpg[[#This Row],[dzien]]=4,IF(lpg[[#This Row],[pb po trasie]]&lt;40,45-lpg[[#This Row],[pb po trasie]],0),0)</f>
        <v>0</v>
      </c>
      <c r="J55">
        <f>IF(lpg[[#This Row],[lpg po trasie]]&lt;5,30-lpg[[#This Row],[lpg po trasie]],0)</f>
        <v>0</v>
      </c>
      <c r="K55">
        <f>WEEKDAY(lpg[[#This Row],[data]],2)</f>
        <v>7</v>
      </c>
      <c r="O55" s="1">
        <v>41693</v>
      </c>
      <c r="P55">
        <v>116</v>
      </c>
      <c r="Q55">
        <f>U54+W54</f>
        <v>43.8</v>
      </c>
      <c r="R55">
        <f>V54+X54</f>
        <v>27.93</v>
      </c>
      <c r="S55">
        <f>ROUND(IF(lpg_3[[#This Row],[zbiornik LPG]]&gt;15,0,(lpg_3[[#This Row],[km]]/2)*6/100),2)</f>
        <v>0</v>
      </c>
      <c r="T55">
        <f>ROUND(IF(lpg_3[[#This Row],[zbiornik LPG]]&gt;15,lpg_3[[#This Row],[km]]*9/100,(lpg_3[[#This Row],[km]]/2)*9/100),2)</f>
        <v>10.44</v>
      </c>
      <c r="U55">
        <f>lpg_3[[#This Row],[zbiornik PB95]]-lpg_3[[#This Row],[zuzycie PB95]]</f>
        <v>43.8</v>
      </c>
      <c r="V55">
        <f>lpg_3[[#This Row],[zbiornik LPG]]-lpg_3[[#This Row],[zyzucie lpg]]</f>
        <v>17.490000000000002</v>
      </c>
      <c r="W55">
        <f>IF(lpg_3[[#This Row],[dzien]]=4,IF(lpg_3[[#This Row],[pb po trasie]]&lt;40,45-lpg_3[[#This Row],[pb po trasie]],0),0)</f>
        <v>0</v>
      </c>
      <c r="X55">
        <f>IF(lpg_3[[#This Row],[lpg po trasie]]&lt;5,30-lpg_3[[#This Row],[lpg po trasie]],0)</f>
        <v>0</v>
      </c>
      <c r="Y55">
        <f>WEEKDAY(lpg_3[[#This Row],[data]],2)</f>
        <v>7</v>
      </c>
    </row>
    <row r="56" spans="1:25" x14ac:dyDescent="0.25">
      <c r="A56" s="1">
        <v>41694</v>
      </c>
      <c r="B56">
        <v>77</v>
      </c>
      <c r="C56">
        <f>G55+I55</f>
        <v>43.8</v>
      </c>
      <c r="D56">
        <f>H55+J55</f>
        <v>17.490000000000002</v>
      </c>
      <c r="E56">
        <f>ROUND(IF(lpg[[#This Row],[zbiornik LPG]]&gt;15,0,(lpg[[#This Row],[km]]/2)*6/100),2)</f>
        <v>0</v>
      </c>
      <c r="F56">
        <f>ROUND(IF(lpg[[#This Row],[zbiornik LPG]]&gt;15,lpg[[#This Row],[km]]*9/100,(lpg[[#This Row],[km]]/2)*9/100),2)</f>
        <v>6.93</v>
      </c>
      <c r="G56">
        <f>lpg[[#This Row],[zbiornik PB95]]-lpg[[#This Row],[zuzycie PB95]]</f>
        <v>43.8</v>
      </c>
      <c r="H56">
        <f>lpg[[#This Row],[zbiornik LPG]]-lpg[[#This Row],[zyzucie lpg]]</f>
        <v>10.560000000000002</v>
      </c>
      <c r="I56">
        <f>IF(lpg[[#This Row],[dzien]]=4,IF(lpg[[#This Row],[pb po trasie]]&lt;40,45-lpg[[#This Row],[pb po trasie]],0),0)</f>
        <v>0</v>
      </c>
      <c r="J56">
        <f>IF(lpg[[#This Row],[lpg po trasie]]&lt;5,30-lpg[[#This Row],[lpg po trasie]],0)</f>
        <v>0</v>
      </c>
      <c r="K56">
        <f>WEEKDAY(lpg[[#This Row],[data]],2)</f>
        <v>1</v>
      </c>
      <c r="O56" s="1">
        <v>41694</v>
      </c>
      <c r="P56">
        <v>77</v>
      </c>
      <c r="Q56">
        <f>U55+W55</f>
        <v>43.8</v>
      </c>
      <c r="R56">
        <f>V55+X55</f>
        <v>17.490000000000002</v>
      </c>
      <c r="S56">
        <f>ROUND(IF(lpg_3[[#This Row],[zbiornik LPG]]&gt;15,0,(lpg_3[[#This Row],[km]]/2)*6/100),2)</f>
        <v>0</v>
      </c>
      <c r="T56">
        <f>ROUND(IF(lpg_3[[#This Row],[zbiornik LPG]]&gt;15,lpg_3[[#This Row],[km]]*9/100,(lpg_3[[#This Row],[km]]/2)*9/100),2)</f>
        <v>6.93</v>
      </c>
      <c r="U56">
        <f>lpg_3[[#This Row],[zbiornik PB95]]-lpg_3[[#This Row],[zuzycie PB95]]</f>
        <v>43.8</v>
      </c>
      <c r="V56">
        <f>lpg_3[[#This Row],[zbiornik LPG]]-lpg_3[[#This Row],[zyzucie lpg]]</f>
        <v>10.560000000000002</v>
      </c>
      <c r="W56">
        <f>IF(lpg_3[[#This Row],[dzien]]=4,IF(lpg_3[[#This Row],[pb po trasie]]&lt;40,45-lpg_3[[#This Row],[pb po trasie]],0),0)</f>
        <v>0</v>
      </c>
      <c r="X56">
        <f>IF(lpg_3[[#This Row],[lpg po trasie]]&lt;5,30-lpg_3[[#This Row],[lpg po trasie]],0)</f>
        <v>0</v>
      </c>
      <c r="Y56">
        <f>WEEKDAY(lpg_3[[#This Row],[data]],2)</f>
        <v>1</v>
      </c>
    </row>
    <row r="57" spans="1:25" x14ac:dyDescent="0.25">
      <c r="A57" s="1">
        <v>41695</v>
      </c>
      <c r="B57">
        <v>126</v>
      </c>
      <c r="C57">
        <f>G56+I56</f>
        <v>43.8</v>
      </c>
      <c r="D57">
        <f>H56+J56</f>
        <v>10.560000000000002</v>
      </c>
      <c r="E57">
        <f>ROUND(IF(lpg[[#This Row],[zbiornik LPG]]&gt;15,0,(lpg[[#This Row],[km]]/2)*6/100),2)</f>
        <v>3.78</v>
      </c>
      <c r="F57">
        <f>ROUND(IF(lpg[[#This Row],[zbiornik LPG]]&gt;15,lpg[[#This Row],[km]]*9/100,(lpg[[#This Row],[km]]/2)*9/100),2)</f>
        <v>5.67</v>
      </c>
      <c r="G57">
        <f>lpg[[#This Row],[zbiornik PB95]]-lpg[[#This Row],[zuzycie PB95]]</f>
        <v>40.019999999999996</v>
      </c>
      <c r="H57">
        <f>lpg[[#This Row],[zbiornik LPG]]-lpg[[#This Row],[zyzucie lpg]]</f>
        <v>4.8900000000000023</v>
      </c>
      <c r="I57">
        <f>IF(lpg[[#This Row],[dzien]]=4,IF(lpg[[#This Row],[pb po trasie]]&lt;40,45-lpg[[#This Row],[pb po trasie]],0),0)</f>
        <v>0</v>
      </c>
      <c r="J57">
        <f>IF(lpg[[#This Row],[lpg po trasie]]&lt;5,30-lpg[[#This Row],[lpg po trasie]],0)</f>
        <v>25.11</v>
      </c>
      <c r="K57">
        <f>WEEKDAY(lpg[[#This Row],[data]],2)</f>
        <v>2</v>
      </c>
      <c r="O57" s="1">
        <v>41695</v>
      </c>
      <c r="P57">
        <v>126</v>
      </c>
      <c r="Q57">
        <f>U56+W56</f>
        <v>43.8</v>
      </c>
      <c r="R57">
        <f>V56+X56</f>
        <v>10.560000000000002</v>
      </c>
      <c r="S57">
        <f>ROUND(IF(lpg_3[[#This Row],[zbiornik LPG]]&gt;15,0,(lpg_3[[#This Row],[km]]/2)*6/100),2)</f>
        <v>3.78</v>
      </c>
      <c r="T57">
        <f>ROUND(IF(lpg_3[[#This Row],[zbiornik LPG]]&gt;15,lpg_3[[#This Row],[km]]*9/100,(lpg_3[[#This Row],[km]]/2)*9/100),2)</f>
        <v>5.67</v>
      </c>
      <c r="U57">
        <f>lpg_3[[#This Row],[zbiornik PB95]]-lpg_3[[#This Row],[zuzycie PB95]]</f>
        <v>40.019999999999996</v>
      </c>
      <c r="V57">
        <f>lpg_3[[#This Row],[zbiornik LPG]]-lpg_3[[#This Row],[zyzucie lpg]]</f>
        <v>4.8900000000000023</v>
      </c>
      <c r="W57">
        <f>IF(lpg_3[[#This Row],[dzien]]=4,IF(lpg_3[[#This Row],[pb po trasie]]&lt;40,45-lpg_3[[#This Row],[pb po trasie]],0),0)</f>
        <v>0</v>
      </c>
      <c r="X57">
        <f>IF(lpg_3[[#This Row],[lpg po trasie]]&lt;5,30-lpg_3[[#This Row],[lpg po trasie]],0)</f>
        <v>25.11</v>
      </c>
      <c r="Y57">
        <f>WEEKDAY(lpg_3[[#This Row],[data]],2)</f>
        <v>2</v>
      </c>
    </row>
    <row r="58" spans="1:25" x14ac:dyDescent="0.25">
      <c r="A58" s="1">
        <v>41696</v>
      </c>
      <c r="B58">
        <v>123</v>
      </c>
      <c r="C58">
        <f>G57+I57</f>
        <v>40.019999999999996</v>
      </c>
      <c r="D58">
        <f>H57+J57</f>
        <v>30</v>
      </c>
      <c r="E58">
        <f>ROUND(IF(lpg[[#This Row],[zbiornik LPG]]&gt;15,0,(lpg[[#This Row],[km]]/2)*6/100),2)</f>
        <v>0</v>
      </c>
      <c r="F58">
        <f>ROUND(IF(lpg[[#This Row],[zbiornik LPG]]&gt;15,lpg[[#This Row],[km]]*9/100,(lpg[[#This Row],[km]]/2)*9/100),2)</f>
        <v>11.07</v>
      </c>
      <c r="G58">
        <f>lpg[[#This Row],[zbiornik PB95]]-lpg[[#This Row],[zuzycie PB95]]</f>
        <v>40.019999999999996</v>
      </c>
      <c r="H58">
        <f>lpg[[#This Row],[zbiornik LPG]]-lpg[[#This Row],[zyzucie lpg]]</f>
        <v>18.93</v>
      </c>
      <c r="I58">
        <f>IF(lpg[[#This Row],[dzien]]=4,IF(lpg[[#This Row],[pb po trasie]]&lt;40,45-lpg[[#This Row],[pb po trasie]],0),0)</f>
        <v>0</v>
      </c>
      <c r="J58">
        <f>IF(lpg[[#This Row],[lpg po trasie]]&lt;5,30-lpg[[#This Row],[lpg po trasie]],0)</f>
        <v>0</v>
      </c>
      <c r="K58">
        <f>WEEKDAY(lpg[[#This Row],[data]],2)</f>
        <v>3</v>
      </c>
      <c r="O58" s="1">
        <v>41696</v>
      </c>
      <c r="P58">
        <v>123</v>
      </c>
      <c r="Q58">
        <f>U57+W57</f>
        <v>40.019999999999996</v>
      </c>
      <c r="R58">
        <f>V57+X57</f>
        <v>30</v>
      </c>
      <c r="S58">
        <f>ROUND(IF(lpg_3[[#This Row],[zbiornik LPG]]&gt;15,0,(lpg_3[[#This Row],[km]]/2)*6/100),2)</f>
        <v>0</v>
      </c>
      <c r="T58">
        <f>ROUND(IF(lpg_3[[#This Row],[zbiornik LPG]]&gt;15,lpg_3[[#This Row],[km]]*9/100,(lpg_3[[#This Row],[km]]/2)*9/100),2)</f>
        <v>11.07</v>
      </c>
      <c r="U58">
        <f>lpg_3[[#This Row],[zbiornik PB95]]-lpg_3[[#This Row],[zuzycie PB95]]</f>
        <v>40.019999999999996</v>
      </c>
      <c r="V58">
        <f>lpg_3[[#This Row],[zbiornik LPG]]-lpg_3[[#This Row],[zyzucie lpg]]</f>
        <v>18.93</v>
      </c>
      <c r="W58">
        <f>IF(lpg_3[[#This Row],[dzien]]=4,IF(lpg_3[[#This Row],[pb po trasie]]&lt;40,45-lpg_3[[#This Row],[pb po trasie]],0),0)</f>
        <v>0</v>
      </c>
      <c r="X58">
        <f>IF(lpg_3[[#This Row],[lpg po trasie]]&lt;5,30-lpg_3[[#This Row],[lpg po trasie]],0)</f>
        <v>0</v>
      </c>
      <c r="Y58">
        <f>WEEKDAY(lpg_3[[#This Row],[data]],2)</f>
        <v>3</v>
      </c>
    </row>
    <row r="59" spans="1:25" x14ac:dyDescent="0.25">
      <c r="A59" s="1">
        <v>41697</v>
      </c>
      <c r="B59">
        <v>33</v>
      </c>
      <c r="C59">
        <f>G58+I58</f>
        <v>40.019999999999996</v>
      </c>
      <c r="D59">
        <f>H58+J58</f>
        <v>18.93</v>
      </c>
      <c r="E59">
        <f>ROUND(IF(lpg[[#This Row],[zbiornik LPG]]&gt;15,0,(lpg[[#This Row],[km]]/2)*6/100),2)</f>
        <v>0</v>
      </c>
      <c r="F59">
        <f>ROUND(IF(lpg[[#This Row],[zbiornik LPG]]&gt;15,lpg[[#This Row],[km]]*9/100,(lpg[[#This Row],[km]]/2)*9/100),2)</f>
        <v>2.97</v>
      </c>
      <c r="G59">
        <f>lpg[[#This Row],[zbiornik PB95]]-lpg[[#This Row],[zuzycie PB95]]</f>
        <v>40.019999999999996</v>
      </c>
      <c r="H59">
        <f>lpg[[#This Row],[zbiornik LPG]]-lpg[[#This Row],[zyzucie lpg]]</f>
        <v>15.959999999999999</v>
      </c>
      <c r="I59">
        <f>IF(lpg[[#This Row],[dzien]]=4,IF(lpg[[#This Row],[pb po trasie]]&lt;40,45-lpg[[#This Row],[pb po trasie]],0),0)</f>
        <v>0</v>
      </c>
      <c r="J59">
        <f>IF(lpg[[#This Row],[lpg po trasie]]&lt;5,30-lpg[[#This Row],[lpg po trasie]],0)</f>
        <v>0</v>
      </c>
      <c r="K59">
        <f>WEEKDAY(lpg[[#This Row],[data]],2)</f>
        <v>4</v>
      </c>
      <c r="O59" s="1">
        <v>41697</v>
      </c>
      <c r="P59">
        <v>33</v>
      </c>
      <c r="Q59">
        <f>U58+W58</f>
        <v>40.019999999999996</v>
      </c>
      <c r="R59">
        <f>V58+X58</f>
        <v>18.93</v>
      </c>
      <c r="S59">
        <f>ROUND(IF(lpg_3[[#This Row],[zbiornik LPG]]&gt;15,0,(lpg_3[[#This Row],[km]]/2)*6/100),2)</f>
        <v>0</v>
      </c>
      <c r="T59">
        <f>ROUND(IF(lpg_3[[#This Row],[zbiornik LPG]]&gt;15,lpg_3[[#This Row],[km]]*9/100,(lpg_3[[#This Row],[km]]/2)*9/100),2)</f>
        <v>2.97</v>
      </c>
      <c r="U59">
        <f>lpg_3[[#This Row],[zbiornik PB95]]-lpg_3[[#This Row],[zuzycie PB95]]</f>
        <v>40.019999999999996</v>
      </c>
      <c r="V59">
        <f>lpg_3[[#This Row],[zbiornik LPG]]-lpg_3[[#This Row],[zyzucie lpg]]</f>
        <v>15.959999999999999</v>
      </c>
      <c r="W59">
        <f>IF(lpg_3[[#This Row],[dzien]]=4,IF(lpg_3[[#This Row],[pb po trasie]]&lt;40,45-lpg_3[[#This Row],[pb po trasie]],0),0)</f>
        <v>0</v>
      </c>
      <c r="X59">
        <f>IF(lpg_3[[#This Row],[lpg po trasie]]&lt;5,30-lpg_3[[#This Row],[lpg po trasie]],0)</f>
        <v>0</v>
      </c>
      <c r="Y59">
        <f>WEEKDAY(lpg_3[[#This Row],[data]],2)</f>
        <v>4</v>
      </c>
    </row>
    <row r="60" spans="1:25" x14ac:dyDescent="0.25">
      <c r="A60" s="1">
        <v>41698</v>
      </c>
      <c r="B60">
        <v>34</v>
      </c>
      <c r="C60">
        <f>G59+I59</f>
        <v>40.019999999999996</v>
      </c>
      <c r="D60">
        <f>H59+J59</f>
        <v>15.959999999999999</v>
      </c>
      <c r="E60">
        <f>ROUND(IF(lpg[[#This Row],[zbiornik LPG]]&gt;15,0,(lpg[[#This Row],[km]]/2)*6/100),2)</f>
        <v>0</v>
      </c>
      <c r="F60">
        <f>ROUND(IF(lpg[[#This Row],[zbiornik LPG]]&gt;15,lpg[[#This Row],[km]]*9/100,(lpg[[#This Row],[km]]/2)*9/100),2)</f>
        <v>3.06</v>
      </c>
      <c r="G60">
        <f>lpg[[#This Row],[zbiornik PB95]]-lpg[[#This Row],[zuzycie PB95]]</f>
        <v>40.019999999999996</v>
      </c>
      <c r="H60">
        <f>lpg[[#This Row],[zbiornik LPG]]-lpg[[#This Row],[zyzucie lpg]]</f>
        <v>12.899999999999999</v>
      </c>
      <c r="I60">
        <f>IF(lpg[[#This Row],[dzien]]=4,IF(lpg[[#This Row],[pb po trasie]]&lt;40,45-lpg[[#This Row],[pb po trasie]],0),0)</f>
        <v>0</v>
      </c>
      <c r="J60">
        <f>IF(lpg[[#This Row],[lpg po trasie]]&lt;5,30-lpg[[#This Row],[lpg po trasie]],0)</f>
        <v>0</v>
      </c>
      <c r="K60">
        <f>WEEKDAY(lpg[[#This Row],[data]],2)</f>
        <v>5</v>
      </c>
      <c r="O60" s="1">
        <v>41698</v>
      </c>
      <c r="P60">
        <v>34</v>
      </c>
      <c r="Q60">
        <f>U59+W59</f>
        <v>40.019999999999996</v>
      </c>
      <c r="R60">
        <f>V59+X59</f>
        <v>15.959999999999999</v>
      </c>
      <c r="S60">
        <f>ROUND(IF(lpg_3[[#This Row],[zbiornik LPG]]&gt;15,0,(lpg_3[[#This Row],[km]]/2)*6/100),2)</f>
        <v>0</v>
      </c>
      <c r="T60">
        <f>ROUND(IF(lpg_3[[#This Row],[zbiornik LPG]]&gt;15,lpg_3[[#This Row],[km]]*9/100,(lpg_3[[#This Row],[km]]/2)*9/100),2)</f>
        <v>3.06</v>
      </c>
      <c r="U60">
        <f>lpg_3[[#This Row],[zbiornik PB95]]-lpg_3[[#This Row],[zuzycie PB95]]</f>
        <v>40.019999999999996</v>
      </c>
      <c r="V60">
        <f>lpg_3[[#This Row],[zbiornik LPG]]-lpg_3[[#This Row],[zyzucie lpg]]</f>
        <v>12.899999999999999</v>
      </c>
      <c r="W60">
        <f>IF(lpg_3[[#This Row],[dzien]]=4,IF(lpg_3[[#This Row],[pb po trasie]]&lt;40,45-lpg_3[[#This Row],[pb po trasie]],0),0)</f>
        <v>0</v>
      </c>
      <c r="X60">
        <f>IF(lpg_3[[#This Row],[lpg po trasie]]&lt;5,30-lpg_3[[#This Row],[lpg po trasie]],0)</f>
        <v>0</v>
      </c>
      <c r="Y60">
        <f>WEEKDAY(lpg_3[[#This Row],[data]],2)</f>
        <v>5</v>
      </c>
    </row>
    <row r="61" spans="1:25" x14ac:dyDescent="0.25">
      <c r="A61" s="1">
        <v>41699</v>
      </c>
      <c r="B61">
        <v>137</v>
      </c>
      <c r="C61">
        <f>G60+I60</f>
        <v>40.019999999999996</v>
      </c>
      <c r="D61">
        <f>H60+J60</f>
        <v>12.899999999999999</v>
      </c>
      <c r="E61">
        <f>ROUND(IF(lpg[[#This Row],[zbiornik LPG]]&gt;15,0,(lpg[[#This Row],[km]]/2)*6/100),2)</f>
        <v>4.1100000000000003</v>
      </c>
      <c r="F61">
        <f>ROUND(IF(lpg[[#This Row],[zbiornik LPG]]&gt;15,lpg[[#This Row],[km]]*9/100,(lpg[[#This Row],[km]]/2)*9/100),2)</f>
        <v>6.17</v>
      </c>
      <c r="G61">
        <f>lpg[[#This Row],[zbiornik PB95]]-lpg[[#This Row],[zuzycie PB95]]</f>
        <v>35.909999999999997</v>
      </c>
      <c r="H61">
        <f>lpg[[#This Row],[zbiornik LPG]]-lpg[[#This Row],[zyzucie lpg]]</f>
        <v>6.7299999999999986</v>
      </c>
      <c r="I61">
        <f>IF(lpg[[#This Row],[dzien]]=4,IF(lpg[[#This Row],[pb po trasie]]&lt;40,45-lpg[[#This Row],[pb po trasie]],0),0)</f>
        <v>0</v>
      </c>
      <c r="J61">
        <f>IF(lpg[[#This Row],[lpg po trasie]]&lt;5,30-lpg[[#This Row],[lpg po trasie]],0)</f>
        <v>0</v>
      </c>
      <c r="K61">
        <f>WEEKDAY(lpg[[#This Row],[data]],2)</f>
        <v>6</v>
      </c>
      <c r="O61" s="1">
        <v>41699</v>
      </c>
      <c r="P61">
        <v>137</v>
      </c>
      <c r="Q61">
        <f>U60+W60</f>
        <v>40.019999999999996</v>
      </c>
      <c r="R61">
        <f>V60+X60</f>
        <v>12.899999999999999</v>
      </c>
      <c r="S61">
        <f>ROUND(IF(lpg_3[[#This Row],[zbiornik LPG]]&gt;15,0,(lpg_3[[#This Row],[km]]/2)*6/100),2)</f>
        <v>4.1100000000000003</v>
      </c>
      <c r="T61">
        <f>ROUND(IF(lpg_3[[#This Row],[zbiornik LPG]]&gt;15,lpg_3[[#This Row],[km]]*9/100,(lpg_3[[#This Row],[km]]/2)*9/100),2)</f>
        <v>6.17</v>
      </c>
      <c r="U61">
        <f>lpg_3[[#This Row],[zbiornik PB95]]-lpg_3[[#This Row],[zuzycie PB95]]</f>
        <v>35.909999999999997</v>
      </c>
      <c r="V61">
        <f>lpg_3[[#This Row],[zbiornik LPG]]-lpg_3[[#This Row],[zyzucie lpg]]</f>
        <v>6.7299999999999986</v>
      </c>
      <c r="W61">
        <f>IF(lpg_3[[#This Row],[dzien]]=4,IF(lpg_3[[#This Row],[pb po trasie]]&lt;40,45-lpg_3[[#This Row],[pb po trasie]],0),0)</f>
        <v>0</v>
      </c>
      <c r="X61">
        <f>IF(lpg_3[[#This Row],[lpg po trasie]]&lt;5,30-lpg_3[[#This Row],[lpg po trasie]],0)</f>
        <v>0</v>
      </c>
      <c r="Y61">
        <f>WEEKDAY(lpg_3[[#This Row],[data]],2)</f>
        <v>6</v>
      </c>
    </row>
    <row r="62" spans="1:25" x14ac:dyDescent="0.25">
      <c r="A62" s="1">
        <v>41700</v>
      </c>
      <c r="B62">
        <v>39</v>
      </c>
      <c r="C62">
        <f>G61+I61</f>
        <v>35.909999999999997</v>
      </c>
      <c r="D62">
        <f>H61+J61</f>
        <v>6.7299999999999986</v>
      </c>
      <c r="E62">
        <f>ROUND(IF(lpg[[#This Row],[zbiornik LPG]]&gt;15,0,(lpg[[#This Row],[km]]/2)*6/100),2)</f>
        <v>1.17</v>
      </c>
      <c r="F62">
        <f>ROUND(IF(lpg[[#This Row],[zbiornik LPG]]&gt;15,lpg[[#This Row],[km]]*9/100,(lpg[[#This Row],[km]]/2)*9/100),2)</f>
        <v>1.76</v>
      </c>
      <c r="G62">
        <f>lpg[[#This Row],[zbiornik PB95]]-lpg[[#This Row],[zuzycie PB95]]</f>
        <v>34.739999999999995</v>
      </c>
      <c r="H62">
        <f>lpg[[#This Row],[zbiornik LPG]]-lpg[[#This Row],[zyzucie lpg]]</f>
        <v>4.9699999999999989</v>
      </c>
      <c r="I62">
        <f>IF(lpg[[#This Row],[dzien]]=4,IF(lpg[[#This Row],[pb po trasie]]&lt;40,45-lpg[[#This Row],[pb po trasie]],0),0)</f>
        <v>0</v>
      </c>
      <c r="J62">
        <f>IF(lpg[[#This Row],[lpg po trasie]]&lt;5,30-lpg[[#This Row],[lpg po trasie]],0)</f>
        <v>25.03</v>
      </c>
      <c r="K62">
        <f>WEEKDAY(lpg[[#This Row],[data]],2)</f>
        <v>7</v>
      </c>
      <c r="O62" s="1">
        <v>41700</v>
      </c>
      <c r="P62">
        <v>39</v>
      </c>
      <c r="Q62">
        <f>U61+W61</f>
        <v>35.909999999999997</v>
      </c>
      <c r="R62">
        <f>V61+X61</f>
        <v>6.7299999999999986</v>
      </c>
      <c r="S62">
        <f>ROUND(IF(lpg_3[[#This Row],[zbiornik LPG]]&gt;15,0,(lpg_3[[#This Row],[km]]/2)*6/100),2)</f>
        <v>1.17</v>
      </c>
      <c r="T62">
        <f>ROUND(IF(lpg_3[[#This Row],[zbiornik LPG]]&gt;15,lpg_3[[#This Row],[km]]*9/100,(lpg_3[[#This Row],[km]]/2)*9/100),2)</f>
        <v>1.76</v>
      </c>
      <c r="U62">
        <f>lpg_3[[#This Row],[zbiornik PB95]]-lpg_3[[#This Row],[zuzycie PB95]]</f>
        <v>34.739999999999995</v>
      </c>
      <c r="V62">
        <f>lpg_3[[#This Row],[zbiornik LPG]]-lpg_3[[#This Row],[zyzucie lpg]]</f>
        <v>4.9699999999999989</v>
      </c>
      <c r="W62">
        <f>IF(lpg_3[[#This Row],[dzien]]=4,IF(lpg_3[[#This Row],[pb po trasie]]&lt;40,45-lpg_3[[#This Row],[pb po trasie]],0),0)</f>
        <v>0</v>
      </c>
      <c r="X62">
        <f>IF(lpg_3[[#This Row],[lpg po trasie]]&lt;5,30-lpg_3[[#This Row],[lpg po trasie]],0)</f>
        <v>25.03</v>
      </c>
      <c r="Y62">
        <f>WEEKDAY(lpg_3[[#This Row],[data]],2)</f>
        <v>7</v>
      </c>
    </row>
    <row r="63" spans="1:25" x14ac:dyDescent="0.25">
      <c r="A63" s="1">
        <v>41701</v>
      </c>
      <c r="B63">
        <v>99</v>
      </c>
      <c r="C63">
        <f>G62+I62</f>
        <v>34.739999999999995</v>
      </c>
      <c r="D63">
        <f>H62+J62</f>
        <v>30</v>
      </c>
      <c r="E63">
        <f>ROUND(IF(lpg[[#This Row],[zbiornik LPG]]&gt;15,0,(lpg[[#This Row],[km]]/2)*6/100),2)</f>
        <v>0</v>
      </c>
      <c r="F63">
        <f>ROUND(IF(lpg[[#This Row],[zbiornik LPG]]&gt;15,lpg[[#This Row],[km]]*9/100,(lpg[[#This Row],[km]]/2)*9/100),2)</f>
        <v>8.91</v>
      </c>
      <c r="G63">
        <f>lpg[[#This Row],[zbiornik PB95]]-lpg[[#This Row],[zuzycie PB95]]</f>
        <v>34.739999999999995</v>
      </c>
      <c r="H63">
        <f>lpg[[#This Row],[zbiornik LPG]]-lpg[[#This Row],[zyzucie lpg]]</f>
        <v>21.09</v>
      </c>
      <c r="I63">
        <f>IF(lpg[[#This Row],[dzien]]=4,IF(lpg[[#This Row],[pb po trasie]]&lt;40,45-lpg[[#This Row],[pb po trasie]],0),0)</f>
        <v>0</v>
      </c>
      <c r="J63">
        <f>IF(lpg[[#This Row],[lpg po trasie]]&lt;5,30-lpg[[#This Row],[lpg po trasie]],0)</f>
        <v>0</v>
      </c>
      <c r="K63">
        <f>WEEKDAY(lpg[[#This Row],[data]],2)</f>
        <v>1</v>
      </c>
      <c r="O63" s="1">
        <v>41701</v>
      </c>
      <c r="P63">
        <v>99</v>
      </c>
      <c r="Q63">
        <f>U62+W62</f>
        <v>34.739999999999995</v>
      </c>
      <c r="R63">
        <f>V62+X62</f>
        <v>30</v>
      </c>
      <c r="S63">
        <f>ROUND(IF(lpg_3[[#This Row],[zbiornik LPG]]&gt;15,0,(lpg_3[[#This Row],[km]]/2)*6/100),2)</f>
        <v>0</v>
      </c>
      <c r="T63">
        <f>ROUND(IF(lpg_3[[#This Row],[zbiornik LPG]]&gt;15,lpg_3[[#This Row],[km]]*9/100,(lpg_3[[#This Row],[km]]/2)*9/100),2)</f>
        <v>8.91</v>
      </c>
      <c r="U63">
        <f>lpg_3[[#This Row],[zbiornik PB95]]-lpg_3[[#This Row],[zuzycie PB95]]</f>
        <v>34.739999999999995</v>
      </c>
      <c r="V63">
        <f>lpg_3[[#This Row],[zbiornik LPG]]-lpg_3[[#This Row],[zyzucie lpg]]</f>
        <v>21.09</v>
      </c>
      <c r="W63">
        <f>IF(lpg_3[[#This Row],[dzien]]=4,IF(lpg_3[[#This Row],[pb po trasie]]&lt;40,45-lpg_3[[#This Row],[pb po trasie]],0),0)</f>
        <v>0</v>
      </c>
      <c r="X63">
        <f>IF(lpg_3[[#This Row],[lpg po trasie]]&lt;5,30-lpg_3[[#This Row],[lpg po trasie]],0)</f>
        <v>0</v>
      </c>
      <c r="Y63">
        <f>WEEKDAY(lpg_3[[#This Row],[data]],2)</f>
        <v>1</v>
      </c>
    </row>
    <row r="64" spans="1:25" x14ac:dyDescent="0.25">
      <c r="A64" s="1">
        <v>41702</v>
      </c>
      <c r="B64">
        <v>65</v>
      </c>
      <c r="C64">
        <f>G63+I63</f>
        <v>34.739999999999995</v>
      </c>
      <c r="D64">
        <f>H63+J63</f>
        <v>21.09</v>
      </c>
      <c r="E64">
        <f>ROUND(IF(lpg[[#This Row],[zbiornik LPG]]&gt;15,0,(lpg[[#This Row],[km]]/2)*6/100),2)</f>
        <v>0</v>
      </c>
      <c r="F64">
        <f>ROUND(IF(lpg[[#This Row],[zbiornik LPG]]&gt;15,lpg[[#This Row],[km]]*9/100,(lpg[[#This Row],[km]]/2)*9/100),2)</f>
        <v>5.85</v>
      </c>
      <c r="G64">
        <f>lpg[[#This Row],[zbiornik PB95]]-lpg[[#This Row],[zuzycie PB95]]</f>
        <v>34.739999999999995</v>
      </c>
      <c r="H64">
        <f>lpg[[#This Row],[zbiornik LPG]]-lpg[[#This Row],[zyzucie lpg]]</f>
        <v>15.24</v>
      </c>
      <c r="I64">
        <f>IF(lpg[[#This Row],[dzien]]=4,IF(lpg[[#This Row],[pb po trasie]]&lt;40,45-lpg[[#This Row],[pb po trasie]],0),0)</f>
        <v>0</v>
      </c>
      <c r="J64">
        <f>IF(lpg[[#This Row],[lpg po trasie]]&lt;5,30-lpg[[#This Row],[lpg po trasie]],0)</f>
        <v>0</v>
      </c>
      <c r="K64">
        <f>WEEKDAY(lpg[[#This Row],[data]],2)</f>
        <v>2</v>
      </c>
      <c r="O64" s="1">
        <v>41702</v>
      </c>
      <c r="P64">
        <v>65</v>
      </c>
      <c r="Q64">
        <f>U63+W63</f>
        <v>34.739999999999995</v>
      </c>
      <c r="R64">
        <f>V63+X63</f>
        <v>21.09</v>
      </c>
      <c r="S64">
        <f>ROUND(IF(lpg_3[[#This Row],[zbiornik LPG]]&gt;15,0,(lpg_3[[#This Row],[km]]/2)*6/100),2)</f>
        <v>0</v>
      </c>
      <c r="T64">
        <f>ROUND(IF(lpg_3[[#This Row],[zbiornik LPG]]&gt;15,lpg_3[[#This Row],[km]]*9/100,(lpg_3[[#This Row],[km]]/2)*9/100),2)</f>
        <v>5.85</v>
      </c>
      <c r="U64">
        <f>lpg_3[[#This Row],[zbiornik PB95]]-lpg_3[[#This Row],[zuzycie PB95]]</f>
        <v>34.739999999999995</v>
      </c>
      <c r="V64">
        <f>lpg_3[[#This Row],[zbiornik LPG]]-lpg_3[[#This Row],[zyzucie lpg]]</f>
        <v>15.24</v>
      </c>
      <c r="W64">
        <f>IF(lpg_3[[#This Row],[dzien]]=4,IF(lpg_3[[#This Row],[pb po trasie]]&lt;40,45-lpg_3[[#This Row],[pb po trasie]],0),0)</f>
        <v>0</v>
      </c>
      <c r="X64">
        <f>IF(lpg_3[[#This Row],[lpg po trasie]]&lt;5,30-lpg_3[[#This Row],[lpg po trasie]],0)</f>
        <v>0</v>
      </c>
      <c r="Y64">
        <f>WEEKDAY(lpg_3[[#This Row],[data]],2)</f>
        <v>2</v>
      </c>
    </row>
    <row r="65" spans="1:25" x14ac:dyDescent="0.25">
      <c r="A65" s="1">
        <v>41703</v>
      </c>
      <c r="B65">
        <v>81</v>
      </c>
      <c r="C65">
        <f>G64+I64</f>
        <v>34.739999999999995</v>
      </c>
      <c r="D65">
        <f>H64+J64</f>
        <v>15.24</v>
      </c>
      <c r="E65">
        <f>ROUND(IF(lpg[[#This Row],[zbiornik LPG]]&gt;15,0,(lpg[[#This Row],[km]]/2)*6/100),2)</f>
        <v>0</v>
      </c>
      <c r="F65">
        <f>ROUND(IF(lpg[[#This Row],[zbiornik LPG]]&gt;15,lpg[[#This Row],[km]]*9/100,(lpg[[#This Row],[km]]/2)*9/100),2)</f>
        <v>7.29</v>
      </c>
      <c r="G65">
        <f>lpg[[#This Row],[zbiornik PB95]]-lpg[[#This Row],[zuzycie PB95]]</f>
        <v>34.739999999999995</v>
      </c>
      <c r="H65">
        <f>lpg[[#This Row],[zbiornik LPG]]-lpg[[#This Row],[zyzucie lpg]]</f>
        <v>7.95</v>
      </c>
      <c r="I65">
        <f>IF(lpg[[#This Row],[dzien]]=4,IF(lpg[[#This Row],[pb po trasie]]&lt;40,45-lpg[[#This Row],[pb po trasie]],0),0)</f>
        <v>0</v>
      </c>
      <c r="J65">
        <f>IF(lpg[[#This Row],[lpg po trasie]]&lt;5,30-lpg[[#This Row],[lpg po trasie]],0)</f>
        <v>0</v>
      </c>
      <c r="K65">
        <f>WEEKDAY(lpg[[#This Row],[data]],2)</f>
        <v>3</v>
      </c>
      <c r="O65" s="1">
        <v>41703</v>
      </c>
      <c r="P65">
        <v>81</v>
      </c>
      <c r="Q65">
        <f>U64+W64</f>
        <v>34.739999999999995</v>
      </c>
      <c r="R65">
        <f>V64+X64</f>
        <v>15.24</v>
      </c>
      <c r="S65">
        <f>ROUND(IF(lpg_3[[#This Row],[zbiornik LPG]]&gt;15,0,(lpg_3[[#This Row],[km]]/2)*6/100),2)</f>
        <v>0</v>
      </c>
      <c r="T65">
        <f>ROUND(IF(lpg_3[[#This Row],[zbiornik LPG]]&gt;15,lpg_3[[#This Row],[km]]*9/100,(lpg_3[[#This Row],[km]]/2)*9/100),2)</f>
        <v>7.29</v>
      </c>
      <c r="U65">
        <f>lpg_3[[#This Row],[zbiornik PB95]]-lpg_3[[#This Row],[zuzycie PB95]]</f>
        <v>34.739999999999995</v>
      </c>
      <c r="V65">
        <f>lpg_3[[#This Row],[zbiornik LPG]]-lpg_3[[#This Row],[zyzucie lpg]]</f>
        <v>7.95</v>
      </c>
      <c r="W65">
        <f>IF(lpg_3[[#This Row],[dzien]]=4,IF(lpg_3[[#This Row],[pb po trasie]]&lt;40,45-lpg_3[[#This Row],[pb po trasie]],0),0)</f>
        <v>0</v>
      </c>
      <c r="X65">
        <f>IF(lpg_3[[#This Row],[lpg po trasie]]&lt;5,30-lpg_3[[#This Row],[lpg po trasie]],0)</f>
        <v>0</v>
      </c>
      <c r="Y65">
        <f>WEEKDAY(lpg_3[[#This Row],[data]],2)</f>
        <v>3</v>
      </c>
    </row>
    <row r="66" spans="1:25" x14ac:dyDescent="0.25">
      <c r="A66" s="1">
        <v>41704</v>
      </c>
      <c r="B66">
        <v>42</v>
      </c>
      <c r="C66">
        <f>G65+I65</f>
        <v>34.739999999999995</v>
      </c>
      <c r="D66">
        <f>H65+J65</f>
        <v>7.95</v>
      </c>
      <c r="E66">
        <f>ROUND(IF(lpg[[#This Row],[zbiornik LPG]]&gt;15,0,(lpg[[#This Row],[km]]/2)*6/100),2)</f>
        <v>1.26</v>
      </c>
      <c r="F66">
        <f>ROUND(IF(lpg[[#This Row],[zbiornik LPG]]&gt;15,lpg[[#This Row],[km]]*9/100,(lpg[[#This Row],[km]]/2)*9/100),2)</f>
        <v>1.89</v>
      </c>
      <c r="G66">
        <f>lpg[[#This Row],[zbiornik PB95]]-lpg[[#This Row],[zuzycie PB95]]</f>
        <v>33.479999999999997</v>
      </c>
      <c r="H66">
        <f>lpg[[#This Row],[zbiornik LPG]]-lpg[[#This Row],[zyzucie lpg]]</f>
        <v>6.0600000000000005</v>
      </c>
      <c r="I66">
        <f>IF(lpg[[#This Row],[dzien]]=4,IF(lpg[[#This Row],[pb po trasie]]&lt;40,45-lpg[[#This Row],[pb po trasie]],0),0)</f>
        <v>11.520000000000003</v>
      </c>
      <c r="J66">
        <f>IF(lpg[[#This Row],[lpg po trasie]]&lt;5,30-lpg[[#This Row],[lpg po trasie]],0)</f>
        <v>0</v>
      </c>
      <c r="K66">
        <f>WEEKDAY(lpg[[#This Row],[data]],2)</f>
        <v>4</v>
      </c>
      <c r="O66" s="1">
        <v>41704</v>
      </c>
      <c r="P66">
        <v>42</v>
      </c>
      <c r="Q66">
        <f>U65+W65</f>
        <v>34.739999999999995</v>
      </c>
      <c r="R66">
        <f>V65+X65</f>
        <v>7.95</v>
      </c>
      <c r="S66">
        <f>ROUND(IF(lpg_3[[#This Row],[zbiornik LPG]]&gt;15,0,(lpg_3[[#This Row],[km]]/2)*6/100),2)</f>
        <v>1.26</v>
      </c>
      <c r="T66">
        <f>ROUND(IF(lpg_3[[#This Row],[zbiornik LPG]]&gt;15,lpg_3[[#This Row],[km]]*9/100,(lpg_3[[#This Row],[km]]/2)*9/100),2)</f>
        <v>1.89</v>
      </c>
      <c r="U66">
        <f>lpg_3[[#This Row],[zbiornik PB95]]-lpg_3[[#This Row],[zuzycie PB95]]</f>
        <v>33.479999999999997</v>
      </c>
      <c r="V66">
        <f>lpg_3[[#This Row],[zbiornik LPG]]-lpg_3[[#This Row],[zyzucie lpg]]</f>
        <v>6.0600000000000005</v>
      </c>
      <c r="W66">
        <f>IF(lpg_3[[#This Row],[dzien]]=4,IF(lpg_3[[#This Row],[pb po trasie]]&lt;40,45-lpg_3[[#This Row],[pb po trasie]],0),0)</f>
        <v>11.520000000000003</v>
      </c>
      <c r="X66">
        <f>IF(lpg_3[[#This Row],[lpg po trasie]]&lt;5,30-lpg_3[[#This Row],[lpg po trasie]],0)</f>
        <v>0</v>
      </c>
      <c r="Y66">
        <f>WEEKDAY(lpg_3[[#This Row],[data]],2)</f>
        <v>4</v>
      </c>
    </row>
    <row r="67" spans="1:25" x14ac:dyDescent="0.25">
      <c r="A67" s="1">
        <v>41705</v>
      </c>
      <c r="B67">
        <v>73</v>
      </c>
      <c r="C67">
        <f>G66+I66</f>
        <v>45</v>
      </c>
      <c r="D67">
        <f>H66+J66</f>
        <v>6.0600000000000005</v>
      </c>
      <c r="E67">
        <f>ROUND(IF(lpg[[#This Row],[zbiornik LPG]]&gt;15,0,(lpg[[#This Row],[km]]/2)*6/100),2)</f>
        <v>2.19</v>
      </c>
      <c r="F67">
        <f>ROUND(IF(lpg[[#This Row],[zbiornik LPG]]&gt;15,lpg[[#This Row],[km]]*9/100,(lpg[[#This Row],[km]]/2)*9/100),2)</f>
        <v>3.29</v>
      </c>
      <c r="G67">
        <f>lpg[[#This Row],[zbiornik PB95]]-lpg[[#This Row],[zuzycie PB95]]</f>
        <v>42.81</v>
      </c>
      <c r="H67">
        <f>lpg[[#This Row],[zbiornik LPG]]-lpg[[#This Row],[zyzucie lpg]]</f>
        <v>2.7700000000000005</v>
      </c>
      <c r="I67">
        <f>IF(lpg[[#This Row],[dzien]]=4,IF(lpg[[#This Row],[pb po trasie]]&lt;40,45-lpg[[#This Row],[pb po trasie]],0),0)</f>
        <v>0</v>
      </c>
      <c r="J67">
        <f>IF(lpg[[#This Row],[lpg po trasie]]&lt;5,30-lpg[[#This Row],[lpg po trasie]],0)</f>
        <v>27.23</v>
      </c>
      <c r="K67">
        <f>WEEKDAY(lpg[[#This Row],[data]],2)</f>
        <v>5</v>
      </c>
      <c r="O67" s="1">
        <v>41705</v>
      </c>
      <c r="P67">
        <v>73</v>
      </c>
      <c r="Q67">
        <f>U66+W66</f>
        <v>45</v>
      </c>
      <c r="R67">
        <f>V66+X66</f>
        <v>6.0600000000000005</v>
      </c>
      <c r="S67">
        <f>ROUND(IF(lpg_3[[#This Row],[zbiornik LPG]]&gt;15,0,(lpg_3[[#This Row],[km]]/2)*6/100),2)</f>
        <v>2.19</v>
      </c>
      <c r="T67">
        <f>ROUND(IF(lpg_3[[#This Row],[zbiornik LPG]]&gt;15,lpg_3[[#This Row],[km]]*9/100,(lpg_3[[#This Row],[km]]/2)*9/100),2)</f>
        <v>3.29</v>
      </c>
      <c r="U67">
        <f>lpg_3[[#This Row],[zbiornik PB95]]-lpg_3[[#This Row],[zuzycie PB95]]</f>
        <v>42.81</v>
      </c>
      <c r="V67">
        <f>lpg_3[[#This Row],[zbiornik LPG]]-lpg_3[[#This Row],[zyzucie lpg]]</f>
        <v>2.7700000000000005</v>
      </c>
      <c r="W67">
        <f>IF(lpg_3[[#This Row],[dzien]]=4,IF(lpg_3[[#This Row],[pb po trasie]]&lt;40,45-lpg_3[[#This Row],[pb po trasie]],0),0)</f>
        <v>0</v>
      </c>
      <c r="X67">
        <f>IF(lpg_3[[#This Row],[lpg po trasie]]&lt;5,30-lpg_3[[#This Row],[lpg po trasie]],0)</f>
        <v>27.23</v>
      </c>
      <c r="Y67">
        <f>WEEKDAY(lpg_3[[#This Row],[data]],2)</f>
        <v>5</v>
      </c>
    </row>
    <row r="68" spans="1:25" x14ac:dyDescent="0.25">
      <c r="A68" s="1">
        <v>41706</v>
      </c>
      <c r="B68">
        <v>95</v>
      </c>
      <c r="C68">
        <f>G67+I67</f>
        <v>42.81</v>
      </c>
      <c r="D68">
        <f>H67+J67</f>
        <v>30</v>
      </c>
      <c r="E68">
        <f>ROUND(IF(lpg[[#This Row],[zbiornik LPG]]&gt;15,0,(lpg[[#This Row],[km]]/2)*6/100),2)</f>
        <v>0</v>
      </c>
      <c r="F68">
        <f>ROUND(IF(lpg[[#This Row],[zbiornik LPG]]&gt;15,lpg[[#This Row],[km]]*9/100,(lpg[[#This Row],[km]]/2)*9/100),2)</f>
        <v>8.5500000000000007</v>
      </c>
      <c r="G68">
        <f>lpg[[#This Row],[zbiornik PB95]]-lpg[[#This Row],[zuzycie PB95]]</f>
        <v>42.81</v>
      </c>
      <c r="H68">
        <f>lpg[[#This Row],[zbiornik LPG]]-lpg[[#This Row],[zyzucie lpg]]</f>
        <v>21.45</v>
      </c>
      <c r="I68">
        <f>IF(lpg[[#This Row],[dzien]]=4,IF(lpg[[#This Row],[pb po trasie]]&lt;40,45-lpg[[#This Row],[pb po trasie]],0),0)</f>
        <v>0</v>
      </c>
      <c r="J68">
        <f>IF(lpg[[#This Row],[lpg po trasie]]&lt;5,30-lpg[[#This Row],[lpg po trasie]],0)</f>
        <v>0</v>
      </c>
      <c r="K68">
        <f>WEEKDAY(lpg[[#This Row],[data]],2)</f>
        <v>6</v>
      </c>
      <c r="O68" s="1">
        <v>41706</v>
      </c>
      <c r="P68">
        <v>95</v>
      </c>
      <c r="Q68">
        <f>U67+W67</f>
        <v>42.81</v>
      </c>
      <c r="R68">
        <f>V67+X67</f>
        <v>30</v>
      </c>
      <c r="S68">
        <f>ROUND(IF(lpg_3[[#This Row],[zbiornik LPG]]&gt;15,0,(lpg_3[[#This Row],[km]]/2)*6/100),2)</f>
        <v>0</v>
      </c>
      <c r="T68">
        <f>ROUND(IF(lpg_3[[#This Row],[zbiornik LPG]]&gt;15,lpg_3[[#This Row],[km]]*9/100,(lpg_3[[#This Row],[km]]/2)*9/100),2)</f>
        <v>8.5500000000000007</v>
      </c>
      <c r="U68">
        <f>lpg_3[[#This Row],[zbiornik PB95]]-lpg_3[[#This Row],[zuzycie PB95]]</f>
        <v>42.81</v>
      </c>
      <c r="V68">
        <f>lpg_3[[#This Row],[zbiornik LPG]]-lpg_3[[#This Row],[zyzucie lpg]]</f>
        <v>21.45</v>
      </c>
      <c r="W68">
        <f>IF(lpg_3[[#This Row],[dzien]]=4,IF(lpg_3[[#This Row],[pb po trasie]]&lt;40,45-lpg_3[[#This Row],[pb po trasie]],0),0)</f>
        <v>0</v>
      </c>
      <c r="X68">
        <f>IF(lpg_3[[#This Row],[lpg po trasie]]&lt;5,30-lpg_3[[#This Row],[lpg po trasie]],0)</f>
        <v>0</v>
      </c>
      <c r="Y68">
        <f>WEEKDAY(lpg_3[[#This Row],[data]],2)</f>
        <v>6</v>
      </c>
    </row>
    <row r="69" spans="1:25" x14ac:dyDescent="0.25">
      <c r="A69" s="1">
        <v>41707</v>
      </c>
      <c r="B69">
        <v>70</v>
      </c>
      <c r="C69">
        <f>G68+I68</f>
        <v>42.81</v>
      </c>
      <c r="D69">
        <f>H68+J68</f>
        <v>21.45</v>
      </c>
      <c r="E69">
        <f>ROUND(IF(lpg[[#This Row],[zbiornik LPG]]&gt;15,0,(lpg[[#This Row],[km]]/2)*6/100),2)</f>
        <v>0</v>
      </c>
      <c r="F69">
        <f>ROUND(IF(lpg[[#This Row],[zbiornik LPG]]&gt;15,lpg[[#This Row],[km]]*9/100,(lpg[[#This Row],[km]]/2)*9/100),2)</f>
        <v>6.3</v>
      </c>
      <c r="G69">
        <f>lpg[[#This Row],[zbiornik PB95]]-lpg[[#This Row],[zuzycie PB95]]</f>
        <v>42.81</v>
      </c>
      <c r="H69">
        <f>lpg[[#This Row],[zbiornik LPG]]-lpg[[#This Row],[zyzucie lpg]]</f>
        <v>15.149999999999999</v>
      </c>
      <c r="I69">
        <f>IF(lpg[[#This Row],[dzien]]=4,IF(lpg[[#This Row],[pb po trasie]]&lt;40,45-lpg[[#This Row],[pb po trasie]],0),0)</f>
        <v>0</v>
      </c>
      <c r="J69">
        <f>IF(lpg[[#This Row],[lpg po trasie]]&lt;5,30-lpg[[#This Row],[lpg po trasie]],0)</f>
        <v>0</v>
      </c>
      <c r="K69">
        <f>WEEKDAY(lpg[[#This Row],[data]],2)</f>
        <v>7</v>
      </c>
      <c r="O69" s="1">
        <v>41707</v>
      </c>
      <c r="P69">
        <v>70</v>
      </c>
      <c r="Q69">
        <f>U68+W68</f>
        <v>42.81</v>
      </c>
      <c r="R69">
        <f>V68+X68</f>
        <v>21.45</v>
      </c>
      <c r="S69">
        <f>ROUND(IF(lpg_3[[#This Row],[zbiornik LPG]]&gt;15,0,(lpg_3[[#This Row],[km]]/2)*6/100),2)</f>
        <v>0</v>
      </c>
      <c r="T69">
        <f>ROUND(IF(lpg_3[[#This Row],[zbiornik LPG]]&gt;15,lpg_3[[#This Row],[km]]*9/100,(lpg_3[[#This Row],[km]]/2)*9/100),2)</f>
        <v>6.3</v>
      </c>
      <c r="U69">
        <f>lpg_3[[#This Row],[zbiornik PB95]]-lpg_3[[#This Row],[zuzycie PB95]]</f>
        <v>42.81</v>
      </c>
      <c r="V69">
        <f>lpg_3[[#This Row],[zbiornik LPG]]-lpg_3[[#This Row],[zyzucie lpg]]</f>
        <v>15.149999999999999</v>
      </c>
      <c r="W69">
        <f>IF(lpg_3[[#This Row],[dzien]]=4,IF(lpg_3[[#This Row],[pb po trasie]]&lt;40,45-lpg_3[[#This Row],[pb po trasie]],0),0)</f>
        <v>0</v>
      </c>
      <c r="X69">
        <f>IF(lpg_3[[#This Row],[lpg po trasie]]&lt;5,30-lpg_3[[#This Row],[lpg po trasie]],0)</f>
        <v>0</v>
      </c>
      <c r="Y69">
        <f>WEEKDAY(lpg_3[[#This Row],[data]],2)</f>
        <v>7</v>
      </c>
    </row>
    <row r="70" spans="1:25" x14ac:dyDescent="0.25">
      <c r="A70" s="1">
        <v>41708</v>
      </c>
      <c r="B70">
        <v>18</v>
      </c>
      <c r="C70">
        <f>G69+I69</f>
        <v>42.81</v>
      </c>
      <c r="D70">
        <f>H69+J69</f>
        <v>15.149999999999999</v>
      </c>
      <c r="E70">
        <f>ROUND(IF(lpg[[#This Row],[zbiornik LPG]]&gt;15,0,(lpg[[#This Row],[km]]/2)*6/100),2)</f>
        <v>0</v>
      </c>
      <c r="F70">
        <f>ROUND(IF(lpg[[#This Row],[zbiornik LPG]]&gt;15,lpg[[#This Row],[km]]*9/100,(lpg[[#This Row],[km]]/2)*9/100),2)</f>
        <v>1.62</v>
      </c>
      <c r="G70">
        <f>lpg[[#This Row],[zbiornik PB95]]-lpg[[#This Row],[zuzycie PB95]]</f>
        <v>42.81</v>
      </c>
      <c r="H70">
        <f>lpg[[#This Row],[zbiornik LPG]]-lpg[[#This Row],[zyzucie lpg]]</f>
        <v>13.529999999999998</v>
      </c>
      <c r="I70">
        <f>IF(lpg[[#This Row],[dzien]]=4,IF(lpg[[#This Row],[pb po trasie]]&lt;40,45-lpg[[#This Row],[pb po trasie]],0),0)</f>
        <v>0</v>
      </c>
      <c r="J70">
        <f>IF(lpg[[#This Row],[lpg po trasie]]&lt;5,30-lpg[[#This Row],[lpg po trasie]],0)</f>
        <v>0</v>
      </c>
      <c r="K70">
        <f>WEEKDAY(lpg[[#This Row],[data]],2)</f>
        <v>1</v>
      </c>
      <c r="O70" s="1">
        <v>41708</v>
      </c>
      <c r="P70">
        <v>18</v>
      </c>
      <c r="Q70">
        <f>U69+W69</f>
        <v>42.81</v>
      </c>
      <c r="R70">
        <f>V69+X69</f>
        <v>15.149999999999999</v>
      </c>
      <c r="S70">
        <f>ROUND(IF(lpg_3[[#This Row],[zbiornik LPG]]&gt;15,0,(lpg_3[[#This Row],[km]]/2)*6/100),2)</f>
        <v>0</v>
      </c>
      <c r="T70">
        <f>ROUND(IF(lpg_3[[#This Row],[zbiornik LPG]]&gt;15,lpg_3[[#This Row],[km]]*9/100,(lpg_3[[#This Row],[km]]/2)*9/100),2)</f>
        <v>1.62</v>
      </c>
      <c r="U70">
        <f>lpg_3[[#This Row],[zbiornik PB95]]-lpg_3[[#This Row],[zuzycie PB95]]</f>
        <v>42.81</v>
      </c>
      <c r="V70">
        <f>lpg_3[[#This Row],[zbiornik LPG]]-lpg_3[[#This Row],[zyzucie lpg]]</f>
        <v>13.529999999999998</v>
      </c>
      <c r="W70">
        <f>IF(lpg_3[[#This Row],[dzien]]=4,IF(lpg_3[[#This Row],[pb po trasie]]&lt;40,45-lpg_3[[#This Row],[pb po trasie]],0),0)</f>
        <v>0</v>
      </c>
      <c r="X70">
        <f>IF(lpg_3[[#This Row],[lpg po trasie]]&lt;5,30-lpg_3[[#This Row],[lpg po trasie]],0)</f>
        <v>0</v>
      </c>
      <c r="Y70">
        <f>WEEKDAY(lpg_3[[#This Row],[data]],2)</f>
        <v>1</v>
      </c>
    </row>
    <row r="71" spans="1:25" x14ac:dyDescent="0.25">
      <c r="A71" s="1">
        <v>41709</v>
      </c>
      <c r="B71">
        <v>140</v>
      </c>
      <c r="C71">
        <f>G70+I70</f>
        <v>42.81</v>
      </c>
      <c r="D71">
        <f>H70+J70</f>
        <v>13.529999999999998</v>
      </c>
      <c r="E71">
        <f>ROUND(IF(lpg[[#This Row],[zbiornik LPG]]&gt;15,0,(lpg[[#This Row],[km]]/2)*6/100),2)</f>
        <v>4.2</v>
      </c>
      <c r="F71">
        <f>ROUND(IF(lpg[[#This Row],[zbiornik LPG]]&gt;15,lpg[[#This Row],[km]]*9/100,(lpg[[#This Row],[km]]/2)*9/100),2)</f>
        <v>6.3</v>
      </c>
      <c r="G71">
        <f>lpg[[#This Row],[zbiornik PB95]]-lpg[[#This Row],[zuzycie PB95]]</f>
        <v>38.61</v>
      </c>
      <c r="H71">
        <f>lpg[[#This Row],[zbiornik LPG]]-lpg[[#This Row],[zyzucie lpg]]</f>
        <v>7.2299999999999978</v>
      </c>
      <c r="I71">
        <f>IF(lpg[[#This Row],[dzien]]=4,IF(lpg[[#This Row],[pb po trasie]]&lt;40,45-lpg[[#This Row],[pb po trasie]],0),0)</f>
        <v>0</v>
      </c>
      <c r="J71">
        <f>IF(lpg[[#This Row],[lpg po trasie]]&lt;5,30-lpg[[#This Row],[lpg po trasie]],0)</f>
        <v>0</v>
      </c>
      <c r="K71">
        <f>WEEKDAY(lpg[[#This Row],[data]],2)</f>
        <v>2</v>
      </c>
      <c r="O71" s="1">
        <v>41709</v>
      </c>
      <c r="P71">
        <v>140</v>
      </c>
      <c r="Q71">
        <f>U70+W70</f>
        <v>42.81</v>
      </c>
      <c r="R71">
        <f>V70+X70</f>
        <v>13.529999999999998</v>
      </c>
      <c r="S71">
        <f>ROUND(IF(lpg_3[[#This Row],[zbiornik LPG]]&gt;15,0,(lpg_3[[#This Row],[km]]/2)*6/100),2)</f>
        <v>4.2</v>
      </c>
      <c r="T71">
        <f>ROUND(IF(lpg_3[[#This Row],[zbiornik LPG]]&gt;15,lpg_3[[#This Row],[km]]*9/100,(lpg_3[[#This Row],[km]]/2)*9/100),2)</f>
        <v>6.3</v>
      </c>
      <c r="U71">
        <f>lpg_3[[#This Row],[zbiornik PB95]]-lpg_3[[#This Row],[zuzycie PB95]]</f>
        <v>38.61</v>
      </c>
      <c r="V71">
        <f>lpg_3[[#This Row],[zbiornik LPG]]-lpg_3[[#This Row],[zyzucie lpg]]</f>
        <v>7.2299999999999978</v>
      </c>
      <c r="W71">
        <f>IF(lpg_3[[#This Row],[dzien]]=4,IF(lpg_3[[#This Row],[pb po trasie]]&lt;40,45-lpg_3[[#This Row],[pb po trasie]],0),0)</f>
        <v>0</v>
      </c>
      <c r="X71">
        <f>IF(lpg_3[[#This Row],[lpg po trasie]]&lt;5,30-lpg_3[[#This Row],[lpg po trasie]],0)</f>
        <v>0</v>
      </c>
      <c r="Y71">
        <f>WEEKDAY(lpg_3[[#This Row],[data]],2)</f>
        <v>2</v>
      </c>
    </row>
    <row r="72" spans="1:25" x14ac:dyDescent="0.25">
      <c r="A72" s="1">
        <v>41710</v>
      </c>
      <c r="B72">
        <v>35</v>
      </c>
      <c r="C72">
        <f>G71+I71</f>
        <v>38.61</v>
      </c>
      <c r="D72">
        <f>H71+J71</f>
        <v>7.2299999999999978</v>
      </c>
      <c r="E72">
        <f>ROUND(IF(lpg[[#This Row],[zbiornik LPG]]&gt;15,0,(lpg[[#This Row],[km]]/2)*6/100),2)</f>
        <v>1.05</v>
      </c>
      <c r="F72">
        <f>ROUND(IF(lpg[[#This Row],[zbiornik LPG]]&gt;15,lpg[[#This Row],[km]]*9/100,(lpg[[#This Row],[km]]/2)*9/100),2)</f>
        <v>1.58</v>
      </c>
      <c r="G72">
        <f>lpg[[#This Row],[zbiornik PB95]]-lpg[[#This Row],[zuzycie PB95]]</f>
        <v>37.56</v>
      </c>
      <c r="H72">
        <f>lpg[[#This Row],[zbiornik LPG]]-lpg[[#This Row],[zyzucie lpg]]</f>
        <v>5.6499999999999977</v>
      </c>
      <c r="I72">
        <f>IF(lpg[[#This Row],[dzien]]=4,IF(lpg[[#This Row],[pb po trasie]]&lt;40,45-lpg[[#This Row],[pb po trasie]],0),0)</f>
        <v>0</v>
      </c>
      <c r="J72">
        <f>IF(lpg[[#This Row],[lpg po trasie]]&lt;5,30-lpg[[#This Row],[lpg po trasie]],0)</f>
        <v>0</v>
      </c>
      <c r="K72">
        <f>WEEKDAY(lpg[[#This Row],[data]],2)</f>
        <v>3</v>
      </c>
      <c r="O72" s="1">
        <v>41710</v>
      </c>
      <c r="P72">
        <v>35</v>
      </c>
      <c r="Q72">
        <f>U71+W71</f>
        <v>38.61</v>
      </c>
      <c r="R72">
        <f>V71+X71</f>
        <v>7.2299999999999978</v>
      </c>
      <c r="S72">
        <f>ROUND(IF(lpg_3[[#This Row],[zbiornik LPG]]&gt;15,0,(lpg_3[[#This Row],[km]]/2)*6/100),2)</f>
        <v>1.05</v>
      </c>
      <c r="T72">
        <f>ROUND(IF(lpg_3[[#This Row],[zbiornik LPG]]&gt;15,lpg_3[[#This Row],[km]]*9/100,(lpg_3[[#This Row],[km]]/2)*9/100),2)</f>
        <v>1.58</v>
      </c>
      <c r="U72">
        <f>lpg_3[[#This Row],[zbiornik PB95]]-lpg_3[[#This Row],[zuzycie PB95]]</f>
        <v>37.56</v>
      </c>
      <c r="V72">
        <f>lpg_3[[#This Row],[zbiornik LPG]]-lpg_3[[#This Row],[zyzucie lpg]]</f>
        <v>5.6499999999999977</v>
      </c>
      <c r="W72">
        <f>IF(lpg_3[[#This Row],[dzien]]=4,IF(lpg_3[[#This Row],[pb po trasie]]&lt;40,45-lpg_3[[#This Row],[pb po trasie]],0),0)</f>
        <v>0</v>
      </c>
      <c r="X72">
        <f>IF(lpg_3[[#This Row],[lpg po trasie]]&lt;5,30-lpg_3[[#This Row],[lpg po trasie]],0)</f>
        <v>0</v>
      </c>
      <c r="Y72">
        <f>WEEKDAY(lpg_3[[#This Row],[data]],2)</f>
        <v>3</v>
      </c>
    </row>
    <row r="73" spans="1:25" x14ac:dyDescent="0.25">
      <c r="A73" s="1">
        <v>41711</v>
      </c>
      <c r="B73">
        <v>65</v>
      </c>
      <c r="C73">
        <f>G72+I72</f>
        <v>37.56</v>
      </c>
      <c r="D73">
        <f>H72+J72</f>
        <v>5.6499999999999977</v>
      </c>
      <c r="E73">
        <f>ROUND(IF(lpg[[#This Row],[zbiornik LPG]]&gt;15,0,(lpg[[#This Row],[km]]/2)*6/100),2)</f>
        <v>1.95</v>
      </c>
      <c r="F73">
        <f>ROUND(IF(lpg[[#This Row],[zbiornik LPG]]&gt;15,lpg[[#This Row],[km]]*9/100,(lpg[[#This Row],[km]]/2)*9/100),2)</f>
        <v>2.93</v>
      </c>
      <c r="G73">
        <f>lpg[[#This Row],[zbiornik PB95]]-lpg[[#This Row],[zuzycie PB95]]</f>
        <v>35.61</v>
      </c>
      <c r="H73">
        <f>lpg[[#This Row],[zbiornik LPG]]-lpg[[#This Row],[zyzucie lpg]]</f>
        <v>2.7199999999999975</v>
      </c>
      <c r="I73">
        <f>IF(lpg[[#This Row],[dzien]]=4,IF(lpg[[#This Row],[pb po trasie]]&lt;40,45-lpg[[#This Row],[pb po trasie]],0),0)</f>
        <v>9.39</v>
      </c>
      <c r="J73">
        <f>IF(lpg[[#This Row],[lpg po trasie]]&lt;5,30-lpg[[#This Row],[lpg po trasie]],0)</f>
        <v>27.28</v>
      </c>
      <c r="K73">
        <f>WEEKDAY(lpg[[#This Row],[data]],2)</f>
        <v>4</v>
      </c>
      <c r="O73" s="1">
        <v>41711</v>
      </c>
      <c r="P73">
        <v>65</v>
      </c>
      <c r="Q73">
        <f>U72+W72</f>
        <v>37.56</v>
      </c>
      <c r="R73">
        <f>V72+X72</f>
        <v>5.6499999999999977</v>
      </c>
      <c r="S73">
        <f>ROUND(IF(lpg_3[[#This Row],[zbiornik LPG]]&gt;15,0,(lpg_3[[#This Row],[km]]/2)*6/100),2)</f>
        <v>1.95</v>
      </c>
      <c r="T73">
        <f>ROUND(IF(lpg_3[[#This Row],[zbiornik LPG]]&gt;15,lpg_3[[#This Row],[km]]*9/100,(lpg_3[[#This Row],[km]]/2)*9/100),2)</f>
        <v>2.93</v>
      </c>
      <c r="U73">
        <f>lpg_3[[#This Row],[zbiornik PB95]]-lpg_3[[#This Row],[zuzycie PB95]]</f>
        <v>35.61</v>
      </c>
      <c r="V73">
        <f>lpg_3[[#This Row],[zbiornik LPG]]-lpg_3[[#This Row],[zyzucie lpg]]</f>
        <v>2.7199999999999975</v>
      </c>
      <c r="W73">
        <f>IF(lpg_3[[#This Row],[dzien]]=4,IF(lpg_3[[#This Row],[pb po trasie]]&lt;40,45-lpg_3[[#This Row],[pb po trasie]],0),0)</f>
        <v>9.39</v>
      </c>
      <c r="X73">
        <f>IF(lpg_3[[#This Row],[lpg po trasie]]&lt;5,30-lpg_3[[#This Row],[lpg po trasie]],0)</f>
        <v>27.28</v>
      </c>
      <c r="Y73">
        <f>WEEKDAY(lpg_3[[#This Row],[data]],2)</f>
        <v>4</v>
      </c>
    </row>
    <row r="74" spans="1:25" x14ac:dyDescent="0.25">
      <c r="A74" s="1">
        <v>41712</v>
      </c>
      <c r="B74">
        <v>225</v>
      </c>
      <c r="C74">
        <f>G73+I73</f>
        <v>45</v>
      </c>
      <c r="D74">
        <f>H73+J73</f>
        <v>30</v>
      </c>
      <c r="E74">
        <f>ROUND(IF(lpg[[#This Row],[zbiornik LPG]]&gt;15,0,(lpg[[#This Row],[km]]/2)*6/100),2)</f>
        <v>0</v>
      </c>
      <c r="F74">
        <f>ROUND(IF(lpg[[#This Row],[zbiornik LPG]]&gt;15,lpg[[#This Row],[km]]*9/100,(lpg[[#This Row],[km]]/2)*9/100),2)</f>
        <v>20.25</v>
      </c>
      <c r="G74">
        <f>lpg[[#This Row],[zbiornik PB95]]-lpg[[#This Row],[zuzycie PB95]]</f>
        <v>45</v>
      </c>
      <c r="H74">
        <f>lpg[[#This Row],[zbiornik LPG]]-lpg[[#This Row],[zyzucie lpg]]</f>
        <v>9.75</v>
      </c>
      <c r="I74">
        <f>IF(lpg[[#This Row],[dzien]]=4,IF(lpg[[#This Row],[pb po trasie]]&lt;40,45-lpg[[#This Row],[pb po trasie]],0),0)</f>
        <v>0</v>
      </c>
      <c r="J74">
        <f>IF(lpg[[#This Row],[lpg po trasie]]&lt;5,30-lpg[[#This Row],[lpg po trasie]],0)</f>
        <v>0</v>
      </c>
      <c r="K74">
        <f>WEEKDAY(lpg[[#This Row],[data]],2)</f>
        <v>5</v>
      </c>
      <c r="O74" s="1">
        <v>41712</v>
      </c>
      <c r="P74">
        <v>225</v>
      </c>
      <c r="Q74">
        <f>U73+W73</f>
        <v>45</v>
      </c>
      <c r="R74">
        <f>V73+X73</f>
        <v>30</v>
      </c>
      <c r="S74">
        <f>ROUND(IF(lpg_3[[#This Row],[zbiornik LPG]]&gt;15,0,(lpg_3[[#This Row],[km]]/2)*6/100),2)</f>
        <v>0</v>
      </c>
      <c r="T74">
        <f>ROUND(IF(lpg_3[[#This Row],[zbiornik LPG]]&gt;15,lpg_3[[#This Row],[km]]*9/100,(lpg_3[[#This Row],[km]]/2)*9/100),2)</f>
        <v>20.25</v>
      </c>
      <c r="U74">
        <f>lpg_3[[#This Row],[zbiornik PB95]]-lpg_3[[#This Row],[zuzycie PB95]]</f>
        <v>45</v>
      </c>
      <c r="V74">
        <f>lpg_3[[#This Row],[zbiornik LPG]]-lpg_3[[#This Row],[zyzucie lpg]]</f>
        <v>9.75</v>
      </c>
      <c r="W74">
        <f>IF(lpg_3[[#This Row],[dzien]]=4,IF(lpg_3[[#This Row],[pb po trasie]]&lt;40,45-lpg_3[[#This Row],[pb po trasie]],0),0)</f>
        <v>0</v>
      </c>
      <c r="X74">
        <f>IF(lpg_3[[#This Row],[lpg po trasie]]&lt;5,30-lpg_3[[#This Row],[lpg po trasie]],0)</f>
        <v>0</v>
      </c>
      <c r="Y74">
        <f>WEEKDAY(lpg_3[[#This Row],[data]],2)</f>
        <v>5</v>
      </c>
    </row>
    <row r="75" spans="1:25" x14ac:dyDescent="0.25">
      <c r="A75" s="1">
        <v>41713</v>
      </c>
      <c r="B75">
        <v>138</v>
      </c>
      <c r="C75">
        <f>G74+I74</f>
        <v>45</v>
      </c>
      <c r="D75">
        <f>H74+J74</f>
        <v>9.75</v>
      </c>
      <c r="E75">
        <f>ROUND(IF(lpg[[#This Row],[zbiornik LPG]]&gt;15,0,(lpg[[#This Row],[km]]/2)*6/100),2)</f>
        <v>4.1399999999999997</v>
      </c>
      <c r="F75">
        <f>ROUND(IF(lpg[[#This Row],[zbiornik LPG]]&gt;15,lpg[[#This Row],[km]]*9/100,(lpg[[#This Row],[km]]/2)*9/100),2)</f>
        <v>6.21</v>
      </c>
      <c r="G75">
        <f>lpg[[#This Row],[zbiornik PB95]]-lpg[[#This Row],[zuzycie PB95]]</f>
        <v>40.86</v>
      </c>
      <c r="H75">
        <f>lpg[[#This Row],[zbiornik LPG]]-lpg[[#This Row],[zyzucie lpg]]</f>
        <v>3.54</v>
      </c>
      <c r="I75">
        <f>IF(lpg[[#This Row],[dzien]]=4,IF(lpg[[#This Row],[pb po trasie]]&lt;40,45-lpg[[#This Row],[pb po trasie]],0),0)</f>
        <v>0</v>
      </c>
      <c r="J75">
        <f>IF(lpg[[#This Row],[lpg po trasie]]&lt;5,30-lpg[[#This Row],[lpg po trasie]],0)</f>
        <v>26.46</v>
      </c>
      <c r="K75">
        <f>WEEKDAY(lpg[[#This Row],[data]],2)</f>
        <v>6</v>
      </c>
      <c r="O75" s="1">
        <v>41713</v>
      </c>
      <c r="P75">
        <v>138</v>
      </c>
      <c r="Q75">
        <f>U74+W74</f>
        <v>45</v>
      </c>
      <c r="R75">
        <f>V74+X74</f>
        <v>9.75</v>
      </c>
      <c r="S75">
        <f>ROUND(IF(lpg_3[[#This Row],[zbiornik LPG]]&gt;15,0,(lpg_3[[#This Row],[km]]/2)*6/100),2)</f>
        <v>4.1399999999999997</v>
      </c>
      <c r="T75">
        <f>ROUND(IF(lpg_3[[#This Row],[zbiornik LPG]]&gt;15,lpg_3[[#This Row],[km]]*9/100,(lpg_3[[#This Row],[km]]/2)*9/100),2)</f>
        <v>6.21</v>
      </c>
      <c r="U75">
        <f>lpg_3[[#This Row],[zbiornik PB95]]-lpg_3[[#This Row],[zuzycie PB95]]</f>
        <v>40.86</v>
      </c>
      <c r="V75">
        <f>lpg_3[[#This Row],[zbiornik LPG]]-lpg_3[[#This Row],[zyzucie lpg]]</f>
        <v>3.54</v>
      </c>
      <c r="W75">
        <f>IF(lpg_3[[#This Row],[dzien]]=4,IF(lpg_3[[#This Row],[pb po trasie]]&lt;40,45-lpg_3[[#This Row],[pb po trasie]],0),0)</f>
        <v>0</v>
      </c>
      <c r="X75">
        <f>IF(lpg_3[[#This Row],[lpg po trasie]]&lt;5,30-lpg_3[[#This Row],[lpg po trasie]],0)</f>
        <v>26.46</v>
      </c>
      <c r="Y75">
        <f>WEEKDAY(lpg_3[[#This Row],[data]],2)</f>
        <v>6</v>
      </c>
    </row>
    <row r="76" spans="1:25" x14ac:dyDescent="0.25">
      <c r="A76" s="1">
        <v>41714</v>
      </c>
      <c r="B76">
        <v>64</v>
      </c>
      <c r="C76">
        <f>G75+I75</f>
        <v>40.86</v>
      </c>
      <c r="D76">
        <f>H75+J75</f>
        <v>30</v>
      </c>
      <c r="E76">
        <f>ROUND(IF(lpg[[#This Row],[zbiornik LPG]]&gt;15,0,(lpg[[#This Row],[km]]/2)*6/100),2)</f>
        <v>0</v>
      </c>
      <c r="F76">
        <f>ROUND(IF(lpg[[#This Row],[zbiornik LPG]]&gt;15,lpg[[#This Row],[km]]*9/100,(lpg[[#This Row],[km]]/2)*9/100),2)</f>
        <v>5.76</v>
      </c>
      <c r="G76">
        <f>lpg[[#This Row],[zbiornik PB95]]-lpg[[#This Row],[zuzycie PB95]]</f>
        <v>40.86</v>
      </c>
      <c r="H76">
        <f>lpg[[#This Row],[zbiornik LPG]]-lpg[[#This Row],[zyzucie lpg]]</f>
        <v>24.240000000000002</v>
      </c>
      <c r="I76">
        <f>IF(lpg[[#This Row],[dzien]]=4,IF(lpg[[#This Row],[pb po trasie]]&lt;40,45-lpg[[#This Row],[pb po trasie]],0),0)</f>
        <v>0</v>
      </c>
      <c r="J76">
        <f>IF(lpg[[#This Row],[lpg po trasie]]&lt;5,30-lpg[[#This Row],[lpg po trasie]],0)</f>
        <v>0</v>
      </c>
      <c r="K76">
        <f>WEEKDAY(lpg[[#This Row],[data]],2)</f>
        <v>7</v>
      </c>
      <c r="O76" s="1">
        <v>41714</v>
      </c>
      <c r="P76">
        <v>64</v>
      </c>
      <c r="Q76">
        <f>U75+W75</f>
        <v>40.86</v>
      </c>
      <c r="R76">
        <f>V75+X75</f>
        <v>30</v>
      </c>
      <c r="S76">
        <f>ROUND(IF(lpg_3[[#This Row],[zbiornik LPG]]&gt;15,0,(lpg_3[[#This Row],[km]]/2)*6/100),2)</f>
        <v>0</v>
      </c>
      <c r="T76">
        <f>ROUND(IF(lpg_3[[#This Row],[zbiornik LPG]]&gt;15,lpg_3[[#This Row],[km]]*9/100,(lpg_3[[#This Row],[km]]/2)*9/100),2)</f>
        <v>5.76</v>
      </c>
      <c r="U76">
        <f>lpg_3[[#This Row],[zbiornik PB95]]-lpg_3[[#This Row],[zuzycie PB95]]</f>
        <v>40.86</v>
      </c>
      <c r="V76">
        <f>lpg_3[[#This Row],[zbiornik LPG]]-lpg_3[[#This Row],[zyzucie lpg]]</f>
        <v>24.240000000000002</v>
      </c>
      <c r="W76">
        <f>IF(lpg_3[[#This Row],[dzien]]=4,IF(lpg_3[[#This Row],[pb po trasie]]&lt;40,45-lpg_3[[#This Row],[pb po trasie]],0),0)</f>
        <v>0</v>
      </c>
      <c r="X76">
        <f>IF(lpg_3[[#This Row],[lpg po trasie]]&lt;5,30-lpg_3[[#This Row],[lpg po trasie]],0)</f>
        <v>0</v>
      </c>
      <c r="Y76">
        <f>WEEKDAY(lpg_3[[#This Row],[data]],2)</f>
        <v>7</v>
      </c>
    </row>
    <row r="77" spans="1:25" x14ac:dyDescent="0.25">
      <c r="A77" s="1">
        <v>41715</v>
      </c>
      <c r="B77">
        <v>73</v>
      </c>
      <c r="C77">
        <f>G76+I76</f>
        <v>40.86</v>
      </c>
      <c r="D77">
        <f>H76+J76</f>
        <v>24.240000000000002</v>
      </c>
      <c r="E77">
        <f>ROUND(IF(lpg[[#This Row],[zbiornik LPG]]&gt;15,0,(lpg[[#This Row],[km]]/2)*6/100),2)</f>
        <v>0</v>
      </c>
      <c r="F77">
        <f>ROUND(IF(lpg[[#This Row],[zbiornik LPG]]&gt;15,lpg[[#This Row],[km]]*9/100,(lpg[[#This Row],[km]]/2)*9/100),2)</f>
        <v>6.57</v>
      </c>
      <c r="G77">
        <f>lpg[[#This Row],[zbiornik PB95]]-lpg[[#This Row],[zuzycie PB95]]</f>
        <v>40.86</v>
      </c>
      <c r="H77">
        <f>lpg[[#This Row],[zbiornik LPG]]-lpg[[#This Row],[zyzucie lpg]]</f>
        <v>17.670000000000002</v>
      </c>
      <c r="I77">
        <f>IF(lpg[[#This Row],[dzien]]=4,IF(lpg[[#This Row],[pb po trasie]]&lt;40,45-lpg[[#This Row],[pb po trasie]],0),0)</f>
        <v>0</v>
      </c>
      <c r="J77">
        <f>IF(lpg[[#This Row],[lpg po trasie]]&lt;5,30-lpg[[#This Row],[lpg po trasie]],0)</f>
        <v>0</v>
      </c>
      <c r="K77">
        <f>WEEKDAY(lpg[[#This Row],[data]],2)</f>
        <v>1</v>
      </c>
      <c r="O77" s="1">
        <v>41715</v>
      </c>
      <c r="P77">
        <v>73</v>
      </c>
      <c r="Q77">
        <f>U76+W76</f>
        <v>40.86</v>
      </c>
      <c r="R77">
        <f>V76+X76</f>
        <v>24.240000000000002</v>
      </c>
      <c r="S77">
        <f>ROUND(IF(lpg_3[[#This Row],[zbiornik LPG]]&gt;15,0,(lpg_3[[#This Row],[km]]/2)*6/100),2)</f>
        <v>0</v>
      </c>
      <c r="T77">
        <f>ROUND(IF(lpg_3[[#This Row],[zbiornik LPG]]&gt;15,lpg_3[[#This Row],[km]]*9/100,(lpg_3[[#This Row],[km]]/2)*9/100),2)</f>
        <v>6.57</v>
      </c>
      <c r="U77">
        <f>lpg_3[[#This Row],[zbiornik PB95]]-lpg_3[[#This Row],[zuzycie PB95]]</f>
        <v>40.86</v>
      </c>
      <c r="V77">
        <f>lpg_3[[#This Row],[zbiornik LPG]]-lpg_3[[#This Row],[zyzucie lpg]]</f>
        <v>17.670000000000002</v>
      </c>
      <c r="W77">
        <f>IF(lpg_3[[#This Row],[dzien]]=4,IF(lpg_3[[#This Row],[pb po trasie]]&lt;40,45-lpg_3[[#This Row],[pb po trasie]],0),0)</f>
        <v>0</v>
      </c>
      <c r="X77">
        <f>IF(lpg_3[[#This Row],[lpg po trasie]]&lt;5,30-lpg_3[[#This Row],[lpg po trasie]],0)</f>
        <v>0</v>
      </c>
      <c r="Y77">
        <f>WEEKDAY(lpg_3[[#This Row],[data]],2)</f>
        <v>1</v>
      </c>
    </row>
    <row r="78" spans="1:25" x14ac:dyDescent="0.25">
      <c r="A78" s="1">
        <v>41716</v>
      </c>
      <c r="B78">
        <v>109</v>
      </c>
      <c r="C78">
        <f>G77+I77</f>
        <v>40.86</v>
      </c>
      <c r="D78">
        <f>H77+J77</f>
        <v>17.670000000000002</v>
      </c>
      <c r="E78">
        <f>ROUND(IF(lpg[[#This Row],[zbiornik LPG]]&gt;15,0,(lpg[[#This Row],[km]]/2)*6/100),2)</f>
        <v>0</v>
      </c>
      <c r="F78">
        <f>ROUND(IF(lpg[[#This Row],[zbiornik LPG]]&gt;15,lpg[[#This Row],[km]]*9/100,(lpg[[#This Row],[km]]/2)*9/100),2)</f>
        <v>9.81</v>
      </c>
      <c r="G78">
        <f>lpg[[#This Row],[zbiornik PB95]]-lpg[[#This Row],[zuzycie PB95]]</f>
        <v>40.86</v>
      </c>
      <c r="H78">
        <f>lpg[[#This Row],[zbiornik LPG]]-lpg[[#This Row],[zyzucie lpg]]</f>
        <v>7.8600000000000012</v>
      </c>
      <c r="I78">
        <f>IF(lpg[[#This Row],[dzien]]=4,IF(lpg[[#This Row],[pb po trasie]]&lt;40,45-lpg[[#This Row],[pb po trasie]],0),0)</f>
        <v>0</v>
      </c>
      <c r="J78">
        <f>IF(lpg[[#This Row],[lpg po trasie]]&lt;5,30-lpg[[#This Row],[lpg po trasie]],0)</f>
        <v>0</v>
      </c>
      <c r="K78">
        <f>WEEKDAY(lpg[[#This Row],[data]],2)</f>
        <v>2</v>
      </c>
      <c r="O78" s="1">
        <v>41716</v>
      </c>
      <c r="P78">
        <v>109</v>
      </c>
      <c r="Q78">
        <f>U77+W77</f>
        <v>40.86</v>
      </c>
      <c r="R78">
        <f>V77+X77</f>
        <v>17.670000000000002</v>
      </c>
      <c r="S78">
        <f>ROUND(IF(lpg_3[[#This Row],[zbiornik LPG]]&gt;15,0,(lpg_3[[#This Row],[km]]/2)*6/100),2)</f>
        <v>0</v>
      </c>
      <c r="T78">
        <f>ROUND(IF(lpg_3[[#This Row],[zbiornik LPG]]&gt;15,lpg_3[[#This Row],[km]]*9/100,(lpg_3[[#This Row],[km]]/2)*9/100),2)</f>
        <v>9.81</v>
      </c>
      <c r="U78">
        <f>lpg_3[[#This Row],[zbiornik PB95]]-lpg_3[[#This Row],[zuzycie PB95]]</f>
        <v>40.86</v>
      </c>
      <c r="V78">
        <f>lpg_3[[#This Row],[zbiornik LPG]]-lpg_3[[#This Row],[zyzucie lpg]]</f>
        <v>7.8600000000000012</v>
      </c>
      <c r="W78">
        <f>IF(lpg_3[[#This Row],[dzien]]=4,IF(lpg_3[[#This Row],[pb po trasie]]&lt;40,45-lpg_3[[#This Row],[pb po trasie]],0),0)</f>
        <v>0</v>
      </c>
      <c r="X78">
        <f>IF(lpg_3[[#This Row],[lpg po trasie]]&lt;5,30-lpg_3[[#This Row],[lpg po trasie]],0)</f>
        <v>0</v>
      </c>
      <c r="Y78">
        <f>WEEKDAY(lpg_3[[#This Row],[data]],2)</f>
        <v>2</v>
      </c>
    </row>
    <row r="79" spans="1:25" x14ac:dyDescent="0.25">
      <c r="A79" s="1">
        <v>41717</v>
      </c>
      <c r="B79">
        <v>69</v>
      </c>
      <c r="C79">
        <f>G78+I78</f>
        <v>40.86</v>
      </c>
      <c r="D79">
        <f>H78+J78</f>
        <v>7.8600000000000012</v>
      </c>
      <c r="E79">
        <f>ROUND(IF(lpg[[#This Row],[zbiornik LPG]]&gt;15,0,(lpg[[#This Row],[km]]/2)*6/100),2)</f>
        <v>2.0699999999999998</v>
      </c>
      <c r="F79">
        <f>ROUND(IF(lpg[[#This Row],[zbiornik LPG]]&gt;15,lpg[[#This Row],[km]]*9/100,(lpg[[#This Row],[km]]/2)*9/100),2)</f>
        <v>3.11</v>
      </c>
      <c r="G79">
        <f>lpg[[#This Row],[zbiornik PB95]]-lpg[[#This Row],[zuzycie PB95]]</f>
        <v>38.79</v>
      </c>
      <c r="H79">
        <f>lpg[[#This Row],[zbiornik LPG]]-lpg[[#This Row],[zyzucie lpg]]</f>
        <v>4.7500000000000018</v>
      </c>
      <c r="I79">
        <f>IF(lpg[[#This Row],[dzien]]=4,IF(lpg[[#This Row],[pb po trasie]]&lt;40,45-lpg[[#This Row],[pb po trasie]],0),0)</f>
        <v>0</v>
      </c>
      <c r="J79">
        <f>IF(lpg[[#This Row],[lpg po trasie]]&lt;5,30-lpg[[#This Row],[lpg po trasie]],0)</f>
        <v>25.25</v>
      </c>
      <c r="K79">
        <f>WEEKDAY(lpg[[#This Row],[data]],2)</f>
        <v>3</v>
      </c>
      <c r="O79" s="1">
        <v>41717</v>
      </c>
      <c r="P79">
        <v>69</v>
      </c>
      <c r="Q79">
        <f>U78+W78</f>
        <v>40.86</v>
      </c>
      <c r="R79">
        <f>V78+X78</f>
        <v>7.8600000000000012</v>
      </c>
      <c r="S79">
        <f>ROUND(IF(lpg_3[[#This Row],[zbiornik LPG]]&gt;15,0,(lpg_3[[#This Row],[km]]/2)*6/100),2)</f>
        <v>2.0699999999999998</v>
      </c>
      <c r="T79">
        <f>ROUND(IF(lpg_3[[#This Row],[zbiornik LPG]]&gt;15,lpg_3[[#This Row],[km]]*9/100,(lpg_3[[#This Row],[km]]/2)*9/100),2)</f>
        <v>3.11</v>
      </c>
      <c r="U79">
        <f>lpg_3[[#This Row],[zbiornik PB95]]-lpg_3[[#This Row],[zuzycie PB95]]</f>
        <v>38.79</v>
      </c>
      <c r="V79">
        <f>lpg_3[[#This Row],[zbiornik LPG]]-lpg_3[[#This Row],[zyzucie lpg]]</f>
        <v>4.7500000000000018</v>
      </c>
      <c r="W79">
        <f>IF(lpg_3[[#This Row],[dzien]]=4,IF(lpg_3[[#This Row],[pb po trasie]]&lt;40,45-lpg_3[[#This Row],[pb po trasie]],0),0)</f>
        <v>0</v>
      </c>
      <c r="X79">
        <f>IF(lpg_3[[#This Row],[lpg po trasie]]&lt;5,30-lpg_3[[#This Row],[lpg po trasie]],0)</f>
        <v>25.25</v>
      </c>
      <c r="Y79">
        <f>WEEKDAY(lpg_3[[#This Row],[data]],2)</f>
        <v>3</v>
      </c>
    </row>
    <row r="80" spans="1:25" x14ac:dyDescent="0.25">
      <c r="A80" s="1">
        <v>41718</v>
      </c>
      <c r="B80">
        <v>21</v>
      </c>
      <c r="C80">
        <f>G79+I79</f>
        <v>38.79</v>
      </c>
      <c r="D80">
        <f>H79+J79</f>
        <v>30</v>
      </c>
      <c r="E80">
        <f>ROUND(IF(lpg[[#This Row],[zbiornik LPG]]&gt;15,0,(lpg[[#This Row],[km]]/2)*6/100),2)</f>
        <v>0</v>
      </c>
      <c r="F80">
        <f>ROUND(IF(lpg[[#This Row],[zbiornik LPG]]&gt;15,lpg[[#This Row],[km]]*9/100,(lpg[[#This Row],[km]]/2)*9/100),2)</f>
        <v>1.89</v>
      </c>
      <c r="G80">
        <f>lpg[[#This Row],[zbiornik PB95]]-lpg[[#This Row],[zuzycie PB95]]</f>
        <v>38.79</v>
      </c>
      <c r="H80">
        <f>lpg[[#This Row],[zbiornik LPG]]-lpg[[#This Row],[zyzucie lpg]]</f>
        <v>28.11</v>
      </c>
      <c r="I80">
        <f>IF(lpg[[#This Row],[dzien]]=4,IF(lpg[[#This Row],[pb po trasie]]&lt;40,45-lpg[[#This Row],[pb po trasie]],0),0)</f>
        <v>6.2100000000000009</v>
      </c>
      <c r="J80">
        <f>IF(lpg[[#This Row],[lpg po trasie]]&lt;5,30-lpg[[#This Row],[lpg po trasie]],0)</f>
        <v>0</v>
      </c>
      <c r="K80">
        <f>WEEKDAY(lpg[[#This Row],[data]],2)</f>
        <v>4</v>
      </c>
      <c r="O80" s="1">
        <v>41718</v>
      </c>
      <c r="P80">
        <v>21</v>
      </c>
      <c r="Q80">
        <f>U79+W79</f>
        <v>38.79</v>
      </c>
      <c r="R80">
        <f>V79+X79</f>
        <v>30</v>
      </c>
      <c r="S80">
        <f>ROUND(IF(lpg_3[[#This Row],[zbiornik LPG]]&gt;15,0,(lpg_3[[#This Row],[km]]/2)*6/100),2)</f>
        <v>0</v>
      </c>
      <c r="T80">
        <f>ROUND(IF(lpg_3[[#This Row],[zbiornik LPG]]&gt;15,lpg_3[[#This Row],[km]]*9/100,(lpg_3[[#This Row],[km]]/2)*9/100),2)</f>
        <v>1.89</v>
      </c>
      <c r="U80">
        <f>lpg_3[[#This Row],[zbiornik PB95]]-lpg_3[[#This Row],[zuzycie PB95]]</f>
        <v>38.79</v>
      </c>
      <c r="V80">
        <f>lpg_3[[#This Row],[zbiornik LPG]]-lpg_3[[#This Row],[zyzucie lpg]]</f>
        <v>28.11</v>
      </c>
      <c r="W80">
        <f>IF(lpg_3[[#This Row],[dzien]]=4,IF(lpg_3[[#This Row],[pb po trasie]]&lt;40,45-lpg_3[[#This Row],[pb po trasie]],0),0)</f>
        <v>6.2100000000000009</v>
      </c>
      <c r="X80">
        <f>IF(lpg_3[[#This Row],[lpg po trasie]]&lt;5,30-lpg_3[[#This Row],[lpg po trasie]],0)</f>
        <v>0</v>
      </c>
      <c r="Y80">
        <f>WEEKDAY(lpg_3[[#This Row],[data]],2)</f>
        <v>4</v>
      </c>
    </row>
    <row r="81" spans="1:25" x14ac:dyDescent="0.25">
      <c r="A81" s="1">
        <v>41719</v>
      </c>
      <c r="B81">
        <v>116</v>
      </c>
      <c r="C81">
        <f>G80+I80</f>
        <v>45</v>
      </c>
      <c r="D81">
        <f>H80+J80</f>
        <v>28.11</v>
      </c>
      <c r="E81">
        <f>ROUND(IF(lpg[[#This Row],[zbiornik LPG]]&gt;15,0,(lpg[[#This Row],[km]]/2)*6/100),2)</f>
        <v>0</v>
      </c>
      <c r="F81">
        <f>ROUND(IF(lpg[[#This Row],[zbiornik LPG]]&gt;15,lpg[[#This Row],[km]]*9/100,(lpg[[#This Row],[km]]/2)*9/100),2)</f>
        <v>10.44</v>
      </c>
      <c r="G81">
        <f>lpg[[#This Row],[zbiornik PB95]]-lpg[[#This Row],[zuzycie PB95]]</f>
        <v>45</v>
      </c>
      <c r="H81">
        <f>lpg[[#This Row],[zbiornik LPG]]-lpg[[#This Row],[zyzucie lpg]]</f>
        <v>17.670000000000002</v>
      </c>
      <c r="I81">
        <f>IF(lpg[[#This Row],[dzien]]=4,IF(lpg[[#This Row],[pb po trasie]]&lt;40,45-lpg[[#This Row],[pb po trasie]],0),0)</f>
        <v>0</v>
      </c>
      <c r="J81">
        <f>IF(lpg[[#This Row],[lpg po trasie]]&lt;5,30-lpg[[#This Row],[lpg po trasie]],0)</f>
        <v>0</v>
      </c>
      <c r="K81">
        <f>WEEKDAY(lpg[[#This Row],[data]],2)</f>
        <v>5</v>
      </c>
      <c r="O81" s="1">
        <v>41719</v>
      </c>
      <c r="P81">
        <v>116</v>
      </c>
      <c r="Q81">
        <f>U80+W80</f>
        <v>45</v>
      </c>
      <c r="R81">
        <f>V80+X80</f>
        <v>28.11</v>
      </c>
      <c r="S81">
        <f>ROUND(IF(lpg_3[[#This Row],[zbiornik LPG]]&gt;15,0,(lpg_3[[#This Row],[km]]/2)*6/100),2)</f>
        <v>0</v>
      </c>
      <c r="T81">
        <f>ROUND(IF(lpg_3[[#This Row],[zbiornik LPG]]&gt;15,lpg_3[[#This Row],[km]]*9/100,(lpg_3[[#This Row],[km]]/2)*9/100),2)</f>
        <v>10.44</v>
      </c>
      <c r="U81">
        <f>lpg_3[[#This Row],[zbiornik PB95]]-lpg_3[[#This Row],[zuzycie PB95]]</f>
        <v>45</v>
      </c>
      <c r="V81">
        <f>lpg_3[[#This Row],[zbiornik LPG]]-lpg_3[[#This Row],[zyzucie lpg]]</f>
        <v>17.670000000000002</v>
      </c>
      <c r="W81">
        <f>IF(lpg_3[[#This Row],[dzien]]=4,IF(lpg_3[[#This Row],[pb po trasie]]&lt;40,45-lpg_3[[#This Row],[pb po trasie]],0),0)</f>
        <v>0</v>
      </c>
      <c r="X81">
        <f>IF(lpg_3[[#This Row],[lpg po trasie]]&lt;5,30-lpg_3[[#This Row],[lpg po trasie]],0)</f>
        <v>0</v>
      </c>
      <c r="Y81">
        <f>WEEKDAY(lpg_3[[#This Row],[data]],2)</f>
        <v>5</v>
      </c>
    </row>
    <row r="82" spans="1:25" x14ac:dyDescent="0.25">
      <c r="A82" s="1">
        <v>41720</v>
      </c>
      <c r="B82">
        <v>47</v>
      </c>
      <c r="C82">
        <f>G81+I81</f>
        <v>45</v>
      </c>
      <c r="D82">
        <f>H81+J81</f>
        <v>17.670000000000002</v>
      </c>
      <c r="E82">
        <f>ROUND(IF(lpg[[#This Row],[zbiornik LPG]]&gt;15,0,(lpg[[#This Row],[km]]/2)*6/100),2)</f>
        <v>0</v>
      </c>
      <c r="F82">
        <f>ROUND(IF(lpg[[#This Row],[zbiornik LPG]]&gt;15,lpg[[#This Row],[km]]*9/100,(lpg[[#This Row],[km]]/2)*9/100),2)</f>
        <v>4.2300000000000004</v>
      </c>
      <c r="G82">
        <f>lpg[[#This Row],[zbiornik PB95]]-lpg[[#This Row],[zuzycie PB95]]</f>
        <v>45</v>
      </c>
      <c r="H82">
        <f>lpg[[#This Row],[zbiornik LPG]]-lpg[[#This Row],[zyzucie lpg]]</f>
        <v>13.440000000000001</v>
      </c>
      <c r="I82">
        <f>IF(lpg[[#This Row],[dzien]]=4,IF(lpg[[#This Row],[pb po trasie]]&lt;40,45-lpg[[#This Row],[pb po trasie]],0),0)</f>
        <v>0</v>
      </c>
      <c r="J82">
        <f>IF(lpg[[#This Row],[lpg po trasie]]&lt;5,30-lpg[[#This Row],[lpg po trasie]],0)</f>
        <v>0</v>
      </c>
      <c r="K82">
        <f>WEEKDAY(lpg[[#This Row],[data]],2)</f>
        <v>6</v>
      </c>
      <c r="O82" s="1">
        <v>41720</v>
      </c>
      <c r="P82">
        <v>47</v>
      </c>
      <c r="Q82">
        <f>U81+W81</f>
        <v>45</v>
      </c>
      <c r="R82">
        <f>V81+X81</f>
        <v>17.670000000000002</v>
      </c>
      <c r="S82">
        <f>ROUND(IF(lpg_3[[#This Row],[zbiornik LPG]]&gt;15,0,(lpg_3[[#This Row],[km]]/2)*6/100),2)</f>
        <v>0</v>
      </c>
      <c r="T82">
        <f>ROUND(IF(lpg_3[[#This Row],[zbiornik LPG]]&gt;15,lpg_3[[#This Row],[km]]*9/100,(lpg_3[[#This Row],[km]]/2)*9/100),2)</f>
        <v>4.2300000000000004</v>
      </c>
      <c r="U82">
        <f>lpg_3[[#This Row],[zbiornik PB95]]-lpg_3[[#This Row],[zuzycie PB95]]</f>
        <v>45</v>
      </c>
      <c r="V82">
        <f>lpg_3[[#This Row],[zbiornik LPG]]-lpg_3[[#This Row],[zyzucie lpg]]</f>
        <v>13.440000000000001</v>
      </c>
      <c r="W82">
        <f>IF(lpg_3[[#This Row],[dzien]]=4,IF(lpg_3[[#This Row],[pb po trasie]]&lt;40,45-lpg_3[[#This Row],[pb po trasie]],0),0)</f>
        <v>0</v>
      </c>
      <c r="X82">
        <f>IF(lpg_3[[#This Row],[lpg po trasie]]&lt;5,30-lpg_3[[#This Row],[lpg po trasie]],0)</f>
        <v>0</v>
      </c>
      <c r="Y82">
        <f>WEEKDAY(lpg_3[[#This Row],[data]],2)</f>
        <v>6</v>
      </c>
    </row>
    <row r="83" spans="1:25" x14ac:dyDescent="0.25">
      <c r="A83" s="1">
        <v>41721</v>
      </c>
      <c r="B83">
        <v>59</v>
      </c>
      <c r="C83">
        <f>G82+I82</f>
        <v>45</v>
      </c>
      <c r="D83">
        <f>H82+J82</f>
        <v>13.440000000000001</v>
      </c>
      <c r="E83">
        <f>ROUND(IF(lpg[[#This Row],[zbiornik LPG]]&gt;15,0,(lpg[[#This Row],[km]]/2)*6/100),2)</f>
        <v>1.77</v>
      </c>
      <c r="F83">
        <f>ROUND(IF(lpg[[#This Row],[zbiornik LPG]]&gt;15,lpg[[#This Row],[km]]*9/100,(lpg[[#This Row],[km]]/2)*9/100),2)</f>
        <v>2.66</v>
      </c>
      <c r="G83">
        <f>lpg[[#This Row],[zbiornik PB95]]-lpg[[#This Row],[zuzycie PB95]]</f>
        <v>43.23</v>
      </c>
      <c r="H83">
        <f>lpg[[#This Row],[zbiornik LPG]]-lpg[[#This Row],[zyzucie lpg]]</f>
        <v>10.780000000000001</v>
      </c>
      <c r="I83">
        <f>IF(lpg[[#This Row],[dzien]]=4,IF(lpg[[#This Row],[pb po trasie]]&lt;40,45-lpg[[#This Row],[pb po trasie]],0),0)</f>
        <v>0</v>
      </c>
      <c r="J83">
        <f>IF(lpg[[#This Row],[lpg po trasie]]&lt;5,30-lpg[[#This Row],[lpg po trasie]],0)</f>
        <v>0</v>
      </c>
      <c r="K83">
        <f>WEEKDAY(lpg[[#This Row],[data]],2)</f>
        <v>7</v>
      </c>
      <c r="O83" s="1">
        <v>41721</v>
      </c>
      <c r="P83">
        <v>59</v>
      </c>
      <c r="Q83">
        <f>U82+W82</f>
        <v>45</v>
      </c>
      <c r="R83">
        <f>V82+X82</f>
        <v>13.440000000000001</v>
      </c>
      <c r="S83">
        <f>ROUND(IF(lpg_3[[#This Row],[zbiornik LPG]]&gt;15,0,(lpg_3[[#This Row],[km]]/2)*6/100),2)</f>
        <v>1.77</v>
      </c>
      <c r="T83">
        <f>ROUND(IF(lpg_3[[#This Row],[zbiornik LPG]]&gt;15,lpg_3[[#This Row],[km]]*9/100,(lpg_3[[#This Row],[km]]/2)*9/100),2)</f>
        <v>2.66</v>
      </c>
      <c r="U83">
        <f>lpg_3[[#This Row],[zbiornik PB95]]-lpg_3[[#This Row],[zuzycie PB95]]</f>
        <v>43.23</v>
      </c>
      <c r="V83">
        <f>lpg_3[[#This Row],[zbiornik LPG]]-lpg_3[[#This Row],[zyzucie lpg]]</f>
        <v>10.780000000000001</v>
      </c>
      <c r="W83">
        <f>IF(lpg_3[[#This Row],[dzien]]=4,IF(lpg_3[[#This Row],[pb po trasie]]&lt;40,45-lpg_3[[#This Row],[pb po trasie]],0),0)</f>
        <v>0</v>
      </c>
      <c r="X83">
        <f>IF(lpg_3[[#This Row],[lpg po trasie]]&lt;5,30-lpg_3[[#This Row],[lpg po trasie]],0)</f>
        <v>0</v>
      </c>
      <c r="Y83">
        <f>WEEKDAY(lpg_3[[#This Row],[data]],2)</f>
        <v>7</v>
      </c>
    </row>
    <row r="84" spans="1:25" x14ac:dyDescent="0.25">
      <c r="A84" s="1">
        <v>41722</v>
      </c>
      <c r="B84">
        <v>85</v>
      </c>
      <c r="C84">
        <f>G83+I83</f>
        <v>43.23</v>
      </c>
      <c r="D84">
        <f>H83+J83</f>
        <v>10.780000000000001</v>
      </c>
      <c r="E84">
        <f>ROUND(IF(lpg[[#This Row],[zbiornik LPG]]&gt;15,0,(lpg[[#This Row],[km]]/2)*6/100),2)</f>
        <v>2.5499999999999998</v>
      </c>
      <c r="F84">
        <f>ROUND(IF(lpg[[#This Row],[zbiornik LPG]]&gt;15,lpg[[#This Row],[km]]*9/100,(lpg[[#This Row],[km]]/2)*9/100),2)</f>
        <v>3.83</v>
      </c>
      <c r="G84">
        <f>lpg[[#This Row],[zbiornik PB95]]-lpg[[#This Row],[zuzycie PB95]]</f>
        <v>40.68</v>
      </c>
      <c r="H84">
        <f>lpg[[#This Row],[zbiornik LPG]]-lpg[[#This Row],[zyzucie lpg]]</f>
        <v>6.9500000000000011</v>
      </c>
      <c r="I84">
        <f>IF(lpg[[#This Row],[dzien]]=4,IF(lpg[[#This Row],[pb po trasie]]&lt;40,45-lpg[[#This Row],[pb po trasie]],0),0)</f>
        <v>0</v>
      </c>
      <c r="J84">
        <f>IF(lpg[[#This Row],[lpg po trasie]]&lt;5,30-lpg[[#This Row],[lpg po trasie]],0)</f>
        <v>0</v>
      </c>
      <c r="K84">
        <f>WEEKDAY(lpg[[#This Row],[data]],2)</f>
        <v>1</v>
      </c>
      <c r="O84" s="1">
        <v>41722</v>
      </c>
      <c r="P84">
        <v>85</v>
      </c>
      <c r="Q84">
        <f>U83+W83</f>
        <v>43.23</v>
      </c>
      <c r="R84">
        <f>V83+X83</f>
        <v>10.780000000000001</v>
      </c>
      <c r="S84">
        <f>ROUND(IF(lpg_3[[#This Row],[zbiornik LPG]]&gt;15,0,(lpg_3[[#This Row],[km]]/2)*6/100),2)</f>
        <v>2.5499999999999998</v>
      </c>
      <c r="T84">
        <f>ROUND(IF(lpg_3[[#This Row],[zbiornik LPG]]&gt;15,lpg_3[[#This Row],[km]]*9/100,(lpg_3[[#This Row],[km]]/2)*9/100),2)</f>
        <v>3.83</v>
      </c>
      <c r="U84">
        <f>lpg_3[[#This Row],[zbiornik PB95]]-lpg_3[[#This Row],[zuzycie PB95]]</f>
        <v>40.68</v>
      </c>
      <c r="V84">
        <f>lpg_3[[#This Row],[zbiornik LPG]]-lpg_3[[#This Row],[zyzucie lpg]]</f>
        <v>6.9500000000000011</v>
      </c>
      <c r="W84">
        <f>IF(lpg_3[[#This Row],[dzien]]=4,IF(lpg_3[[#This Row],[pb po trasie]]&lt;40,45-lpg_3[[#This Row],[pb po trasie]],0),0)</f>
        <v>0</v>
      </c>
      <c r="X84">
        <f>IF(lpg_3[[#This Row],[lpg po trasie]]&lt;5,30-lpg_3[[#This Row],[lpg po trasie]],0)</f>
        <v>0</v>
      </c>
      <c r="Y84">
        <f>WEEKDAY(lpg_3[[#This Row],[data]],2)</f>
        <v>1</v>
      </c>
    </row>
    <row r="85" spans="1:25" x14ac:dyDescent="0.25">
      <c r="A85" s="1">
        <v>41723</v>
      </c>
      <c r="B85">
        <v>46</v>
      </c>
      <c r="C85">
        <f>G84+I84</f>
        <v>40.68</v>
      </c>
      <c r="D85">
        <f>H84+J84</f>
        <v>6.9500000000000011</v>
      </c>
      <c r="E85">
        <f>ROUND(IF(lpg[[#This Row],[zbiornik LPG]]&gt;15,0,(lpg[[#This Row],[km]]/2)*6/100),2)</f>
        <v>1.38</v>
      </c>
      <c r="F85">
        <f>ROUND(IF(lpg[[#This Row],[zbiornik LPG]]&gt;15,lpg[[#This Row],[km]]*9/100,(lpg[[#This Row],[km]]/2)*9/100),2)</f>
        <v>2.0699999999999998</v>
      </c>
      <c r="G85">
        <f>lpg[[#This Row],[zbiornik PB95]]-lpg[[#This Row],[zuzycie PB95]]</f>
        <v>39.299999999999997</v>
      </c>
      <c r="H85">
        <f>lpg[[#This Row],[zbiornik LPG]]-lpg[[#This Row],[zyzucie lpg]]</f>
        <v>4.8800000000000008</v>
      </c>
      <c r="I85">
        <f>IF(lpg[[#This Row],[dzien]]=4,IF(lpg[[#This Row],[pb po trasie]]&lt;40,45-lpg[[#This Row],[pb po trasie]],0),0)</f>
        <v>0</v>
      </c>
      <c r="J85">
        <f>IF(lpg[[#This Row],[lpg po trasie]]&lt;5,30-lpg[[#This Row],[lpg po trasie]],0)</f>
        <v>25.119999999999997</v>
      </c>
      <c r="K85">
        <f>WEEKDAY(lpg[[#This Row],[data]],2)</f>
        <v>2</v>
      </c>
      <c r="O85" s="1">
        <v>41723</v>
      </c>
      <c r="P85">
        <v>46</v>
      </c>
      <c r="Q85">
        <f>U84+W84</f>
        <v>40.68</v>
      </c>
      <c r="R85">
        <f>V84+X84</f>
        <v>6.9500000000000011</v>
      </c>
      <c r="S85">
        <f>ROUND(IF(lpg_3[[#This Row],[zbiornik LPG]]&gt;15,0,(lpg_3[[#This Row],[km]]/2)*6/100),2)</f>
        <v>1.38</v>
      </c>
      <c r="T85">
        <f>ROUND(IF(lpg_3[[#This Row],[zbiornik LPG]]&gt;15,lpg_3[[#This Row],[km]]*9/100,(lpg_3[[#This Row],[km]]/2)*9/100),2)</f>
        <v>2.0699999999999998</v>
      </c>
      <c r="U85">
        <f>lpg_3[[#This Row],[zbiornik PB95]]-lpg_3[[#This Row],[zuzycie PB95]]</f>
        <v>39.299999999999997</v>
      </c>
      <c r="V85">
        <f>lpg_3[[#This Row],[zbiornik LPG]]-lpg_3[[#This Row],[zyzucie lpg]]</f>
        <v>4.8800000000000008</v>
      </c>
      <c r="W85">
        <f>IF(lpg_3[[#This Row],[dzien]]=4,IF(lpg_3[[#This Row],[pb po trasie]]&lt;40,45-lpg_3[[#This Row],[pb po trasie]],0),0)</f>
        <v>0</v>
      </c>
      <c r="X85">
        <f>IF(lpg_3[[#This Row],[lpg po trasie]]&lt;5,30-lpg_3[[#This Row],[lpg po trasie]],0)</f>
        <v>25.119999999999997</v>
      </c>
      <c r="Y85">
        <f>WEEKDAY(lpg_3[[#This Row],[data]],2)</f>
        <v>2</v>
      </c>
    </row>
    <row r="86" spans="1:25" x14ac:dyDescent="0.25">
      <c r="A86" s="1">
        <v>41724</v>
      </c>
      <c r="B86">
        <v>41</v>
      </c>
      <c r="C86">
        <f>G85+I85</f>
        <v>39.299999999999997</v>
      </c>
      <c r="D86">
        <f>H85+J85</f>
        <v>30</v>
      </c>
      <c r="E86">
        <f>ROUND(IF(lpg[[#This Row],[zbiornik LPG]]&gt;15,0,(lpg[[#This Row],[km]]/2)*6/100),2)</f>
        <v>0</v>
      </c>
      <c r="F86">
        <f>ROUND(IF(lpg[[#This Row],[zbiornik LPG]]&gt;15,lpg[[#This Row],[km]]*9/100,(lpg[[#This Row],[km]]/2)*9/100),2)</f>
        <v>3.69</v>
      </c>
      <c r="G86">
        <f>lpg[[#This Row],[zbiornik PB95]]-lpg[[#This Row],[zuzycie PB95]]</f>
        <v>39.299999999999997</v>
      </c>
      <c r="H86">
        <f>lpg[[#This Row],[zbiornik LPG]]-lpg[[#This Row],[zyzucie lpg]]</f>
        <v>26.31</v>
      </c>
      <c r="I86">
        <f>IF(lpg[[#This Row],[dzien]]=4,IF(lpg[[#This Row],[pb po trasie]]&lt;40,45-lpg[[#This Row],[pb po trasie]],0),0)</f>
        <v>0</v>
      </c>
      <c r="J86">
        <f>IF(lpg[[#This Row],[lpg po trasie]]&lt;5,30-lpg[[#This Row],[lpg po trasie]],0)</f>
        <v>0</v>
      </c>
      <c r="K86">
        <f>WEEKDAY(lpg[[#This Row],[data]],2)</f>
        <v>3</v>
      </c>
      <c r="O86" s="1">
        <v>41724</v>
      </c>
      <c r="P86">
        <v>41</v>
      </c>
      <c r="Q86">
        <f>U85+W85</f>
        <v>39.299999999999997</v>
      </c>
      <c r="R86">
        <f>V85+X85</f>
        <v>30</v>
      </c>
      <c r="S86">
        <f>ROUND(IF(lpg_3[[#This Row],[zbiornik LPG]]&gt;15,0,(lpg_3[[#This Row],[km]]/2)*6/100),2)</f>
        <v>0</v>
      </c>
      <c r="T86">
        <f>ROUND(IF(lpg_3[[#This Row],[zbiornik LPG]]&gt;15,lpg_3[[#This Row],[km]]*9/100,(lpg_3[[#This Row],[km]]/2)*9/100),2)</f>
        <v>3.69</v>
      </c>
      <c r="U86">
        <f>lpg_3[[#This Row],[zbiornik PB95]]-lpg_3[[#This Row],[zuzycie PB95]]</f>
        <v>39.299999999999997</v>
      </c>
      <c r="V86">
        <f>lpg_3[[#This Row],[zbiornik LPG]]-lpg_3[[#This Row],[zyzucie lpg]]</f>
        <v>26.31</v>
      </c>
      <c r="W86">
        <f>IF(lpg_3[[#This Row],[dzien]]=4,IF(lpg_3[[#This Row],[pb po trasie]]&lt;40,45-lpg_3[[#This Row],[pb po trasie]],0),0)</f>
        <v>0</v>
      </c>
      <c r="X86">
        <f>IF(lpg_3[[#This Row],[lpg po trasie]]&lt;5,30-lpg_3[[#This Row],[lpg po trasie]],0)</f>
        <v>0</v>
      </c>
      <c r="Y86">
        <f>WEEKDAY(lpg_3[[#This Row],[data]],2)</f>
        <v>3</v>
      </c>
    </row>
    <row r="87" spans="1:25" x14ac:dyDescent="0.25">
      <c r="A87" s="1">
        <v>41725</v>
      </c>
      <c r="B87">
        <v>102</v>
      </c>
      <c r="C87">
        <f>G86+I86</f>
        <v>39.299999999999997</v>
      </c>
      <c r="D87">
        <f>H86+J86</f>
        <v>26.31</v>
      </c>
      <c r="E87">
        <f>ROUND(IF(lpg[[#This Row],[zbiornik LPG]]&gt;15,0,(lpg[[#This Row],[km]]/2)*6/100),2)</f>
        <v>0</v>
      </c>
      <c r="F87">
        <f>ROUND(IF(lpg[[#This Row],[zbiornik LPG]]&gt;15,lpg[[#This Row],[km]]*9/100,(lpg[[#This Row],[km]]/2)*9/100),2)</f>
        <v>9.18</v>
      </c>
      <c r="G87">
        <f>lpg[[#This Row],[zbiornik PB95]]-lpg[[#This Row],[zuzycie PB95]]</f>
        <v>39.299999999999997</v>
      </c>
      <c r="H87">
        <f>lpg[[#This Row],[zbiornik LPG]]-lpg[[#This Row],[zyzucie lpg]]</f>
        <v>17.13</v>
      </c>
      <c r="I87">
        <f>IF(lpg[[#This Row],[dzien]]=4,IF(lpg[[#This Row],[pb po trasie]]&lt;40,45-lpg[[#This Row],[pb po trasie]],0),0)</f>
        <v>5.7000000000000028</v>
      </c>
      <c r="J87">
        <f>IF(lpg[[#This Row],[lpg po trasie]]&lt;5,30-lpg[[#This Row],[lpg po trasie]],0)</f>
        <v>0</v>
      </c>
      <c r="K87">
        <f>WEEKDAY(lpg[[#This Row],[data]],2)</f>
        <v>4</v>
      </c>
      <c r="O87" s="1">
        <v>41725</v>
      </c>
      <c r="P87">
        <v>102</v>
      </c>
      <c r="Q87">
        <f>U86+W86</f>
        <v>39.299999999999997</v>
      </c>
      <c r="R87">
        <f>V86+X86</f>
        <v>26.31</v>
      </c>
      <c r="S87">
        <f>ROUND(IF(lpg_3[[#This Row],[zbiornik LPG]]&gt;15,0,(lpg_3[[#This Row],[km]]/2)*6/100),2)</f>
        <v>0</v>
      </c>
      <c r="T87">
        <f>ROUND(IF(lpg_3[[#This Row],[zbiornik LPG]]&gt;15,lpg_3[[#This Row],[km]]*9/100,(lpg_3[[#This Row],[km]]/2)*9/100),2)</f>
        <v>9.18</v>
      </c>
      <c r="U87">
        <f>lpg_3[[#This Row],[zbiornik PB95]]-lpg_3[[#This Row],[zuzycie PB95]]</f>
        <v>39.299999999999997</v>
      </c>
      <c r="V87">
        <f>lpg_3[[#This Row],[zbiornik LPG]]-lpg_3[[#This Row],[zyzucie lpg]]</f>
        <v>17.13</v>
      </c>
      <c r="W87">
        <f>IF(lpg_3[[#This Row],[dzien]]=4,IF(lpg_3[[#This Row],[pb po trasie]]&lt;40,45-lpg_3[[#This Row],[pb po trasie]],0),0)</f>
        <v>5.7000000000000028</v>
      </c>
      <c r="X87">
        <f>IF(lpg_3[[#This Row],[lpg po trasie]]&lt;5,30-lpg_3[[#This Row],[lpg po trasie]],0)</f>
        <v>0</v>
      </c>
      <c r="Y87">
        <f>WEEKDAY(lpg_3[[#This Row],[data]],2)</f>
        <v>4</v>
      </c>
    </row>
    <row r="88" spans="1:25" x14ac:dyDescent="0.25">
      <c r="A88" s="1">
        <v>41726</v>
      </c>
      <c r="B88">
        <v>129</v>
      </c>
      <c r="C88">
        <f>G87+I87</f>
        <v>45</v>
      </c>
      <c r="D88">
        <f>H87+J87</f>
        <v>17.13</v>
      </c>
      <c r="E88">
        <f>ROUND(IF(lpg[[#This Row],[zbiornik LPG]]&gt;15,0,(lpg[[#This Row],[km]]/2)*6/100),2)</f>
        <v>0</v>
      </c>
      <c r="F88">
        <f>ROUND(IF(lpg[[#This Row],[zbiornik LPG]]&gt;15,lpg[[#This Row],[km]]*9/100,(lpg[[#This Row],[km]]/2)*9/100),2)</f>
        <v>11.61</v>
      </c>
      <c r="G88">
        <f>lpg[[#This Row],[zbiornik PB95]]-lpg[[#This Row],[zuzycie PB95]]</f>
        <v>45</v>
      </c>
      <c r="H88">
        <f>lpg[[#This Row],[zbiornik LPG]]-lpg[[#This Row],[zyzucie lpg]]</f>
        <v>5.52</v>
      </c>
      <c r="I88">
        <f>IF(lpg[[#This Row],[dzien]]=4,IF(lpg[[#This Row],[pb po trasie]]&lt;40,45-lpg[[#This Row],[pb po trasie]],0),0)</f>
        <v>0</v>
      </c>
      <c r="J88">
        <f>IF(lpg[[#This Row],[lpg po trasie]]&lt;5,30-lpg[[#This Row],[lpg po trasie]],0)</f>
        <v>0</v>
      </c>
      <c r="K88">
        <f>WEEKDAY(lpg[[#This Row],[data]],2)</f>
        <v>5</v>
      </c>
      <c r="O88" s="1">
        <v>41726</v>
      </c>
      <c r="P88">
        <v>129</v>
      </c>
      <c r="Q88">
        <f>U87+W87</f>
        <v>45</v>
      </c>
      <c r="R88">
        <f>V87+X87</f>
        <v>17.13</v>
      </c>
      <c r="S88">
        <f>ROUND(IF(lpg_3[[#This Row],[zbiornik LPG]]&gt;15,0,(lpg_3[[#This Row],[km]]/2)*6/100),2)</f>
        <v>0</v>
      </c>
      <c r="T88">
        <f>ROUND(IF(lpg_3[[#This Row],[zbiornik LPG]]&gt;15,lpg_3[[#This Row],[km]]*9/100,(lpg_3[[#This Row],[km]]/2)*9/100),2)</f>
        <v>11.61</v>
      </c>
      <c r="U88">
        <f>lpg_3[[#This Row],[zbiornik PB95]]-lpg_3[[#This Row],[zuzycie PB95]]</f>
        <v>45</v>
      </c>
      <c r="V88">
        <f>lpg_3[[#This Row],[zbiornik LPG]]-lpg_3[[#This Row],[zyzucie lpg]]</f>
        <v>5.52</v>
      </c>
      <c r="W88">
        <f>IF(lpg_3[[#This Row],[dzien]]=4,IF(lpg_3[[#This Row],[pb po trasie]]&lt;40,45-lpg_3[[#This Row],[pb po trasie]],0),0)</f>
        <v>0</v>
      </c>
      <c r="X88">
        <f>IF(lpg_3[[#This Row],[lpg po trasie]]&lt;5,30-lpg_3[[#This Row],[lpg po trasie]],0)</f>
        <v>0</v>
      </c>
      <c r="Y88">
        <f>WEEKDAY(lpg_3[[#This Row],[data]],2)</f>
        <v>5</v>
      </c>
    </row>
    <row r="89" spans="1:25" x14ac:dyDescent="0.25">
      <c r="A89" s="1">
        <v>41727</v>
      </c>
      <c r="B89">
        <v>22</v>
      </c>
      <c r="C89">
        <f>G88+I88</f>
        <v>45</v>
      </c>
      <c r="D89">
        <f>H88+J88</f>
        <v>5.52</v>
      </c>
      <c r="E89">
        <f>ROUND(IF(lpg[[#This Row],[zbiornik LPG]]&gt;15,0,(lpg[[#This Row],[km]]/2)*6/100),2)</f>
        <v>0.66</v>
      </c>
      <c r="F89">
        <f>ROUND(IF(lpg[[#This Row],[zbiornik LPG]]&gt;15,lpg[[#This Row],[km]]*9/100,(lpg[[#This Row],[km]]/2)*9/100),2)</f>
        <v>0.99</v>
      </c>
      <c r="G89">
        <f>lpg[[#This Row],[zbiornik PB95]]-lpg[[#This Row],[zuzycie PB95]]</f>
        <v>44.34</v>
      </c>
      <c r="H89">
        <f>lpg[[#This Row],[zbiornik LPG]]-lpg[[#This Row],[zyzucie lpg]]</f>
        <v>4.5299999999999994</v>
      </c>
      <c r="I89">
        <f>IF(lpg[[#This Row],[dzien]]=4,IF(lpg[[#This Row],[pb po trasie]]&lt;40,45-lpg[[#This Row],[pb po trasie]],0),0)</f>
        <v>0</v>
      </c>
      <c r="J89">
        <f>IF(lpg[[#This Row],[lpg po trasie]]&lt;5,30-lpg[[#This Row],[lpg po trasie]],0)</f>
        <v>25.47</v>
      </c>
      <c r="K89">
        <f>WEEKDAY(lpg[[#This Row],[data]],2)</f>
        <v>6</v>
      </c>
      <c r="O89" s="1">
        <v>41727</v>
      </c>
      <c r="P89">
        <v>22</v>
      </c>
      <c r="Q89">
        <f>U88+W88</f>
        <v>45</v>
      </c>
      <c r="R89">
        <f>V88+X88</f>
        <v>5.52</v>
      </c>
      <c r="S89">
        <f>ROUND(IF(lpg_3[[#This Row],[zbiornik LPG]]&gt;15,0,(lpg_3[[#This Row],[km]]/2)*6/100),2)</f>
        <v>0.66</v>
      </c>
      <c r="T89">
        <f>ROUND(IF(lpg_3[[#This Row],[zbiornik LPG]]&gt;15,lpg_3[[#This Row],[km]]*9/100,(lpg_3[[#This Row],[km]]/2)*9/100),2)</f>
        <v>0.99</v>
      </c>
      <c r="U89">
        <f>lpg_3[[#This Row],[zbiornik PB95]]-lpg_3[[#This Row],[zuzycie PB95]]</f>
        <v>44.34</v>
      </c>
      <c r="V89">
        <f>lpg_3[[#This Row],[zbiornik LPG]]-lpg_3[[#This Row],[zyzucie lpg]]</f>
        <v>4.5299999999999994</v>
      </c>
      <c r="W89">
        <f>IF(lpg_3[[#This Row],[dzien]]=4,IF(lpg_3[[#This Row],[pb po trasie]]&lt;40,45-lpg_3[[#This Row],[pb po trasie]],0),0)</f>
        <v>0</v>
      </c>
      <c r="X89">
        <f>IF(lpg_3[[#This Row],[lpg po trasie]]&lt;5,30-lpg_3[[#This Row],[lpg po trasie]],0)</f>
        <v>25.47</v>
      </c>
      <c r="Y89">
        <f>WEEKDAY(lpg_3[[#This Row],[data]],2)</f>
        <v>6</v>
      </c>
    </row>
    <row r="90" spans="1:25" x14ac:dyDescent="0.25">
      <c r="A90" s="1">
        <v>41728</v>
      </c>
      <c r="B90">
        <v>25</v>
      </c>
      <c r="C90">
        <f>G89+I89</f>
        <v>44.34</v>
      </c>
      <c r="D90">
        <f>H89+J89</f>
        <v>30</v>
      </c>
      <c r="E90">
        <f>ROUND(IF(lpg[[#This Row],[zbiornik LPG]]&gt;15,0,(lpg[[#This Row],[km]]/2)*6/100),2)</f>
        <v>0</v>
      </c>
      <c r="F90">
        <f>ROUND(IF(lpg[[#This Row],[zbiornik LPG]]&gt;15,lpg[[#This Row],[km]]*9/100,(lpg[[#This Row],[km]]/2)*9/100),2)</f>
        <v>2.25</v>
      </c>
      <c r="G90">
        <f>lpg[[#This Row],[zbiornik PB95]]-lpg[[#This Row],[zuzycie PB95]]</f>
        <v>44.34</v>
      </c>
      <c r="H90">
        <f>lpg[[#This Row],[zbiornik LPG]]-lpg[[#This Row],[zyzucie lpg]]</f>
        <v>27.75</v>
      </c>
      <c r="I90">
        <f>IF(lpg[[#This Row],[dzien]]=4,IF(lpg[[#This Row],[pb po trasie]]&lt;40,45-lpg[[#This Row],[pb po trasie]],0),0)</f>
        <v>0</v>
      </c>
      <c r="J90">
        <f>IF(lpg[[#This Row],[lpg po trasie]]&lt;5,30-lpg[[#This Row],[lpg po trasie]],0)</f>
        <v>0</v>
      </c>
      <c r="K90">
        <f>WEEKDAY(lpg[[#This Row],[data]],2)</f>
        <v>7</v>
      </c>
      <c r="O90" s="1">
        <v>41728</v>
      </c>
      <c r="P90">
        <v>25</v>
      </c>
      <c r="Q90">
        <f>U89+W89</f>
        <v>44.34</v>
      </c>
      <c r="R90">
        <f>V89+X89</f>
        <v>30</v>
      </c>
      <c r="S90">
        <f>ROUND(IF(lpg_3[[#This Row],[zbiornik LPG]]&gt;15,0,(lpg_3[[#This Row],[km]]/2)*6/100),2)</f>
        <v>0</v>
      </c>
      <c r="T90">
        <f>ROUND(IF(lpg_3[[#This Row],[zbiornik LPG]]&gt;15,lpg_3[[#This Row],[km]]*9/100,(lpg_3[[#This Row],[km]]/2)*9/100),2)</f>
        <v>2.25</v>
      </c>
      <c r="U90">
        <f>lpg_3[[#This Row],[zbiornik PB95]]-lpg_3[[#This Row],[zuzycie PB95]]</f>
        <v>44.34</v>
      </c>
      <c r="V90">
        <f>lpg_3[[#This Row],[zbiornik LPG]]-lpg_3[[#This Row],[zyzucie lpg]]</f>
        <v>27.75</v>
      </c>
      <c r="W90">
        <f>IF(lpg_3[[#This Row],[dzien]]=4,IF(lpg_3[[#This Row],[pb po trasie]]&lt;40,45-lpg_3[[#This Row],[pb po trasie]],0),0)</f>
        <v>0</v>
      </c>
      <c r="X90">
        <f>IF(lpg_3[[#This Row],[lpg po trasie]]&lt;5,30-lpg_3[[#This Row],[lpg po trasie]],0)</f>
        <v>0</v>
      </c>
      <c r="Y90">
        <f>WEEKDAY(lpg_3[[#This Row],[data]],2)</f>
        <v>7</v>
      </c>
    </row>
    <row r="91" spans="1:25" x14ac:dyDescent="0.25">
      <c r="A91" s="1">
        <v>41729</v>
      </c>
      <c r="B91">
        <v>26</v>
      </c>
      <c r="C91">
        <f>G90+I90</f>
        <v>44.34</v>
      </c>
      <c r="D91">
        <f>H90+J90</f>
        <v>27.75</v>
      </c>
      <c r="E91">
        <f>ROUND(IF(lpg[[#This Row],[zbiornik LPG]]&gt;15,0,(lpg[[#This Row],[km]]/2)*6/100),2)</f>
        <v>0</v>
      </c>
      <c r="F91">
        <f>ROUND(IF(lpg[[#This Row],[zbiornik LPG]]&gt;15,lpg[[#This Row],[km]]*9/100,(lpg[[#This Row],[km]]/2)*9/100),2)</f>
        <v>2.34</v>
      </c>
      <c r="G91">
        <f>lpg[[#This Row],[zbiornik PB95]]-lpg[[#This Row],[zuzycie PB95]]</f>
        <v>44.34</v>
      </c>
      <c r="H91">
        <f>lpg[[#This Row],[zbiornik LPG]]-lpg[[#This Row],[zyzucie lpg]]</f>
        <v>25.41</v>
      </c>
      <c r="I91">
        <f>IF(lpg[[#This Row],[dzien]]=4,IF(lpg[[#This Row],[pb po trasie]]&lt;40,45-lpg[[#This Row],[pb po trasie]],0),0)</f>
        <v>0</v>
      </c>
      <c r="J91">
        <f>IF(lpg[[#This Row],[lpg po trasie]]&lt;5,30-lpg[[#This Row],[lpg po trasie]],0)</f>
        <v>0</v>
      </c>
      <c r="K91">
        <f>WEEKDAY(lpg[[#This Row],[data]],2)</f>
        <v>1</v>
      </c>
      <c r="O91" s="1">
        <v>41729</v>
      </c>
      <c r="P91">
        <v>26</v>
      </c>
      <c r="Q91">
        <f>U90+W90</f>
        <v>44.34</v>
      </c>
      <c r="R91">
        <f>V90+X90</f>
        <v>27.75</v>
      </c>
      <c r="S91">
        <f>ROUND(IF(lpg_3[[#This Row],[zbiornik LPG]]&gt;15,0,(lpg_3[[#This Row],[km]]/2)*6/100),2)</f>
        <v>0</v>
      </c>
      <c r="T91">
        <f>ROUND(IF(lpg_3[[#This Row],[zbiornik LPG]]&gt;15,lpg_3[[#This Row],[km]]*9/100,(lpg_3[[#This Row],[km]]/2)*9/100),2)</f>
        <v>2.34</v>
      </c>
      <c r="U91">
        <f>lpg_3[[#This Row],[zbiornik PB95]]-lpg_3[[#This Row],[zuzycie PB95]]</f>
        <v>44.34</v>
      </c>
      <c r="V91">
        <f>lpg_3[[#This Row],[zbiornik LPG]]-lpg_3[[#This Row],[zyzucie lpg]]</f>
        <v>25.41</v>
      </c>
      <c r="W91">
        <f>IF(lpg_3[[#This Row],[dzien]]=4,IF(lpg_3[[#This Row],[pb po trasie]]&lt;40,45-lpg_3[[#This Row],[pb po trasie]],0),0)</f>
        <v>0</v>
      </c>
      <c r="X91">
        <f>IF(lpg_3[[#This Row],[lpg po trasie]]&lt;5,30-lpg_3[[#This Row],[lpg po trasie]],0)</f>
        <v>0</v>
      </c>
      <c r="Y91">
        <f>WEEKDAY(lpg_3[[#This Row],[data]],2)</f>
        <v>1</v>
      </c>
    </row>
    <row r="92" spans="1:25" x14ac:dyDescent="0.25">
      <c r="A92" s="1">
        <v>41730</v>
      </c>
      <c r="B92">
        <v>84</v>
      </c>
      <c r="C92">
        <f>G91+I91</f>
        <v>44.34</v>
      </c>
      <c r="D92">
        <f>H91+J91</f>
        <v>25.41</v>
      </c>
      <c r="E92">
        <f>ROUND(IF(lpg[[#This Row],[zbiornik LPG]]&gt;15,0,(lpg[[#This Row],[km]]/2)*6/100),2)</f>
        <v>0</v>
      </c>
      <c r="F92">
        <f>ROUND(IF(lpg[[#This Row],[zbiornik LPG]]&gt;15,lpg[[#This Row],[km]]*9/100,(lpg[[#This Row],[km]]/2)*9/100),2)</f>
        <v>7.56</v>
      </c>
      <c r="G92">
        <f>lpg[[#This Row],[zbiornik PB95]]-lpg[[#This Row],[zuzycie PB95]]</f>
        <v>44.34</v>
      </c>
      <c r="H92">
        <f>lpg[[#This Row],[zbiornik LPG]]-lpg[[#This Row],[zyzucie lpg]]</f>
        <v>17.850000000000001</v>
      </c>
      <c r="I92">
        <f>IF(lpg[[#This Row],[dzien]]=4,IF(lpg[[#This Row],[pb po trasie]]&lt;40,45-lpg[[#This Row],[pb po trasie]],0),0)</f>
        <v>0</v>
      </c>
      <c r="J92">
        <f>IF(lpg[[#This Row],[lpg po trasie]]&lt;5,30-lpg[[#This Row],[lpg po trasie]],0)</f>
        <v>0</v>
      </c>
      <c r="K92">
        <f>WEEKDAY(lpg[[#This Row],[data]],2)</f>
        <v>2</v>
      </c>
      <c r="O92" s="1">
        <v>41730</v>
      </c>
      <c r="P92">
        <v>84</v>
      </c>
      <c r="Q92">
        <f>U91+W91</f>
        <v>44.34</v>
      </c>
      <c r="R92">
        <f>V91+X91</f>
        <v>25.41</v>
      </c>
      <c r="S92">
        <f>ROUND(IF(lpg_3[[#This Row],[zbiornik LPG]]&gt;15,0,(lpg_3[[#This Row],[km]]/2)*6/100),2)</f>
        <v>0</v>
      </c>
      <c r="T92">
        <f>ROUND(IF(lpg_3[[#This Row],[zbiornik LPG]]&gt;15,lpg_3[[#This Row],[km]]*9/100,(lpg_3[[#This Row],[km]]/2)*9/100),2)</f>
        <v>7.56</v>
      </c>
      <c r="U92">
        <f>lpg_3[[#This Row],[zbiornik PB95]]-lpg_3[[#This Row],[zuzycie PB95]]</f>
        <v>44.34</v>
      </c>
      <c r="V92">
        <f>lpg_3[[#This Row],[zbiornik LPG]]-lpg_3[[#This Row],[zyzucie lpg]]</f>
        <v>17.850000000000001</v>
      </c>
      <c r="W92">
        <f>IF(lpg_3[[#This Row],[dzien]]=4,IF(lpg_3[[#This Row],[pb po trasie]]&lt;40,45-lpg_3[[#This Row],[pb po trasie]],0),0)</f>
        <v>0</v>
      </c>
      <c r="X92">
        <f>IF(lpg_3[[#This Row],[lpg po trasie]]&lt;5,30-lpg_3[[#This Row],[lpg po trasie]],0)</f>
        <v>0</v>
      </c>
      <c r="Y92">
        <f>WEEKDAY(lpg_3[[#This Row],[data]],2)</f>
        <v>2</v>
      </c>
    </row>
    <row r="93" spans="1:25" x14ac:dyDescent="0.25">
      <c r="A93" s="1">
        <v>41731</v>
      </c>
      <c r="B93">
        <v>129</v>
      </c>
      <c r="C93">
        <f>G92+I92</f>
        <v>44.34</v>
      </c>
      <c r="D93">
        <f>H92+J92</f>
        <v>17.850000000000001</v>
      </c>
      <c r="E93">
        <f>ROUND(IF(lpg[[#This Row],[zbiornik LPG]]&gt;15,0,(lpg[[#This Row],[km]]/2)*6/100),2)</f>
        <v>0</v>
      </c>
      <c r="F93">
        <f>ROUND(IF(lpg[[#This Row],[zbiornik LPG]]&gt;15,lpg[[#This Row],[km]]*9/100,(lpg[[#This Row],[km]]/2)*9/100),2)</f>
        <v>11.61</v>
      </c>
      <c r="G93">
        <f>lpg[[#This Row],[zbiornik PB95]]-lpg[[#This Row],[zuzycie PB95]]</f>
        <v>44.34</v>
      </c>
      <c r="H93">
        <f>lpg[[#This Row],[zbiornik LPG]]-lpg[[#This Row],[zyzucie lpg]]</f>
        <v>6.240000000000002</v>
      </c>
      <c r="I93">
        <f>IF(lpg[[#This Row],[dzien]]=4,IF(lpg[[#This Row],[pb po trasie]]&lt;40,45-lpg[[#This Row],[pb po trasie]],0),0)</f>
        <v>0</v>
      </c>
      <c r="J93">
        <f>IF(lpg[[#This Row],[lpg po trasie]]&lt;5,30-lpg[[#This Row],[lpg po trasie]],0)</f>
        <v>0</v>
      </c>
      <c r="K93">
        <f>WEEKDAY(lpg[[#This Row],[data]],2)</f>
        <v>3</v>
      </c>
      <c r="O93" s="1">
        <v>41731</v>
      </c>
      <c r="P93">
        <v>129</v>
      </c>
      <c r="Q93">
        <f>U92+W92</f>
        <v>44.34</v>
      </c>
      <c r="R93">
        <f>V92+X92</f>
        <v>17.850000000000001</v>
      </c>
      <c r="S93">
        <f>ROUND(IF(lpg_3[[#This Row],[zbiornik LPG]]&gt;15,0,(lpg_3[[#This Row],[km]]/2)*6/100),2)</f>
        <v>0</v>
      </c>
      <c r="T93">
        <f>ROUND(IF(lpg_3[[#This Row],[zbiornik LPG]]&gt;15,lpg_3[[#This Row],[km]]*9/100,(lpg_3[[#This Row],[km]]/2)*9/100),2)</f>
        <v>11.61</v>
      </c>
      <c r="U93">
        <f>lpg_3[[#This Row],[zbiornik PB95]]-lpg_3[[#This Row],[zuzycie PB95]]</f>
        <v>44.34</v>
      </c>
      <c r="V93">
        <f>lpg_3[[#This Row],[zbiornik LPG]]-lpg_3[[#This Row],[zyzucie lpg]]</f>
        <v>6.240000000000002</v>
      </c>
      <c r="W93">
        <f>IF(lpg_3[[#This Row],[dzien]]=4,IF(lpg_3[[#This Row],[pb po trasie]]&lt;40,45-lpg_3[[#This Row],[pb po trasie]],0),0)</f>
        <v>0</v>
      </c>
      <c r="X93">
        <f>IF(lpg_3[[#This Row],[lpg po trasie]]&lt;5,30-lpg_3[[#This Row],[lpg po trasie]],0)</f>
        <v>0</v>
      </c>
      <c r="Y93">
        <f>WEEKDAY(lpg_3[[#This Row],[data]],2)</f>
        <v>3</v>
      </c>
    </row>
    <row r="94" spans="1:25" x14ac:dyDescent="0.25">
      <c r="A94" s="1">
        <v>41732</v>
      </c>
      <c r="B94">
        <v>18</v>
      </c>
      <c r="C94">
        <f>G93+I93</f>
        <v>44.34</v>
      </c>
      <c r="D94">
        <f>H93+J93</f>
        <v>6.240000000000002</v>
      </c>
      <c r="E94">
        <f>ROUND(IF(lpg[[#This Row],[zbiornik LPG]]&gt;15,0,(lpg[[#This Row],[km]]/2)*6/100),2)</f>
        <v>0.54</v>
      </c>
      <c r="F94">
        <f>ROUND(IF(lpg[[#This Row],[zbiornik LPG]]&gt;15,lpg[[#This Row],[km]]*9/100,(lpg[[#This Row],[km]]/2)*9/100),2)</f>
        <v>0.81</v>
      </c>
      <c r="G94">
        <f>lpg[[#This Row],[zbiornik PB95]]-lpg[[#This Row],[zuzycie PB95]]</f>
        <v>43.800000000000004</v>
      </c>
      <c r="H94">
        <f>lpg[[#This Row],[zbiornik LPG]]-lpg[[#This Row],[zyzucie lpg]]</f>
        <v>5.4300000000000015</v>
      </c>
      <c r="I94">
        <f>IF(lpg[[#This Row],[dzien]]=4,IF(lpg[[#This Row],[pb po trasie]]&lt;40,45-lpg[[#This Row],[pb po trasie]],0),0)</f>
        <v>0</v>
      </c>
      <c r="J94">
        <f>IF(lpg[[#This Row],[lpg po trasie]]&lt;5,30-lpg[[#This Row],[lpg po trasie]],0)</f>
        <v>0</v>
      </c>
      <c r="K94">
        <f>WEEKDAY(lpg[[#This Row],[data]],2)</f>
        <v>4</v>
      </c>
      <c r="O94" s="1">
        <v>41732</v>
      </c>
      <c r="P94">
        <v>18</v>
      </c>
      <c r="Q94">
        <f>U93+W93</f>
        <v>44.34</v>
      </c>
      <c r="R94">
        <f>V93+X93</f>
        <v>6.240000000000002</v>
      </c>
      <c r="S94">
        <f>ROUND(IF(lpg_3[[#This Row],[zbiornik LPG]]&gt;15,0,(lpg_3[[#This Row],[km]]/2)*6/100),2)</f>
        <v>0.54</v>
      </c>
      <c r="T94">
        <f>ROUND(IF(lpg_3[[#This Row],[zbiornik LPG]]&gt;15,lpg_3[[#This Row],[km]]*9/100,(lpg_3[[#This Row],[km]]/2)*9/100),2)</f>
        <v>0.81</v>
      </c>
      <c r="U94">
        <f>lpg_3[[#This Row],[zbiornik PB95]]-lpg_3[[#This Row],[zuzycie PB95]]</f>
        <v>43.800000000000004</v>
      </c>
      <c r="V94">
        <f>lpg_3[[#This Row],[zbiornik LPG]]-lpg_3[[#This Row],[zyzucie lpg]]</f>
        <v>5.4300000000000015</v>
      </c>
      <c r="W94">
        <f>IF(lpg_3[[#This Row],[dzien]]=4,IF(lpg_3[[#This Row],[pb po trasie]]&lt;40,45-lpg_3[[#This Row],[pb po trasie]],0),0)</f>
        <v>0</v>
      </c>
      <c r="X94">
        <f>IF(lpg_3[[#This Row],[lpg po trasie]]&lt;5,30-lpg_3[[#This Row],[lpg po trasie]],0)</f>
        <v>0</v>
      </c>
      <c r="Y94">
        <f>WEEKDAY(lpg_3[[#This Row],[data]],2)</f>
        <v>4</v>
      </c>
    </row>
    <row r="95" spans="1:25" x14ac:dyDescent="0.25">
      <c r="A95" s="1">
        <v>41733</v>
      </c>
      <c r="B95">
        <v>60</v>
      </c>
      <c r="C95">
        <f>G94+I94</f>
        <v>43.800000000000004</v>
      </c>
      <c r="D95">
        <f>H94+J94</f>
        <v>5.4300000000000015</v>
      </c>
      <c r="E95">
        <f>ROUND(IF(lpg[[#This Row],[zbiornik LPG]]&gt;15,0,(lpg[[#This Row],[km]]/2)*6/100),2)</f>
        <v>1.8</v>
      </c>
      <c r="F95">
        <f>ROUND(IF(lpg[[#This Row],[zbiornik LPG]]&gt;15,lpg[[#This Row],[km]]*9/100,(lpg[[#This Row],[km]]/2)*9/100),2)</f>
        <v>2.7</v>
      </c>
      <c r="G95">
        <f>lpg[[#This Row],[zbiornik PB95]]-lpg[[#This Row],[zuzycie PB95]]</f>
        <v>42.000000000000007</v>
      </c>
      <c r="H95">
        <f>lpg[[#This Row],[zbiornik LPG]]-lpg[[#This Row],[zyzucie lpg]]</f>
        <v>2.7300000000000013</v>
      </c>
      <c r="I95">
        <f>IF(lpg[[#This Row],[dzien]]=4,IF(lpg[[#This Row],[pb po trasie]]&lt;40,45-lpg[[#This Row],[pb po trasie]],0),0)</f>
        <v>0</v>
      </c>
      <c r="J95">
        <f>IF(lpg[[#This Row],[lpg po trasie]]&lt;5,30-lpg[[#This Row],[lpg po trasie]],0)</f>
        <v>27.27</v>
      </c>
      <c r="K95">
        <f>WEEKDAY(lpg[[#This Row],[data]],2)</f>
        <v>5</v>
      </c>
      <c r="O95" s="1">
        <v>41733</v>
      </c>
      <c r="P95">
        <v>60</v>
      </c>
      <c r="Q95">
        <f>U94+W94</f>
        <v>43.800000000000004</v>
      </c>
      <c r="R95">
        <f>V94+X94</f>
        <v>5.4300000000000015</v>
      </c>
      <c r="S95">
        <f>ROUND(IF(lpg_3[[#This Row],[zbiornik LPG]]&gt;15,0,(lpg_3[[#This Row],[km]]/2)*6/100),2)</f>
        <v>1.8</v>
      </c>
      <c r="T95">
        <f>ROUND(IF(lpg_3[[#This Row],[zbiornik LPG]]&gt;15,lpg_3[[#This Row],[km]]*9/100,(lpg_3[[#This Row],[km]]/2)*9/100),2)</f>
        <v>2.7</v>
      </c>
      <c r="U95">
        <f>lpg_3[[#This Row],[zbiornik PB95]]-lpg_3[[#This Row],[zuzycie PB95]]</f>
        <v>42.000000000000007</v>
      </c>
      <c r="V95">
        <f>lpg_3[[#This Row],[zbiornik LPG]]-lpg_3[[#This Row],[zyzucie lpg]]</f>
        <v>2.7300000000000013</v>
      </c>
      <c r="W95">
        <f>IF(lpg_3[[#This Row],[dzien]]=4,IF(lpg_3[[#This Row],[pb po trasie]]&lt;40,45-lpg_3[[#This Row],[pb po trasie]],0),0)</f>
        <v>0</v>
      </c>
      <c r="X95">
        <f>IF(lpg_3[[#This Row],[lpg po trasie]]&lt;5,30-lpg_3[[#This Row],[lpg po trasie]],0)</f>
        <v>27.27</v>
      </c>
      <c r="Y95">
        <f>WEEKDAY(lpg_3[[#This Row],[data]],2)</f>
        <v>5</v>
      </c>
    </row>
    <row r="96" spans="1:25" x14ac:dyDescent="0.25">
      <c r="A96" s="1">
        <v>41734</v>
      </c>
      <c r="B96">
        <v>25</v>
      </c>
      <c r="C96">
        <f>G95+I95</f>
        <v>42.000000000000007</v>
      </c>
      <c r="D96">
        <f>H95+J95</f>
        <v>30</v>
      </c>
      <c r="E96">
        <f>ROUND(IF(lpg[[#This Row],[zbiornik LPG]]&gt;15,0,(lpg[[#This Row],[km]]/2)*6/100),2)</f>
        <v>0</v>
      </c>
      <c r="F96">
        <f>ROUND(IF(lpg[[#This Row],[zbiornik LPG]]&gt;15,lpg[[#This Row],[km]]*9/100,(lpg[[#This Row],[km]]/2)*9/100),2)</f>
        <v>2.25</v>
      </c>
      <c r="G96">
        <f>lpg[[#This Row],[zbiornik PB95]]-lpg[[#This Row],[zuzycie PB95]]</f>
        <v>42.000000000000007</v>
      </c>
      <c r="H96">
        <f>lpg[[#This Row],[zbiornik LPG]]-lpg[[#This Row],[zyzucie lpg]]</f>
        <v>27.75</v>
      </c>
      <c r="I96">
        <f>IF(lpg[[#This Row],[dzien]]=4,IF(lpg[[#This Row],[pb po trasie]]&lt;40,45-lpg[[#This Row],[pb po trasie]],0),0)</f>
        <v>0</v>
      </c>
      <c r="J96">
        <f>IF(lpg[[#This Row],[lpg po trasie]]&lt;5,30-lpg[[#This Row],[lpg po trasie]],0)</f>
        <v>0</v>
      </c>
      <c r="K96">
        <f>WEEKDAY(lpg[[#This Row],[data]],2)</f>
        <v>6</v>
      </c>
      <c r="O96" s="1">
        <v>41734</v>
      </c>
      <c r="P96">
        <v>25</v>
      </c>
      <c r="Q96">
        <f>U95+W95</f>
        <v>42.000000000000007</v>
      </c>
      <c r="R96">
        <f>V95+X95</f>
        <v>30</v>
      </c>
      <c r="S96">
        <f>ROUND(IF(lpg_3[[#This Row],[zbiornik LPG]]&gt;15,0,(lpg_3[[#This Row],[km]]/2)*6/100),2)</f>
        <v>0</v>
      </c>
      <c r="T96">
        <f>ROUND(IF(lpg_3[[#This Row],[zbiornik LPG]]&gt;15,lpg_3[[#This Row],[km]]*9/100,(lpg_3[[#This Row],[km]]/2)*9/100),2)</f>
        <v>2.25</v>
      </c>
      <c r="U96">
        <f>lpg_3[[#This Row],[zbiornik PB95]]-lpg_3[[#This Row],[zuzycie PB95]]</f>
        <v>42.000000000000007</v>
      </c>
      <c r="V96">
        <f>lpg_3[[#This Row],[zbiornik LPG]]-lpg_3[[#This Row],[zyzucie lpg]]</f>
        <v>27.75</v>
      </c>
      <c r="W96">
        <f>IF(lpg_3[[#This Row],[dzien]]=4,IF(lpg_3[[#This Row],[pb po trasie]]&lt;40,45-lpg_3[[#This Row],[pb po trasie]],0),0)</f>
        <v>0</v>
      </c>
      <c r="X96">
        <f>IF(lpg_3[[#This Row],[lpg po trasie]]&lt;5,30-lpg_3[[#This Row],[lpg po trasie]],0)</f>
        <v>0</v>
      </c>
      <c r="Y96">
        <f>WEEKDAY(lpg_3[[#This Row],[data]],2)</f>
        <v>6</v>
      </c>
    </row>
    <row r="97" spans="1:25" x14ac:dyDescent="0.25">
      <c r="A97" s="1">
        <v>41735</v>
      </c>
      <c r="B97">
        <v>126</v>
      </c>
      <c r="C97">
        <f>G96+I96</f>
        <v>42.000000000000007</v>
      </c>
      <c r="D97">
        <f>H96+J96</f>
        <v>27.75</v>
      </c>
      <c r="E97">
        <f>ROUND(IF(lpg[[#This Row],[zbiornik LPG]]&gt;15,0,(lpg[[#This Row],[km]]/2)*6/100),2)</f>
        <v>0</v>
      </c>
      <c r="F97">
        <f>ROUND(IF(lpg[[#This Row],[zbiornik LPG]]&gt;15,lpg[[#This Row],[km]]*9/100,(lpg[[#This Row],[km]]/2)*9/100),2)</f>
        <v>11.34</v>
      </c>
      <c r="G97">
        <f>lpg[[#This Row],[zbiornik PB95]]-lpg[[#This Row],[zuzycie PB95]]</f>
        <v>42.000000000000007</v>
      </c>
      <c r="H97">
        <f>lpg[[#This Row],[zbiornik LPG]]-lpg[[#This Row],[zyzucie lpg]]</f>
        <v>16.41</v>
      </c>
      <c r="I97">
        <f>IF(lpg[[#This Row],[dzien]]=4,IF(lpg[[#This Row],[pb po trasie]]&lt;40,45-lpg[[#This Row],[pb po trasie]],0),0)</f>
        <v>0</v>
      </c>
      <c r="J97">
        <f>IF(lpg[[#This Row],[lpg po trasie]]&lt;5,30-lpg[[#This Row],[lpg po trasie]],0)</f>
        <v>0</v>
      </c>
      <c r="K97">
        <f>WEEKDAY(lpg[[#This Row],[data]],2)</f>
        <v>7</v>
      </c>
      <c r="O97" s="1">
        <v>41735</v>
      </c>
      <c r="P97">
        <v>126</v>
      </c>
      <c r="Q97">
        <f>U96+W96</f>
        <v>42.000000000000007</v>
      </c>
      <c r="R97">
        <f>V96+X96</f>
        <v>27.75</v>
      </c>
      <c r="S97">
        <f>ROUND(IF(lpg_3[[#This Row],[zbiornik LPG]]&gt;15,0,(lpg_3[[#This Row],[km]]/2)*6/100),2)</f>
        <v>0</v>
      </c>
      <c r="T97">
        <f>ROUND(IF(lpg_3[[#This Row],[zbiornik LPG]]&gt;15,lpg_3[[#This Row],[km]]*9/100,(lpg_3[[#This Row],[km]]/2)*9/100),2)</f>
        <v>11.34</v>
      </c>
      <c r="U97">
        <f>lpg_3[[#This Row],[zbiornik PB95]]-lpg_3[[#This Row],[zuzycie PB95]]</f>
        <v>42.000000000000007</v>
      </c>
      <c r="V97">
        <f>lpg_3[[#This Row],[zbiornik LPG]]-lpg_3[[#This Row],[zyzucie lpg]]</f>
        <v>16.41</v>
      </c>
      <c r="W97">
        <f>IF(lpg_3[[#This Row],[dzien]]=4,IF(lpg_3[[#This Row],[pb po trasie]]&lt;40,45-lpg_3[[#This Row],[pb po trasie]],0),0)</f>
        <v>0</v>
      </c>
      <c r="X97">
        <f>IF(lpg_3[[#This Row],[lpg po trasie]]&lt;5,30-lpg_3[[#This Row],[lpg po trasie]],0)</f>
        <v>0</v>
      </c>
      <c r="Y97">
        <f>WEEKDAY(lpg_3[[#This Row],[data]],2)</f>
        <v>7</v>
      </c>
    </row>
    <row r="98" spans="1:25" x14ac:dyDescent="0.25">
      <c r="A98" s="1">
        <v>41736</v>
      </c>
      <c r="B98">
        <v>35</v>
      </c>
      <c r="C98">
        <f>G97+I97</f>
        <v>42.000000000000007</v>
      </c>
      <c r="D98">
        <f>H97+J97</f>
        <v>16.41</v>
      </c>
      <c r="E98">
        <f>ROUND(IF(lpg[[#This Row],[zbiornik LPG]]&gt;15,0,(lpg[[#This Row],[km]]/2)*6/100),2)</f>
        <v>0</v>
      </c>
      <c r="F98">
        <f>ROUND(IF(lpg[[#This Row],[zbiornik LPG]]&gt;15,lpg[[#This Row],[km]]*9/100,(lpg[[#This Row],[km]]/2)*9/100),2)</f>
        <v>3.15</v>
      </c>
      <c r="G98">
        <f>lpg[[#This Row],[zbiornik PB95]]-lpg[[#This Row],[zuzycie PB95]]</f>
        <v>42.000000000000007</v>
      </c>
      <c r="H98">
        <f>lpg[[#This Row],[zbiornik LPG]]-lpg[[#This Row],[zyzucie lpg]]</f>
        <v>13.26</v>
      </c>
      <c r="I98">
        <f>IF(lpg[[#This Row],[dzien]]=4,IF(lpg[[#This Row],[pb po trasie]]&lt;40,45-lpg[[#This Row],[pb po trasie]],0),0)</f>
        <v>0</v>
      </c>
      <c r="J98">
        <f>IF(lpg[[#This Row],[lpg po trasie]]&lt;5,30-lpg[[#This Row],[lpg po trasie]],0)</f>
        <v>0</v>
      </c>
      <c r="K98">
        <f>WEEKDAY(lpg[[#This Row],[data]],2)</f>
        <v>1</v>
      </c>
      <c r="O98" s="1">
        <v>41736</v>
      </c>
      <c r="P98">
        <v>35</v>
      </c>
      <c r="Q98">
        <f>U97+W97</f>
        <v>42.000000000000007</v>
      </c>
      <c r="R98">
        <f>V97+X97</f>
        <v>16.41</v>
      </c>
      <c r="S98">
        <f>ROUND(IF(lpg_3[[#This Row],[zbiornik LPG]]&gt;15,0,(lpg_3[[#This Row],[km]]/2)*6/100),2)</f>
        <v>0</v>
      </c>
      <c r="T98">
        <f>ROUND(IF(lpg_3[[#This Row],[zbiornik LPG]]&gt;15,lpg_3[[#This Row],[km]]*9/100,(lpg_3[[#This Row],[km]]/2)*9/100),2)</f>
        <v>3.15</v>
      </c>
      <c r="U98">
        <f>lpg_3[[#This Row],[zbiornik PB95]]-lpg_3[[#This Row],[zuzycie PB95]]</f>
        <v>42.000000000000007</v>
      </c>
      <c r="V98">
        <f>lpg_3[[#This Row],[zbiornik LPG]]-lpg_3[[#This Row],[zyzucie lpg]]</f>
        <v>13.26</v>
      </c>
      <c r="W98">
        <f>IF(lpg_3[[#This Row],[dzien]]=4,IF(lpg_3[[#This Row],[pb po trasie]]&lt;40,45-lpg_3[[#This Row],[pb po trasie]],0),0)</f>
        <v>0</v>
      </c>
      <c r="X98">
        <f>IF(lpg_3[[#This Row],[lpg po trasie]]&lt;5,30-lpg_3[[#This Row],[lpg po trasie]],0)</f>
        <v>0</v>
      </c>
      <c r="Y98">
        <f>WEEKDAY(lpg_3[[#This Row],[data]],2)</f>
        <v>1</v>
      </c>
    </row>
    <row r="99" spans="1:25" x14ac:dyDescent="0.25">
      <c r="A99" s="1">
        <v>41737</v>
      </c>
      <c r="B99">
        <v>143</v>
      </c>
      <c r="C99">
        <f>G98+I98</f>
        <v>42.000000000000007</v>
      </c>
      <c r="D99">
        <f>H98+J98</f>
        <v>13.26</v>
      </c>
      <c r="E99">
        <f>ROUND(IF(lpg[[#This Row],[zbiornik LPG]]&gt;15,0,(lpg[[#This Row],[km]]/2)*6/100),2)</f>
        <v>4.29</v>
      </c>
      <c r="F99">
        <f>ROUND(IF(lpg[[#This Row],[zbiornik LPG]]&gt;15,lpg[[#This Row],[km]]*9/100,(lpg[[#This Row],[km]]/2)*9/100),2)</f>
        <v>6.44</v>
      </c>
      <c r="G99">
        <f>lpg[[#This Row],[zbiornik PB95]]-lpg[[#This Row],[zuzycie PB95]]</f>
        <v>37.710000000000008</v>
      </c>
      <c r="H99">
        <f>lpg[[#This Row],[zbiornik LPG]]-lpg[[#This Row],[zyzucie lpg]]</f>
        <v>6.8199999999999994</v>
      </c>
      <c r="I99">
        <f>IF(lpg[[#This Row],[dzien]]=4,IF(lpg[[#This Row],[pb po trasie]]&lt;40,45-lpg[[#This Row],[pb po trasie]],0),0)</f>
        <v>0</v>
      </c>
      <c r="J99">
        <f>IF(lpg[[#This Row],[lpg po trasie]]&lt;5,30-lpg[[#This Row],[lpg po trasie]],0)</f>
        <v>0</v>
      </c>
      <c r="K99">
        <f>WEEKDAY(lpg[[#This Row],[data]],2)</f>
        <v>2</v>
      </c>
      <c r="O99" s="1">
        <v>41737</v>
      </c>
      <c r="P99">
        <v>143</v>
      </c>
      <c r="Q99">
        <f>U98+W98</f>
        <v>42.000000000000007</v>
      </c>
      <c r="R99">
        <f>V98+X98</f>
        <v>13.26</v>
      </c>
      <c r="S99">
        <f>ROUND(IF(lpg_3[[#This Row],[zbiornik LPG]]&gt;15,0,(lpg_3[[#This Row],[km]]/2)*6/100),2)</f>
        <v>4.29</v>
      </c>
      <c r="T99">
        <f>ROUND(IF(lpg_3[[#This Row],[zbiornik LPG]]&gt;15,lpg_3[[#This Row],[km]]*9/100,(lpg_3[[#This Row],[km]]/2)*9/100),2)</f>
        <v>6.44</v>
      </c>
      <c r="U99">
        <f>lpg_3[[#This Row],[zbiornik PB95]]-lpg_3[[#This Row],[zuzycie PB95]]</f>
        <v>37.710000000000008</v>
      </c>
      <c r="V99">
        <f>lpg_3[[#This Row],[zbiornik LPG]]-lpg_3[[#This Row],[zyzucie lpg]]</f>
        <v>6.8199999999999994</v>
      </c>
      <c r="W99">
        <f>IF(lpg_3[[#This Row],[dzien]]=4,IF(lpg_3[[#This Row],[pb po trasie]]&lt;40,45-lpg_3[[#This Row],[pb po trasie]],0),0)</f>
        <v>0</v>
      </c>
      <c r="X99">
        <f>IF(lpg_3[[#This Row],[lpg po trasie]]&lt;5,30-lpg_3[[#This Row],[lpg po trasie]],0)</f>
        <v>0</v>
      </c>
      <c r="Y99">
        <f>WEEKDAY(lpg_3[[#This Row],[data]],2)</f>
        <v>2</v>
      </c>
    </row>
    <row r="100" spans="1:25" x14ac:dyDescent="0.25">
      <c r="A100" s="1">
        <v>41738</v>
      </c>
      <c r="B100">
        <v>89</v>
      </c>
      <c r="C100">
        <f>G99+I99</f>
        <v>37.710000000000008</v>
      </c>
      <c r="D100">
        <f>H99+J99</f>
        <v>6.8199999999999994</v>
      </c>
      <c r="E100">
        <f>ROUND(IF(lpg[[#This Row],[zbiornik LPG]]&gt;15,0,(lpg[[#This Row],[km]]/2)*6/100),2)</f>
        <v>2.67</v>
      </c>
      <c r="F100">
        <f>ROUND(IF(lpg[[#This Row],[zbiornik LPG]]&gt;15,lpg[[#This Row],[km]]*9/100,(lpg[[#This Row],[km]]/2)*9/100),2)</f>
        <v>4.01</v>
      </c>
      <c r="G100">
        <f>lpg[[#This Row],[zbiornik PB95]]-lpg[[#This Row],[zuzycie PB95]]</f>
        <v>35.040000000000006</v>
      </c>
      <c r="H100">
        <f>lpg[[#This Row],[zbiornik LPG]]-lpg[[#This Row],[zyzucie lpg]]</f>
        <v>2.8099999999999996</v>
      </c>
      <c r="I100">
        <f>IF(lpg[[#This Row],[dzien]]=4,IF(lpg[[#This Row],[pb po trasie]]&lt;40,45-lpg[[#This Row],[pb po trasie]],0),0)</f>
        <v>0</v>
      </c>
      <c r="J100">
        <f>IF(lpg[[#This Row],[lpg po trasie]]&lt;5,30-lpg[[#This Row],[lpg po trasie]],0)</f>
        <v>27.19</v>
      </c>
      <c r="K100">
        <f>WEEKDAY(lpg[[#This Row],[data]],2)</f>
        <v>3</v>
      </c>
      <c r="O100" s="1">
        <v>41738</v>
      </c>
      <c r="P100">
        <v>89</v>
      </c>
      <c r="Q100">
        <f>U99+W99</f>
        <v>37.710000000000008</v>
      </c>
      <c r="R100">
        <f>V99+X99</f>
        <v>6.8199999999999994</v>
      </c>
      <c r="S100">
        <f>ROUND(IF(lpg_3[[#This Row],[zbiornik LPG]]&gt;15,0,(lpg_3[[#This Row],[km]]/2)*6/100),2)</f>
        <v>2.67</v>
      </c>
      <c r="T100">
        <f>ROUND(IF(lpg_3[[#This Row],[zbiornik LPG]]&gt;15,lpg_3[[#This Row],[km]]*9/100,(lpg_3[[#This Row],[km]]/2)*9/100),2)</f>
        <v>4.01</v>
      </c>
      <c r="U100">
        <f>lpg_3[[#This Row],[zbiornik PB95]]-lpg_3[[#This Row],[zuzycie PB95]]</f>
        <v>35.040000000000006</v>
      </c>
      <c r="V100">
        <f>lpg_3[[#This Row],[zbiornik LPG]]-lpg_3[[#This Row],[zyzucie lpg]]</f>
        <v>2.8099999999999996</v>
      </c>
      <c r="W100">
        <f>IF(lpg_3[[#This Row],[dzien]]=4,IF(lpg_3[[#This Row],[pb po trasie]]&lt;40,45-lpg_3[[#This Row],[pb po trasie]],0),0)</f>
        <v>0</v>
      </c>
      <c r="X100">
        <f>IF(lpg_3[[#This Row],[lpg po trasie]]&lt;5,30-lpg_3[[#This Row],[lpg po trasie]],0)</f>
        <v>27.19</v>
      </c>
      <c r="Y100">
        <f>WEEKDAY(lpg_3[[#This Row],[data]],2)</f>
        <v>3</v>
      </c>
    </row>
    <row r="101" spans="1:25" x14ac:dyDescent="0.25">
      <c r="A101" s="1">
        <v>41739</v>
      </c>
      <c r="B101">
        <v>60</v>
      </c>
      <c r="C101">
        <f>G100+I100</f>
        <v>35.040000000000006</v>
      </c>
      <c r="D101">
        <f>H100+J100</f>
        <v>30</v>
      </c>
      <c r="E101">
        <f>ROUND(IF(lpg[[#This Row],[zbiornik LPG]]&gt;15,0,(lpg[[#This Row],[km]]/2)*6/100),2)</f>
        <v>0</v>
      </c>
      <c r="F101">
        <f>ROUND(IF(lpg[[#This Row],[zbiornik LPG]]&gt;15,lpg[[#This Row],[km]]*9/100,(lpg[[#This Row],[km]]/2)*9/100),2)</f>
        <v>5.4</v>
      </c>
      <c r="G101">
        <f>lpg[[#This Row],[zbiornik PB95]]-lpg[[#This Row],[zuzycie PB95]]</f>
        <v>35.040000000000006</v>
      </c>
      <c r="H101">
        <f>lpg[[#This Row],[zbiornik LPG]]-lpg[[#This Row],[zyzucie lpg]]</f>
        <v>24.6</v>
      </c>
      <c r="I101">
        <f>IF(lpg[[#This Row],[dzien]]=4,IF(lpg[[#This Row],[pb po trasie]]&lt;40,45-lpg[[#This Row],[pb po trasie]],0),0)</f>
        <v>9.9599999999999937</v>
      </c>
      <c r="J101">
        <f>IF(lpg[[#This Row],[lpg po trasie]]&lt;5,30-lpg[[#This Row],[lpg po trasie]],0)</f>
        <v>0</v>
      </c>
      <c r="K101">
        <f>WEEKDAY(lpg[[#This Row],[data]],2)</f>
        <v>4</v>
      </c>
      <c r="O101" s="1">
        <v>41739</v>
      </c>
      <c r="P101">
        <v>60</v>
      </c>
      <c r="Q101">
        <f>U100+W100</f>
        <v>35.040000000000006</v>
      </c>
      <c r="R101">
        <f>V100+X100</f>
        <v>30</v>
      </c>
      <c r="S101">
        <f>ROUND(IF(lpg_3[[#This Row],[zbiornik LPG]]&gt;15,0,(lpg_3[[#This Row],[km]]/2)*6/100),2)</f>
        <v>0</v>
      </c>
      <c r="T101">
        <f>ROUND(IF(lpg_3[[#This Row],[zbiornik LPG]]&gt;15,lpg_3[[#This Row],[km]]*9/100,(lpg_3[[#This Row],[km]]/2)*9/100),2)</f>
        <v>5.4</v>
      </c>
      <c r="U101">
        <f>lpg_3[[#This Row],[zbiornik PB95]]-lpg_3[[#This Row],[zuzycie PB95]]</f>
        <v>35.040000000000006</v>
      </c>
      <c r="V101">
        <f>lpg_3[[#This Row],[zbiornik LPG]]-lpg_3[[#This Row],[zyzucie lpg]]</f>
        <v>24.6</v>
      </c>
      <c r="W101">
        <f>IF(lpg_3[[#This Row],[dzien]]=4,IF(lpg_3[[#This Row],[pb po trasie]]&lt;40,45-lpg_3[[#This Row],[pb po trasie]],0),0)</f>
        <v>9.9599999999999937</v>
      </c>
      <c r="X101">
        <f>IF(lpg_3[[#This Row],[lpg po trasie]]&lt;5,30-lpg_3[[#This Row],[lpg po trasie]],0)</f>
        <v>0</v>
      </c>
      <c r="Y101">
        <f>WEEKDAY(lpg_3[[#This Row],[data]],2)</f>
        <v>4</v>
      </c>
    </row>
    <row r="102" spans="1:25" x14ac:dyDescent="0.25">
      <c r="A102" s="1">
        <v>41740</v>
      </c>
      <c r="B102">
        <v>52</v>
      </c>
      <c r="C102">
        <f>G101+I101</f>
        <v>45</v>
      </c>
      <c r="D102">
        <f>H101+J101</f>
        <v>24.6</v>
      </c>
      <c r="E102">
        <f>ROUND(IF(lpg[[#This Row],[zbiornik LPG]]&gt;15,0,(lpg[[#This Row],[km]]/2)*6/100),2)</f>
        <v>0</v>
      </c>
      <c r="F102">
        <f>ROUND(IF(lpg[[#This Row],[zbiornik LPG]]&gt;15,lpg[[#This Row],[km]]*9/100,(lpg[[#This Row],[km]]/2)*9/100),2)</f>
        <v>4.68</v>
      </c>
      <c r="G102">
        <f>lpg[[#This Row],[zbiornik PB95]]-lpg[[#This Row],[zuzycie PB95]]</f>
        <v>45</v>
      </c>
      <c r="H102">
        <f>lpg[[#This Row],[zbiornik LPG]]-lpg[[#This Row],[zyzucie lpg]]</f>
        <v>19.920000000000002</v>
      </c>
      <c r="I102">
        <f>IF(lpg[[#This Row],[dzien]]=4,IF(lpg[[#This Row],[pb po trasie]]&lt;40,45-lpg[[#This Row],[pb po trasie]],0),0)</f>
        <v>0</v>
      </c>
      <c r="J102">
        <f>IF(lpg[[#This Row],[lpg po trasie]]&lt;5,30-lpg[[#This Row],[lpg po trasie]],0)</f>
        <v>0</v>
      </c>
      <c r="K102">
        <f>WEEKDAY(lpg[[#This Row],[data]],2)</f>
        <v>5</v>
      </c>
      <c r="O102" s="1">
        <v>41740</v>
      </c>
      <c r="P102">
        <v>52</v>
      </c>
      <c r="Q102">
        <f>U101+W101</f>
        <v>45</v>
      </c>
      <c r="R102">
        <f>V101+X101</f>
        <v>24.6</v>
      </c>
      <c r="S102">
        <f>ROUND(IF(lpg_3[[#This Row],[zbiornik LPG]]&gt;15,0,(lpg_3[[#This Row],[km]]/2)*6/100),2)</f>
        <v>0</v>
      </c>
      <c r="T102">
        <f>ROUND(IF(lpg_3[[#This Row],[zbiornik LPG]]&gt;15,lpg_3[[#This Row],[km]]*9/100,(lpg_3[[#This Row],[km]]/2)*9/100),2)</f>
        <v>4.68</v>
      </c>
      <c r="U102">
        <f>lpg_3[[#This Row],[zbiornik PB95]]-lpg_3[[#This Row],[zuzycie PB95]]</f>
        <v>45</v>
      </c>
      <c r="V102">
        <f>lpg_3[[#This Row],[zbiornik LPG]]-lpg_3[[#This Row],[zyzucie lpg]]</f>
        <v>19.920000000000002</v>
      </c>
      <c r="W102">
        <f>IF(lpg_3[[#This Row],[dzien]]=4,IF(lpg_3[[#This Row],[pb po trasie]]&lt;40,45-lpg_3[[#This Row],[pb po trasie]],0),0)</f>
        <v>0</v>
      </c>
      <c r="X102">
        <f>IF(lpg_3[[#This Row],[lpg po trasie]]&lt;5,30-lpg_3[[#This Row],[lpg po trasie]],0)</f>
        <v>0</v>
      </c>
      <c r="Y102">
        <f>WEEKDAY(lpg_3[[#This Row],[data]],2)</f>
        <v>5</v>
      </c>
    </row>
    <row r="103" spans="1:25" x14ac:dyDescent="0.25">
      <c r="A103" s="1">
        <v>41741</v>
      </c>
      <c r="B103">
        <v>24</v>
      </c>
      <c r="C103">
        <f>G102+I102</f>
        <v>45</v>
      </c>
      <c r="D103">
        <f>H102+J102</f>
        <v>19.920000000000002</v>
      </c>
      <c r="E103">
        <f>ROUND(IF(lpg[[#This Row],[zbiornik LPG]]&gt;15,0,(lpg[[#This Row],[km]]/2)*6/100),2)</f>
        <v>0</v>
      </c>
      <c r="F103">
        <f>ROUND(IF(lpg[[#This Row],[zbiornik LPG]]&gt;15,lpg[[#This Row],[km]]*9/100,(lpg[[#This Row],[km]]/2)*9/100),2)</f>
        <v>2.16</v>
      </c>
      <c r="G103">
        <f>lpg[[#This Row],[zbiornik PB95]]-lpg[[#This Row],[zuzycie PB95]]</f>
        <v>45</v>
      </c>
      <c r="H103">
        <f>lpg[[#This Row],[zbiornik LPG]]-lpg[[#This Row],[zyzucie lpg]]</f>
        <v>17.760000000000002</v>
      </c>
      <c r="I103">
        <f>IF(lpg[[#This Row],[dzien]]=4,IF(lpg[[#This Row],[pb po trasie]]&lt;40,45-lpg[[#This Row],[pb po trasie]],0),0)</f>
        <v>0</v>
      </c>
      <c r="J103">
        <f>IF(lpg[[#This Row],[lpg po trasie]]&lt;5,30-lpg[[#This Row],[lpg po trasie]],0)</f>
        <v>0</v>
      </c>
      <c r="K103">
        <f>WEEKDAY(lpg[[#This Row],[data]],2)</f>
        <v>6</v>
      </c>
      <c r="O103" s="1">
        <v>41741</v>
      </c>
      <c r="P103">
        <v>24</v>
      </c>
      <c r="Q103">
        <f>U102+W102</f>
        <v>45</v>
      </c>
      <c r="R103">
        <f>V102+X102</f>
        <v>19.920000000000002</v>
      </c>
      <c r="S103">
        <f>ROUND(IF(lpg_3[[#This Row],[zbiornik LPG]]&gt;15,0,(lpg_3[[#This Row],[km]]/2)*6/100),2)</f>
        <v>0</v>
      </c>
      <c r="T103">
        <f>ROUND(IF(lpg_3[[#This Row],[zbiornik LPG]]&gt;15,lpg_3[[#This Row],[km]]*9/100,(lpg_3[[#This Row],[km]]/2)*9/100),2)</f>
        <v>2.16</v>
      </c>
      <c r="U103">
        <f>lpg_3[[#This Row],[zbiornik PB95]]-lpg_3[[#This Row],[zuzycie PB95]]</f>
        <v>45</v>
      </c>
      <c r="V103">
        <f>lpg_3[[#This Row],[zbiornik LPG]]-lpg_3[[#This Row],[zyzucie lpg]]</f>
        <v>17.760000000000002</v>
      </c>
      <c r="W103">
        <f>IF(lpg_3[[#This Row],[dzien]]=4,IF(lpg_3[[#This Row],[pb po trasie]]&lt;40,45-lpg_3[[#This Row],[pb po trasie]],0),0)</f>
        <v>0</v>
      </c>
      <c r="X103">
        <f>IF(lpg_3[[#This Row],[lpg po trasie]]&lt;5,30-lpg_3[[#This Row],[lpg po trasie]],0)</f>
        <v>0</v>
      </c>
      <c r="Y103">
        <f>WEEKDAY(lpg_3[[#This Row],[data]],2)</f>
        <v>6</v>
      </c>
    </row>
    <row r="104" spans="1:25" x14ac:dyDescent="0.25">
      <c r="A104" s="1">
        <v>41742</v>
      </c>
      <c r="B104">
        <v>80</v>
      </c>
      <c r="C104">
        <f>G103+I103</f>
        <v>45</v>
      </c>
      <c r="D104">
        <f>H103+J103</f>
        <v>17.760000000000002</v>
      </c>
      <c r="E104">
        <f>ROUND(IF(lpg[[#This Row],[zbiornik LPG]]&gt;15,0,(lpg[[#This Row],[km]]/2)*6/100),2)</f>
        <v>0</v>
      </c>
      <c r="F104">
        <f>ROUND(IF(lpg[[#This Row],[zbiornik LPG]]&gt;15,lpg[[#This Row],[km]]*9/100,(lpg[[#This Row],[km]]/2)*9/100),2)</f>
        <v>7.2</v>
      </c>
      <c r="G104">
        <f>lpg[[#This Row],[zbiornik PB95]]-lpg[[#This Row],[zuzycie PB95]]</f>
        <v>45</v>
      </c>
      <c r="H104">
        <f>lpg[[#This Row],[zbiornik LPG]]-lpg[[#This Row],[zyzucie lpg]]</f>
        <v>10.560000000000002</v>
      </c>
      <c r="I104">
        <f>IF(lpg[[#This Row],[dzien]]=4,IF(lpg[[#This Row],[pb po trasie]]&lt;40,45-lpg[[#This Row],[pb po trasie]],0),0)</f>
        <v>0</v>
      </c>
      <c r="J104">
        <f>IF(lpg[[#This Row],[lpg po trasie]]&lt;5,30-lpg[[#This Row],[lpg po trasie]],0)</f>
        <v>0</v>
      </c>
      <c r="K104">
        <f>WEEKDAY(lpg[[#This Row],[data]],2)</f>
        <v>7</v>
      </c>
      <c r="O104" s="1">
        <v>41742</v>
      </c>
      <c r="P104">
        <v>80</v>
      </c>
      <c r="Q104">
        <f>U103+W103</f>
        <v>45</v>
      </c>
      <c r="R104">
        <f>V103+X103</f>
        <v>17.760000000000002</v>
      </c>
      <c r="S104">
        <f>ROUND(IF(lpg_3[[#This Row],[zbiornik LPG]]&gt;15,0,(lpg_3[[#This Row],[km]]/2)*6/100),2)</f>
        <v>0</v>
      </c>
      <c r="T104">
        <f>ROUND(IF(lpg_3[[#This Row],[zbiornik LPG]]&gt;15,lpg_3[[#This Row],[km]]*9/100,(lpg_3[[#This Row],[km]]/2)*9/100),2)</f>
        <v>7.2</v>
      </c>
      <c r="U104">
        <f>lpg_3[[#This Row],[zbiornik PB95]]-lpg_3[[#This Row],[zuzycie PB95]]</f>
        <v>45</v>
      </c>
      <c r="V104">
        <f>lpg_3[[#This Row],[zbiornik LPG]]-lpg_3[[#This Row],[zyzucie lpg]]</f>
        <v>10.560000000000002</v>
      </c>
      <c r="W104">
        <f>IF(lpg_3[[#This Row],[dzien]]=4,IF(lpg_3[[#This Row],[pb po trasie]]&lt;40,45-lpg_3[[#This Row],[pb po trasie]],0),0)</f>
        <v>0</v>
      </c>
      <c r="X104">
        <f>IF(lpg_3[[#This Row],[lpg po trasie]]&lt;5,30-lpg_3[[#This Row],[lpg po trasie]],0)</f>
        <v>0</v>
      </c>
      <c r="Y104">
        <f>WEEKDAY(lpg_3[[#This Row],[data]],2)</f>
        <v>7</v>
      </c>
    </row>
    <row r="105" spans="1:25" x14ac:dyDescent="0.25">
      <c r="A105" s="1">
        <v>41743</v>
      </c>
      <c r="B105">
        <v>79</v>
      </c>
      <c r="C105">
        <f>G104+I104</f>
        <v>45</v>
      </c>
      <c r="D105">
        <f>H104+J104</f>
        <v>10.560000000000002</v>
      </c>
      <c r="E105">
        <f>ROUND(IF(lpg[[#This Row],[zbiornik LPG]]&gt;15,0,(lpg[[#This Row],[km]]/2)*6/100),2)</f>
        <v>2.37</v>
      </c>
      <c r="F105">
        <f>ROUND(IF(lpg[[#This Row],[zbiornik LPG]]&gt;15,lpg[[#This Row],[km]]*9/100,(lpg[[#This Row],[km]]/2)*9/100),2)</f>
        <v>3.56</v>
      </c>
      <c r="G105">
        <f>lpg[[#This Row],[zbiornik PB95]]-lpg[[#This Row],[zuzycie PB95]]</f>
        <v>42.63</v>
      </c>
      <c r="H105">
        <f>lpg[[#This Row],[zbiornik LPG]]-lpg[[#This Row],[zyzucie lpg]]</f>
        <v>7.0000000000000018</v>
      </c>
      <c r="I105">
        <f>IF(lpg[[#This Row],[dzien]]=4,IF(lpg[[#This Row],[pb po trasie]]&lt;40,45-lpg[[#This Row],[pb po trasie]],0),0)</f>
        <v>0</v>
      </c>
      <c r="J105">
        <f>IF(lpg[[#This Row],[lpg po trasie]]&lt;5,30-lpg[[#This Row],[lpg po trasie]],0)</f>
        <v>0</v>
      </c>
      <c r="K105">
        <f>WEEKDAY(lpg[[#This Row],[data]],2)</f>
        <v>1</v>
      </c>
      <c r="O105" s="1">
        <v>41743</v>
      </c>
      <c r="P105">
        <v>79</v>
      </c>
      <c r="Q105">
        <f>U104+W104</f>
        <v>45</v>
      </c>
      <c r="R105">
        <f>V104+X104</f>
        <v>10.560000000000002</v>
      </c>
      <c r="S105">
        <f>ROUND(IF(lpg_3[[#This Row],[zbiornik LPG]]&gt;15,0,(lpg_3[[#This Row],[km]]/2)*6/100),2)</f>
        <v>2.37</v>
      </c>
      <c r="T105">
        <f>ROUND(IF(lpg_3[[#This Row],[zbiornik LPG]]&gt;15,lpg_3[[#This Row],[km]]*9/100,(lpg_3[[#This Row],[km]]/2)*9/100),2)</f>
        <v>3.56</v>
      </c>
      <c r="U105">
        <f>lpg_3[[#This Row],[zbiornik PB95]]-lpg_3[[#This Row],[zuzycie PB95]]</f>
        <v>42.63</v>
      </c>
      <c r="V105">
        <f>lpg_3[[#This Row],[zbiornik LPG]]-lpg_3[[#This Row],[zyzucie lpg]]</f>
        <v>7.0000000000000018</v>
      </c>
      <c r="W105">
        <f>IF(lpg_3[[#This Row],[dzien]]=4,IF(lpg_3[[#This Row],[pb po trasie]]&lt;40,45-lpg_3[[#This Row],[pb po trasie]],0),0)</f>
        <v>0</v>
      </c>
      <c r="X105">
        <f>IF(lpg_3[[#This Row],[lpg po trasie]]&lt;5,30-lpg_3[[#This Row],[lpg po trasie]],0)</f>
        <v>0</v>
      </c>
      <c r="Y105">
        <f>WEEKDAY(lpg_3[[#This Row],[data]],2)</f>
        <v>1</v>
      </c>
    </row>
    <row r="106" spans="1:25" x14ac:dyDescent="0.25">
      <c r="A106" s="1">
        <v>41744</v>
      </c>
      <c r="B106">
        <v>115</v>
      </c>
      <c r="C106">
        <f>G105+I105</f>
        <v>42.63</v>
      </c>
      <c r="D106">
        <f>H105+J105</f>
        <v>7.0000000000000018</v>
      </c>
      <c r="E106">
        <f>ROUND(IF(lpg[[#This Row],[zbiornik LPG]]&gt;15,0,(lpg[[#This Row],[km]]/2)*6/100),2)</f>
        <v>3.45</v>
      </c>
      <c r="F106">
        <f>ROUND(IF(lpg[[#This Row],[zbiornik LPG]]&gt;15,lpg[[#This Row],[km]]*9/100,(lpg[[#This Row],[km]]/2)*9/100),2)</f>
        <v>5.18</v>
      </c>
      <c r="G106">
        <f>lpg[[#This Row],[zbiornik PB95]]-lpg[[#This Row],[zuzycie PB95]]</f>
        <v>39.18</v>
      </c>
      <c r="H106">
        <f>lpg[[#This Row],[zbiornik LPG]]-lpg[[#This Row],[zyzucie lpg]]</f>
        <v>1.8200000000000021</v>
      </c>
      <c r="I106">
        <f>IF(lpg[[#This Row],[dzien]]=4,IF(lpg[[#This Row],[pb po trasie]]&lt;40,45-lpg[[#This Row],[pb po trasie]],0),0)</f>
        <v>0</v>
      </c>
      <c r="J106">
        <f>IF(lpg[[#This Row],[lpg po trasie]]&lt;5,30-lpg[[#This Row],[lpg po trasie]],0)</f>
        <v>28.18</v>
      </c>
      <c r="K106">
        <f>WEEKDAY(lpg[[#This Row],[data]],2)</f>
        <v>2</v>
      </c>
      <c r="O106" s="1">
        <v>41744</v>
      </c>
      <c r="P106">
        <v>115</v>
      </c>
      <c r="Q106">
        <f>U105+W105</f>
        <v>42.63</v>
      </c>
      <c r="R106">
        <f>V105+X105</f>
        <v>7.0000000000000018</v>
      </c>
      <c r="S106">
        <f>ROUND(IF(lpg_3[[#This Row],[zbiornik LPG]]&gt;15,0,(lpg_3[[#This Row],[km]]/2)*6/100),2)</f>
        <v>3.45</v>
      </c>
      <c r="T106">
        <f>ROUND(IF(lpg_3[[#This Row],[zbiornik LPG]]&gt;15,lpg_3[[#This Row],[km]]*9/100,(lpg_3[[#This Row],[km]]/2)*9/100),2)</f>
        <v>5.18</v>
      </c>
      <c r="U106">
        <f>lpg_3[[#This Row],[zbiornik PB95]]-lpg_3[[#This Row],[zuzycie PB95]]</f>
        <v>39.18</v>
      </c>
      <c r="V106">
        <f>lpg_3[[#This Row],[zbiornik LPG]]-lpg_3[[#This Row],[zyzucie lpg]]</f>
        <v>1.8200000000000021</v>
      </c>
      <c r="W106">
        <f>IF(lpg_3[[#This Row],[dzien]]=4,IF(lpg_3[[#This Row],[pb po trasie]]&lt;40,45-lpg_3[[#This Row],[pb po trasie]],0),0)</f>
        <v>0</v>
      </c>
      <c r="X106">
        <f>IF(lpg_3[[#This Row],[lpg po trasie]]&lt;5,30-lpg_3[[#This Row],[lpg po trasie]],0)</f>
        <v>28.18</v>
      </c>
      <c r="Y106">
        <f>WEEKDAY(lpg_3[[#This Row],[data]],2)</f>
        <v>2</v>
      </c>
    </row>
    <row r="107" spans="1:25" x14ac:dyDescent="0.25">
      <c r="A107" s="1">
        <v>41745</v>
      </c>
      <c r="B107">
        <v>55</v>
      </c>
      <c r="C107">
        <f>G106+I106</f>
        <v>39.18</v>
      </c>
      <c r="D107">
        <f>H106+J106</f>
        <v>30</v>
      </c>
      <c r="E107">
        <f>ROUND(IF(lpg[[#This Row],[zbiornik LPG]]&gt;15,0,(lpg[[#This Row],[km]]/2)*6/100),2)</f>
        <v>0</v>
      </c>
      <c r="F107">
        <f>ROUND(IF(lpg[[#This Row],[zbiornik LPG]]&gt;15,lpg[[#This Row],[km]]*9/100,(lpg[[#This Row],[km]]/2)*9/100),2)</f>
        <v>4.95</v>
      </c>
      <c r="G107">
        <f>lpg[[#This Row],[zbiornik PB95]]-lpg[[#This Row],[zuzycie PB95]]</f>
        <v>39.18</v>
      </c>
      <c r="H107">
        <f>lpg[[#This Row],[zbiornik LPG]]-lpg[[#This Row],[zyzucie lpg]]</f>
        <v>25.05</v>
      </c>
      <c r="I107">
        <f>IF(lpg[[#This Row],[dzien]]=4,IF(lpg[[#This Row],[pb po trasie]]&lt;40,45-lpg[[#This Row],[pb po trasie]],0),0)</f>
        <v>0</v>
      </c>
      <c r="J107">
        <f>IF(lpg[[#This Row],[lpg po trasie]]&lt;5,30-lpg[[#This Row],[lpg po trasie]],0)</f>
        <v>0</v>
      </c>
      <c r="K107">
        <f>WEEKDAY(lpg[[#This Row],[data]],2)</f>
        <v>3</v>
      </c>
      <c r="O107" s="1">
        <v>41745</v>
      </c>
      <c r="P107">
        <v>55</v>
      </c>
      <c r="Q107">
        <f>U106+W106</f>
        <v>39.18</v>
      </c>
      <c r="R107">
        <f>V106+X106</f>
        <v>30</v>
      </c>
      <c r="S107">
        <f>ROUND(IF(lpg_3[[#This Row],[zbiornik LPG]]&gt;15,0,(lpg_3[[#This Row],[km]]/2)*6/100),2)</f>
        <v>0</v>
      </c>
      <c r="T107">
        <f>ROUND(IF(lpg_3[[#This Row],[zbiornik LPG]]&gt;15,lpg_3[[#This Row],[km]]*9/100,(lpg_3[[#This Row],[km]]/2)*9/100),2)</f>
        <v>4.95</v>
      </c>
      <c r="U107">
        <f>lpg_3[[#This Row],[zbiornik PB95]]-lpg_3[[#This Row],[zuzycie PB95]]</f>
        <v>39.18</v>
      </c>
      <c r="V107">
        <f>lpg_3[[#This Row],[zbiornik LPG]]-lpg_3[[#This Row],[zyzucie lpg]]</f>
        <v>25.05</v>
      </c>
      <c r="W107">
        <f>IF(lpg_3[[#This Row],[dzien]]=4,IF(lpg_3[[#This Row],[pb po trasie]]&lt;40,45-lpg_3[[#This Row],[pb po trasie]],0),0)</f>
        <v>0</v>
      </c>
      <c r="X107">
        <f>IF(lpg_3[[#This Row],[lpg po trasie]]&lt;5,30-lpg_3[[#This Row],[lpg po trasie]],0)</f>
        <v>0</v>
      </c>
      <c r="Y107">
        <f>WEEKDAY(lpg_3[[#This Row],[data]],2)</f>
        <v>3</v>
      </c>
    </row>
    <row r="108" spans="1:25" x14ac:dyDescent="0.25">
      <c r="A108" s="1">
        <v>41746</v>
      </c>
      <c r="B108">
        <v>124</v>
      </c>
      <c r="C108">
        <f>G107+I107</f>
        <v>39.18</v>
      </c>
      <c r="D108">
        <f>H107+J107</f>
        <v>25.05</v>
      </c>
      <c r="E108">
        <f>ROUND(IF(lpg[[#This Row],[zbiornik LPG]]&gt;15,0,(lpg[[#This Row],[km]]/2)*6/100),2)</f>
        <v>0</v>
      </c>
      <c r="F108">
        <f>ROUND(IF(lpg[[#This Row],[zbiornik LPG]]&gt;15,lpg[[#This Row],[km]]*9/100,(lpg[[#This Row],[km]]/2)*9/100),2)</f>
        <v>11.16</v>
      </c>
      <c r="G108">
        <f>lpg[[#This Row],[zbiornik PB95]]-lpg[[#This Row],[zuzycie PB95]]</f>
        <v>39.18</v>
      </c>
      <c r="H108">
        <f>lpg[[#This Row],[zbiornik LPG]]-lpg[[#This Row],[zyzucie lpg]]</f>
        <v>13.89</v>
      </c>
      <c r="I108">
        <f>IF(lpg[[#This Row],[dzien]]=4,IF(lpg[[#This Row],[pb po trasie]]&lt;40,45-lpg[[#This Row],[pb po trasie]],0),0)</f>
        <v>5.82</v>
      </c>
      <c r="J108">
        <f>IF(lpg[[#This Row],[lpg po trasie]]&lt;5,30-lpg[[#This Row],[lpg po trasie]],0)</f>
        <v>0</v>
      </c>
      <c r="K108">
        <f>WEEKDAY(lpg[[#This Row],[data]],2)</f>
        <v>4</v>
      </c>
      <c r="O108" s="1">
        <v>41746</v>
      </c>
      <c r="P108">
        <v>124</v>
      </c>
      <c r="Q108">
        <f>U107+W107</f>
        <v>39.18</v>
      </c>
      <c r="R108">
        <f>V107+X107</f>
        <v>25.05</v>
      </c>
      <c r="S108">
        <f>ROUND(IF(lpg_3[[#This Row],[zbiornik LPG]]&gt;15,0,(lpg_3[[#This Row],[km]]/2)*6/100),2)</f>
        <v>0</v>
      </c>
      <c r="T108">
        <f>ROUND(IF(lpg_3[[#This Row],[zbiornik LPG]]&gt;15,lpg_3[[#This Row],[km]]*9/100,(lpg_3[[#This Row],[km]]/2)*9/100),2)</f>
        <v>11.16</v>
      </c>
      <c r="U108">
        <f>lpg_3[[#This Row],[zbiornik PB95]]-lpg_3[[#This Row],[zuzycie PB95]]</f>
        <v>39.18</v>
      </c>
      <c r="V108">
        <f>lpg_3[[#This Row],[zbiornik LPG]]-lpg_3[[#This Row],[zyzucie lpg]]</f>
        <v>13.89</v>
      </c>
      <c r="W108">
        <f>IF(lpg_3[[#This Row],[dzien]]=4,IF(lpg_3[[#This Row],[pb po trasie]]&lt;40,45-lpg_3[[#This Row],[pb po trasie]],0),0)</f>
        <v>5.82</v>
      </c>
      <c r="X108">
        <f>IF(lpg_3[[#This Row],[lpg po trasie]]&lt;5,30-lpg_3[[#This Row],[lpg po trasie]],0)</f>
        <v>0</v>
      </c>
      <c r="Y108">
        <f>WEEKDAY(lpg_3[[#This Row],[data]],2)</f>
        <v>4</v>
      </c>
    </row>
    <row r="109" spans="1:25" x14ac:dyDescent="0.25">
      <c r="A109" s="1">
        <v>41747</v>
      </c>
      <c r="B109">
        <v>104</v>
      </c>
      <c r="C109">
        <f>G108+I108</f>
        <v>45</v>
      </c>
      <c r="D109">
        <f>H108+J108</f>
        <v>13.89</v>
      </c>
      <c r="E109">
        <f>ROUND(IF(lpg[[#This Row],[zbiornik LPG]]&gt;15,0,(lpg[[#This Row],[km]]/2)*6/100),2)</f>
        <v>3.12</v>
      </c>
      <c r="F109">
        <f>ROUND(IF(lpg[[#This Row],[zbiornik LPG]]&gt;15,lpg[[#This Row],[km]]*9/100,(lpg[[#This Row],[km]]/2)*9/100),2)</f>
        <v>4.68</v>
      </c>
      <c r="G109">
        <f>lpg[[#This Row],[zbiornik PB95]]-lpg[[#This Row],[zuzycie PB95]]</f>
        <v>41.88</v>
      </c>
      <c r="H109">
        <f>lpg[[#This Row],[zbiornik LPG]]-lpg[[#This Row],[zyzucie lpg]]</f>
        <v>9.2100000000000009</v>
      </c>
      <c r="I109">
        <f>IF(lpg[[#This Row],[dzien]]=4,IF(lpg[[#This Row],[pb po trasie]]&lt;40,45-lpg[[#This Row],[pb po trasie]],0),0)</f>
        <v>0</v>
      </c>
      <c r="J109">
        <f>IF(lpg[[#This Row],[lpg po trasie]]&lt;5,30-lpg[[#This Row],[lpg po trasie]],0)</f>
        <v>0</v>
      </c>
      <c r="K109">
        <f>WEEKDAY(lpg[[#This Row],[data]],2)</f>
        <v>5</v>
      </c>
      <c r="O109" s="1">
        <v>41747</v>
      </c>
      <c r="P109">
        <v>104</v>
      </c>
      <c r="Q109">
        <f>U108+W108</f>
        <v>45</v>
      </c>
      <c r="R109">
        <f>V108+X108</f>
        <v>13.89</v>
      </c>
      <c r="S109">
        <f>ROUND(IF(lpg_3[[#This Row],[zbiornik LPG]]&gt;15,0,(lpg_3[[#This Row],[km]]/2)*6/100),2)</f>
        <v>3.12</v>
      </c>
      <c r="T109">
        <f>ROUND(IF(lpg_3[[#This Row],[zbiornik LPG]]&gt;15,lpg_3[[#This Row],[km]]*9/100,(lpg_3[[#This Row],[km]]/2)*9/100),2)</f>
        <v>4.68</v>
      </c>
      <c r="U109">
        <f>lpg_3[[#This Row],[zbiornik PB95]]-lpg_3[[#This Row],[zuzycie PB95]]</f>
        <v>41.88</v>
      </c>
      <c r="V109">
        <f>lpg_3[[#This Row],[zbiornik LPG]]-lpg_3[[#This Row],[zyzucie lpg]]</f>
        <v>9.2100000000000009</v>
      </c>
      <c r="W109">
        <f>IF(lpg_3[[#This Row],[dzien]]=4,IF(lpg_3[[#This Row],[pb po trasie]]&lt;40,45-lpg_3[[#This Row],[pb po trasie]],0),0)</f>
        <v>0</v>
      </c>
      <c r="X109">
        <f>IF(lpg_3[[#This Row],[lpg po trasie]]&lt;5,30-lpg_3[[#This Row],[lpg po trasie]],0)</f>
        <v>0</v>
      </c>
      <c r="Y109">
        <f>WEEKDAY(lpg_3[[#This Row],[data]],2)</f>
        <v>5</v>
      </c>
    </row>
    <row r="110" spans="1:25" x14ac:dyDescent="0.25">
      <c r="A110" s="1">
        <v>41748</v>
      </c>
      <c r="B110">
        <v>20</v>
      </c>
      <c r="C110">
        <f>G109+I109</f>
        <v>41.88</v>
      </c>
      <c r="D110">
        <f>H109+J109</f>
        <v>9.2100000000000009</v>
      </c>
      <c r="E110">
        <f>ROUND(IF(lpg[[#This Row],[zbiornik LPG]]&gt;15,0,(lpg[[#This Row],[km]]/2)*6/100),2)</f>
        <v>0.6</v>
      </c>
      <c r="F110">
        <f>ROUND(IF(lpg[[#This Row],[zbiornik LPG]]&gt;15,lpg[[#This Row],[km]]*9/100,(lpg[[#This Row],[km]]/2)*9/100),2)</f>
        <v>0.9</v>
      </c>
      <c r="G110">
        <f>lpg[[#This Row],[zbiornik PB95]]-lpg[[#This Row],[zuzycie PB95]]</f>
        <v>41.28</v>
      </c>
      <c r="H110">
        <f>lpg[[#This Row],[zbiornik LPG]]-lpg[[#This Row],[zyzucie lpg]]</f>
        <v>8.31</v>
      </c>
      <c r="I110">
        <f>IF(lpg[[#This Row],[dzien]]=4,IF(lpg[[#This Row],[pb po trasie]]&lt;40,45-lpg[[#This Row],[pb po trasie]],0),0)</f>
        <v>0</v>
      </c>
      <c r="J110">
        <f>IF(lpg[[#This Row],[lpg po trasie]]&lt;5,30-lpg[[#This Row],[lpg po trasie]],0)</f>
        <v>0</v>
      </c>
      <c r="K110">
        <f>WEEKDAY(lpg[[#This Row],[data]],2)</f>
        <v>6</v>
      </c>
      <c r="O110" s="1">
        <v>41748</v>
      </c>
      <c r="P110">
        <v>20</v>
      </c>
      <c r="Q110">
        <f>U109+W109</f>
        <v>41.88</v>
      </c>
      <c r="R110">
        <f>V109+X109</f>
        <v>9.2100000000000009</v>
      </c>
      <c r="S110">
        <f>ROUND(IF(lpg_3[[#This Row],[zbiornik LPG]]&gt;15,0,(lpg_3[[#This Row],[km]]/2)*6/100),2)</f>
        <v>0.6</v>
      </c>
      <c r="T110">
        <f>ROUND(IF(lpg_3[[#This Row],[zbiornik LPG]]&gt;15,lpg_3[[#This Row],[km]]*9/100,(lpg_3[[#This Row],[km]]/2)*9/100),2)</f>
        <v>0.9</v>
      </c>
      <c r="U110">
        <f>lpg_3[[#This Row],[zbiornik PB95]]-lpg_3[[#This Row],[zuzycie PB95]]</f>
        <v>41.28</v>
      </c>
      <c r="V110">
        <f>lpg_3[[#This Row],[zbiornik LPG]]-lpg_3[[#This Row],[zyzucie lpg]]</f>
        <v>8.31</v>
      </c>
      <c r="W110">
        <f>IF(lpg_3[[#This Row],[dzien]]=4,IF(lpg_3[[#This Row],[pb po trasie]]&lt;40,45-lpg_3[[#This Row],[pb po trasie]],0),0)</f>
        <v>0</v>
      </c>
      <c r="X110">
        <f>IF(lpg_3[[#This Row],[lpg po trasie]]&lt;5,30-lpg_3[[#This Row],[lpg po trasie]],0)</f>
        <v>0</v>
      </c>
      <c r="Y110">
        <f>WEEKDAY(lpg_3[[#This Row],[data]],2)</f>
        <v>6</v>
      </c>
    </row>
    <row r="111" spans="1:25" x14ac:dyDescent="0.25">
      <c r="A111" s="1">
        <v>41749</v>
      </c>
      <c r="B111">
        <v>68</v>
      </c>
      <c r="C111">
        <f>G110+I110</f>
        <v>41.28</v>
      </c>
      <c r="D111">
        <f>H110+J110</f>
        <v>8.31</v>
      </c>
      <c r="E111">
        <f>ROUND(IF(lpg[[#This Row],[zbiornik LPG]]&gt;15,0,(lpg[[#This Row],[km]]/2)*6/100),2)</f>
        <v>2.04</v>
      </c>
      <c r="F111">
        <f>ROUND(IF(lpg[[#This Row],[zbiornik LPG]]&gt;15,lpg[[#This Row],[km]]*9/100,(lpg[[#This Row],[km]]/2)*9/100),2)</f>
        <v>3.06</v>
      </c>
      <c r="G111">
        <f>lpg[[#This Row],[zbiornik PB95]]-lpg[[#This Row],[zuzycie PB95]]</f>
        <v>39.24</v>
      </c>
      <c r="H111">
        <f>lpg[[#This Row],[zbiornik LPG]]-lpg[[#This Row],[zyzucie lpg]]</f>
        <v>5.25</v>
      </c>
      <c r="I111">
        <f>IF(lpg[[#This Row],[dzien]]=4,IF(lpg[[#This Row],[pb po trasie]]&lt;40,45-lpg[[#This Row],[pb po trasie]],0),0)</f>
        <v>0</v>
      </c>
      <c r="J111">
        <f>IF(lpg[[#This Row],[lpg po trasie]]&lt;5,30-lpg[[#This Row],[lpg po trasie]],0)</f>
        <v>0</v>
      </c>
      <c r="K111">
        <f>WEEKDAY(lpg[[#This Row],[data]],2)</f>
        <v>7</v>
      </c>
      <c r="O111" s="1">
        <v>41749</v>
      </c>
      <c r="P111">
        <v>68</v>
      </c>
      <c r="Q111">
        <f>U110+W110</f>
        <v>41.28</v>
      </c>
      <c r="R111">
        <f>V110+X110</f>
        <v>8.31</v>
      </c>
      <c r="S111">
        <f>ROUND(IF(lpg_3[[#This Row],[zbiornik LPG]]&gt;15,0,(lpg_3[[#This Row],[km]]/2)*6/100),2)</f>
        <v>2.04</v>
      </c>
      <c r="T111">
        <f>ROUND(IF(lpg_3[[#This Row],[zbiornik LPG]]&gt;15,lpg_3[[#This Row],[km]]*9/100,(lpg_3[[#This Row],[km]]/2)*9/100),2)</f>
        <v>3.06</v>
      </c>
      <c r="U111">
        <f>lpg_3[[#This Row],[zbiornik PB95]]-lpg_3[[#This Row],[zuzycie PB95]]</f>
        <v>39.24</v>
      </c>
      <c r="V111">
        <f>lpg_3[[#This Row],[zbiornik LPG]]-lpg_3[[#This Row],[zyzucie lpg]]</f>
        <v>5.25</v>
      </c>
      <c r="W111">
        <f>IF(lpg_3[[#This Row],[dzien]]=4,IF(lpg_3[[#This Row],[pb po trasie]]&lt;40,45-lpg_3[[#This Row],[pb po trasie]],0),0)</f>
        <v>0</v>
      </c>
      <c r="X111">
        <f>IF(lpg_3[[#This Row],[lpg po trasie]]&lt;5,30-lpg_3[[#This Row],[lpg po trasie]],0)</f>
        <v>0</v>
      </c>
      <c r="Y111">
        <f>WEEKDAY(lpg_3[[#This Row],[data]],2)</f>
        <v>7</v>
      </c>
    </row>
    <row r="112" spans="1:25" x14ac:dyDescent="0.25">
      <c r="A112" s="1">
        <v>41750</v>
      </c>
      <c r="B112">
        <v>25</v>
      </c>
      <c r="C112">
        <f>G111+I111</f>
        <v>39.24</v>
      </c>
      <c r="D112">
        <f>H111+J111</f>
        <v>5.25</v>
      </c>
      <c r="E112">
        <f>ROUND(IF(lpg[[#This Row],[zbiornik LPG]]&gt;15,0,(lpg[[#This Row],[km]]/2)*6/100),2)</f>
        <v>0.75</v>
      </c>
      <c r="F112">
        <f>ROUND(IF(lpg[[#This Row],[zbiornik LPG]]&gt;15,lpg[[#This Row],[km]]*9/100,(lpg[[#This Row],[km]]/2)*9/100),2)</f>
        <v>1.1299999999999999</v>
      </c>
      <c r="G112">
        <f>lpg[[#This Row],[zbiornik PB95]]-lpg[[#This Row],[zuzycie PB95]]</f>
        <v>38.49</v>
      </c>
      <c r="H112">
        <f>lpg[[#This Row],[zbiornik LPG]]-lpg[[#This Row],[zyzucie lpg]]</f>
        <v>4.12</v>
      </c>
      <c r="I112">
        <f>IF(lpg[[#This Row],[dzien]]=4,IF(lpg[[#This Row],[pb po trasie]]&lt;40,45-lpg[[#This Row],[pb po trasie]],0),0)</f>
        <v>0</v>
      </c>
      <c r="J112">
        <f>IF(lpg[[#This Row],[lpg po trasie]]&lt;5,30-lpg[[#This Row],[lpg po trasie]],0)</f>
        <v>25.88</v>
      </c>
      <c r="K112">
        <f>WEEKDAY(lpg[[#This Row],[data]],2)</f>
        <v>1</v>
      </c>
      <c r="O112" s="1">
        <v>41750</v>
      </c>
      <c r="P112">
        <v>25</v>
      </c>
      <c r="Q112">
        <f>U111+W111</f>
        <v>39.24</v>
      </c>
      <c r="R112">
        <f>V111+X111</f>
        <v>5.25</v>
      </c>
      <c r="S112">
        <f>ROUND(IF(lpg_3[[#This Row],[zbiornik LPG]]&gt;15,0,(lpg_3[[#This Row],[km]]/2)*6/100),2)</f>
        <v>0.75</v>
      </c>
      <c r="T112">
        <f>ROUND(IF(lpg_3[[#This Row],[zbiornik LPG]]&gt;15,lpg_3[[#This Row],[km]]*9/100,(lpg_3[[#This Row],[km]]/2)*9/100),2)</f>
        <v>1.1299999999999999</v>
      </c>
      <c r="U112">
        <f>lpg_3[[#This Row],[zbiornik PB95]]-lpg_3[[#This Row],[zuzycie PB95]]</f>
        <v>38.49</v>
      </c>
      <c r="V112">
        <f>lpg_3[[#This Row],[zbiornik LPG]]-lpg_3[[#This Row],[zyzucie lpg]]</f>
        <v>4.12</v>
      </c>
      <c r="W112">
        <f>IF(lpg_3[[#This Row],[dzien]]=4,IF(lpg_3[[#This Row],[pb po trasie]]&lt;40,45-lpg_3[[#This Row],[pb po trasie]],0),0)</f>
        <v>0</v>
      </c>
      <c r="X112">
        <f>IF(lpg_3[[#This Row],[lpg po trasie]]&lt;5,30-lpg_3[[#This Row],[lpg po trasie]],0)</f>
        <v>25.88</v>
      </c>
      <c r="Y112">
        <f>WEEKDAY(lpg_3[[#This Row],[data]],2)</f>
        <v>1</v>
      </c>
    </row>
    <row r="113" spans="1:25" x14ac:dyDescent="0.25">
      <c r="A113" s="1">
        <v>41751</v>
      </c>
      <c r="B113">
        <v>93</v>
      </c>
      <c r="C113">
        <f>G112+I112</f>
        <v>38.49</v>
      </c>
      <c r="D113">
        <f>H112+J112</f>
        <v>30</v>
      </c>
      <c r="E113">
        <f>ROUND(IF(lpg[[#This Row],[zbiornik LPG]]&gt;15,0,(lpg[[#This Row],[km]]/2)*6/100),2)</f>
        <v>0</v>
      </c>
      <c r="F113">
        <f>ROUND(IF(lpg[[#This Row],[zbiornik LPG]]&gt;15,lpg[[#This Row],[km]]*9/100,(lpg[[#This Row],[km]]/2)*9/100),2)</f>
        <v>8.3699999999999992</v>
      </c>
      <c r="G113">
        <f>lpg[[#This Row],[zbiornik PB95]]-lpg[[#This Row],[zuzycie PB95]]</f>
        <v>38.49</v>
      </c>
      <c r="H113">
        <f>lpg[[#This Row],[zbiornik LPG]]-lpg[[#This Row],[zyzucie lpg]]</f>
        <v>21.630000000000003</v>
      </c>
      <c r="I113">
        <f>IF(lpg[[#This Row],[dzien]]=4,IF(lpg[[#This Row],[pb po trasie]]&lt;40,45-lpg[[#This Row],[pb po trasie]],0),0)</f>
        <v>0</v>
      </c>
      <c r="J113">
        <f>IF(lpg[[#This Row],[lpg po trasie]]&lt;5,30-lpg[[#This Row],[lpg po trasie]],0)</f>
        <v>0</v>
      </c>
      <c r="K113">
        <f>WEEKDAY(lpg[[#This Row],[data]],2)</f>
        <v>2</v>
      </c>
      <c r="O113" s="1">
        <v>41751</v>
      </c>
      <c r="P113">
        <v>93</v>
      </c>
      <c r="Q113">
        <f>U112+W112</f>
        <v>38.49</v>
      </c>
      <c r="R113">
        <f>V112+X112</f>
        <v>30</v>
      </c>
      <c r="S113">
        <f>ROUND(IF(lpg_3[[#This Row],[zbiornik LPG]]&gt;15,0,(lpg_3[[#This Row],[km]]/2)*6/100),2)</f>
        <v>0</v>
      </c>
      <c r="T113">
        <f>ROUND(IF(lpg_3[[#This Row],[zbiornik LPG]]&gt;15,lpg_3[[#This Row],[km]]*9/100,(lpg_3[[#This Row],[km]]/2)*9/100),2)</f>
        <v>8.3699999999999992</v>
      </c>
      <c r="U113">
        <f>lpg_3[[#This Row],[zbiornik PB95]]-lpg_3[[#This Row],[zuzycie PB95]]</f>
        <v>38.49</v>
      </c>
      <c r="V113">
        <f>lpg_3[[#This Row],[zbiornik LPG]]-lpg_3[[#This Row],[zyzucie lpg]]</f>
        <v>21.630000000000003</v>
      </c>
      <c r="W113">
        <f>IF(lpg_3[[#This Row],[dzien]]=4,IF(lpg_3[[#This Row],[pb po trasie]]&lt;40,45-lpg_3[[#This Row],[pb po trasie]],0),0)</f>
        <v>0</v>
      </c>
      <c r="X113">
        <f>IF(lpg_3[[#This Row],[lpg po trasie]]&lt;5,30-lpg_3[[#This Row],[lpg po trasie]],0)</f>
        <v>0</v>
      </c>
      <c r="Y113">
        <f>WEEKDAY(lpg_3[[#This Row],[data]],2)</f>
        <v>2</v>
      </c>
    </row>
    <row r="114" spans="1:25" x14ac:dyDescent="0.25">
      <c r="A114" s="1">
        <v>41752</v>
      </c>
      <c r="B114">
        <v>49</v>
      </c>
      <c r="C114">
        <f>G113+I113</f>
        <v>38.49</v>
      </c>
      <c r="D114">
        <f>H113+J113</f>
        <v>21.630000000000003</v>
      </c>
      <c r="E114">
        <f>ROUND(IF(lpg[[#This Row],[zbiornik LPG]]&gt;15,0,(lpg[[#This Row],[km]]/2)*6/100),2)</f>
        <v>0</v>
      </c>
      <c r="F114">
        <f>ROUND(IF(lpg[[#This Row],[zbiornik LPG]]&gt;15,lpg[[#This Row],[km]]*9/100,(lpg[[#This Row],[km]]/2)*9/100),2)</f>
        <v>4.41</v>
      </c>
      <c r="G114">
        <f>lpg[[#This Row],[zbiornik PB95]]-lpg[[#This Row],[zuzycie PB95]]</f>
        <v>38.49</v>
      </c>
      <c r="H114">
        <f>lpg[[#This Row],[zbiornik LPG]]-lpg[[#This Row],[zyzucie lpg]]</f>
        <v>17.220000000000002</v>
      </c>
      <c r="I114">
        <f>IF(lpg[[#This Row],[dzien]]=4,IF(lpg[[#This Row],[pb po trasie]]&lt;40,45-lpg[[#This Row],[pb po trasie]],0),0)</f>
        <v>0</v>
      </c>
      <c r="J114">
        <f>IF(lpg[[#This Row],[lpg po trasie]]&lt;5,30-lpg[[#This Row],[lpg po trasie]],0)</f>
        <v>0</v>
      </c>
      <c r="K114">
        <f>WEEKDAY(lpg[[#This Row],[data]],2)</f>
        <v>3</v>
      </c>
      <c r="O114" s="1">
        <v>41752</v>
      </c>
      <c r="P114">
        <v>49</v>
      </c>
      <c r="Q114">
        <f>U113+W113</f>
        <v>38.49</v>
      </c>
      <c r="R114">
        <f>V113+X113</f>
        <v>21.630000000000003</v>
      </c>
      <c r="S114">
        <f>ROUND(IF(lpg_3[[#This Row],[zbiornik LPG]]&gt;15,0,(lpg_3[[#This Row],[km]]/2)*6/100),2)</f>
        <v>0</v>
      </c>
      <c r="T114">
        <f>ROUND(IF(lpg_3[[#This Row],[zbiornik LPG]]&gt;15,lpg_3[[#This Row],[km]]*9/100,(lpg_3[[#This Row],[km]]/2)*9/100),2)</f>
        <v>4.41</v>
      </c>
      <c r="U114">
        <f>lpg_3[[#This Row],[zbiornik PB95]]-lpg_3[[#This Row],[zuzycie PB95]]</f>
        <v>38.49</v>
      </c>
      <c r="V114">
        <f>lpg_3[[#This Row],[zbiornik LPG]]-lpg_3[[#This Row],[zyzucie lpg]]</f>
        <v>17.220000000000002</v>
      </c>
      <c r="W114">
        <f>IF(lpg_3[[#This Row],[dzien]]=4,IF(lpg_3[[#This Row],[pb po trasie]]&lt;40,45-lpg_3[[#This Row],[pb po trasie]],0),0)</f>
        <v>0</v>
      </c>
      <c r="X114">
        <f>IF(lpg_3[[#This Row],[lpg po trasie]]&lt;5,30-lpg_3[[#This Row],[lpg po trasie]],0)</f>
        <v>0</v>
      </c>
      <c r="Y114">
        <f>WEEKDAY(lpg_3[[#This Row],[data]],2)</f>
        <v>3</v>
      </c>
    </row>
    <row r="115" spans="1:25" x14ac:dyDescent="0.25">
      <c r="A115" s="1">
        <v>41753</v>
      </c>
      <c r="B115">
        <v>29</v>
      </c>
      <c r="C115">
        <f>G114+I114</f>
        <v>38.49</v>
      </c>
      <c r="D115">
        <f>H114+J114</f>
        <v>17.220000000000002</v>
      </c>
      <c r="E115">
        <f>ROUND(IF(lpg[[#This Row],[zbiornik LPG]]&gt;15,0,(lpg[[#This Row],[km]]/2)*6/100),2)</f>
        <v>0</v>
      </c>
      <c r="F115">
        <f>ROUND(IF(lpg[[#This Row],[zbiornik LPG]]&gt;15,lpg[[#This Row],[km]]*9/100,(lpg[[#This Row],[km]]/2)*9/100),2)</f>
        <v>2.61</v>
      </c>
      <c r="G115">
        <f>lpg[[#This Row],[zbiornik PB95]]-lpg[[#This Row],[zuzycie PB95]]</f>
        <v>38.49</v>
      </c>
      <c r="H115">
        <f>lpg[[#This Row],[zbiornik LPG]]-lpg[[#This Row],[zyzucie lpg]]</f>
        <v>14.610000000000003</v>
      </c>
      <c r="I115">
        <f>IF(lpg[[#This Row],[dzien]]=4,IF(lpg[[#This Row],[pb po trasie]]&lt;40,45-lpg[[#This Row],[pb po trasie]],0),0)</f>
        <v>6.509999999999998</v>
      </c>
      <c r="J115">
        <f>IF(lpg[[#This Row],[lpg po trasie]]&lt;5,30-lpg[[#This Row],[lpg po trasie]],0)</f>
        <v>0</v>
      </c>
      <c r="K115">
        <f>WEEKDAY(lpg[[#This Row],[data]],2)</f>
        <v>4</v>
      </c>
      <c r="O115" s="1">
        <v>41753</v>
      </c>
      <c r="P115">
        <v>29</v>
      </c>
      <c r="Q115">
        <f>U114+W114</f>
        <v>38.49</v>
      </c>
      <c r="R115">
        <f>V114+X114</f>
        <v>17.220000000000002</v>
      </c>
      <c r="S115">
        <f>ROUND(IF(lpg_3[[#This Row],[zbiornik LPG]]&gt;15,0,(lpg_3[[#This Row],[km]]/2)*6/100),2)</f>
        <v>0</v>
      </c>
      <c r="T115">
        <f>ROUND(IF(lpg_3[[#This Row],[zbiornik LPG]]&gt;15,lpg_3[[#This Row],[km]]*9/100,(lpg_3[[#This Row],[km]]/2)*9/100),2)</f>
        <v>2.61</v>
      </c>
      <c r="U115">
        <f>lpg_3[[#This Row],[zbiornik PB95]]-lpg_3[[#This Row],[zuzycie PB95]]</f>
        <v>38.49</v>
      </c>
      <c r="V115">
        <f>lpg_3[[#This Row],[zbiornik LPG]]-lpg_3[[#This Row],[zyzucie lpg]]</f>
        <v>14.610000000000003</v>
      </c>
      <c r="W115">
        <f>IF(lpg_3[[#This Row],[dzien]]=4,IF(lpg_3[[#This Row],[pb po trasie]]&lt;40,45-lpg_3[[#This Row],[pb po trasie]],0),0)</f>
        <v>6.509999999999998</v>
      </c>
      <c r="X115">
        <f>IF(lpg_3[[#This Row],[lpg po trasie]]&lt;5,30-lpg_3[[#This Row],[lpg po trasie]],0)</f>
        <v>0</v>
      </c>
      <c r="Y115">
        <f>WEEKDAY(lpg_3[[#This Row],[data]],2)</f>
        <v>4</v>
      </c>
    </row>
    <row r="116" spans="1:25" x14ac:dyDescent="0.25">
      <c r="A116" s="1">
        <v>41754</v>
      </c>
      <c r="B116">
        <v>59</v>
      </c>
      <c r="C116">
        <f>G115+I115</f>
        <v>45</v>
      </c>
      <c r="D116">
        <f>H115+J115</f>
        <v>14.610000000000003</v>
      </c>
      <c r="E116">
        <f>ROUND(IF(lpg[[#This Row],[zbiornik LPG]]&gt;15,0,(lpg[[#This Row],[km]]/2)*6/100),2)</f>
        <v>1.77</v>
      </c>
      <c r="F116">
        <f>ROUND(IF(lpg[[#This Row],[zbiornik LPG]]&gt;15,lpg[[#This Row],[km]]*9/100,(lpg[[#This Row],[km]]/2)*9/100),2)</f>
        <v>2.66</v>
      </c>
      <c r="G116">
        <f>lpg[[#This Row],[zbiornik PB95]]-lpg[[#This Row],[zuzycie PB95]]</f>
        <v>43.23</v>
      </c>
      <c r="H116">
        <f>lpg[[#This Row],[zbiornik LPG]]-lpg[[#This Row],[zyzucie lpg]]</f>
        <v>11.950000000000003</v>
      </c>
      <c r="I116">
        <f>IF(lpg[[#This Row],[dzien]]=4,IF(lpg[[#This Row],[pb po trasie]]&lt;40,45-lpg[[#This Row],[pb po trasie]],0),0)</f>
        <v>0</v>
      </c>
      <c r="J116">
        <f>IF(lpg[[#This Row],[lpg po trasie]]&lt;5,30-lpg[[#This Row],[lpg po trasie]],0)</f>
        <v>0</v>
      </c>
      <c r="K116">
        <f>WEEKDAY(lpg[[#This Row],[data]],2)</f>
        <v>5</v>
      </c>
      <c r="O116" s="1">
        <v>41754</v>
      </c>
      <c r="P116">
        <v>59</v>
      </c>
      <c r="Q116">
        <f>U115+W115</f>
        <v>45</v>
      </c>
      <c r="R116">
        <f>V115+X115</f>
        <v>14.610000000000003</v>
      </c>
      <c r="S116">
        <f>ROUND(IF(lpg_3[[#This Row],[zbiornik LPG]]&gt;15,0,(lpg_3[[#This Row],[km]]/2)*6/100),2)</f>
        <v>1.77</v>
      </c>
      <c r="T116">
        <f>ROUND(IF(lpg_3[[#This Row],[zbiornik LPG]]&gt;15,lpg_3[[#This Row],[km]]*9/100,(lpg_3[[#This Row],[km]]/2)*9/100),2)</f>
        <v>2.66</v>
      </c>
      <c r="U116">
        <f>lpg_3[[#This Row],[zbiornik PB95]]-lpg_3[[#This Row],[zuzycie PB95]]</f>
        <v>43.23</v>
      </c>
      <c r="V116">
        <f>lpg_3[[#This Row],[zbiornik LPG]]-lpg_3[[#This Row],[zyzucie lpg]]</f>
        <v>11.950000000000003</v>
      </c>
      <c r="W116">
        <f>IF(lpg_3[[#This Row],[dzien]]=4,IF(lpg_3[[#This Row],[pb po trasie]]&lt;40,45-lpg_3[[#This Row],[pb po trasie]],0),0)</f>
        <v>0</v>
      </c>
      <c r="X116">
        <f>IF(lpg_3[[#This Row],[lpg po trasie]]&lt;5,30-lpg_3[[#This Row],[lpg po trasie]],0)</f>
        <v>0</v>
      </c>
      <c r="Y116">
        <f>WEEKDAY(lpg_3[[#This Row],[data]],2)</f>
        <v>5</v>
      </c>
    </row>
    <row r="117" spans="1:25" x14ac:dyDescent="0.25">
      <c r="A117" s="1">
        <v>41755</v>
      </c>
      <c r="B117">
        <v>65</v>
      </c>
      <c r="C117">
        <f>G116+I116</f>
        <v>43.23</v>
      </c>
      <c r="D117">
        <f>H116+J116</f>
        <v>11.950000000000003</v>
      </c>
      <c r="E117">
        <f>ROUND(IF(lpg[[#This Row],[zbiornik LPG]]&gt;15,0,(lpg[[#This Row],[km]]/2)*6/100),2)</f>
        <v>1.95</v>
      </c>
      <c r="F117">
        <f>ROUND(IF(lpg[[#This Row],[zbiornik LPG]]&gt;15,lpg[[#This Row],[km]]*9/100,(lpg[[#This Row],[km]]/2)*9/100),2)</f>
        <v>2.93</v>
      </c>
      <c r="G117">
        <f>lpg[[#This Row],[zbiornik PB95]]-lpg[[#This Row],[zuzycie PB95]]</f>
        <v>41.279999999999994</v>
      </c>
      <c r="H117">
        <f>lpg[[#This Row],[zbiornik LPG]]-lpg[[#This Row],[zyzucie lpg]]</f>
        <v>9.0200000000000031</v>
      </c>
      <c r="I117">
        <f>IF(lpg[[#This Row],[dzien]]=4,IF(lpg[[#This Row],[pb po trasie]]&lt;40,45-lpg[[#This Row],[pb po trasie]],0),0)</f>
        <v>0</v>
      </c>
      <c r="J117">
        <f>IF(lpg[[#This Row],[lpg po trasie]]&lt;5,30-lpg[[#This Row],[lpg po trasie]],0)</f>
        <v>0</v>
      </c>
      <c r="K117">
        <f>WEEKDAY(lpg[[#This Row],[data]],2)</f>
        <v>6</v>
      </c>
      <c r="O117" s="1">
        <v>41755</v>
      </c>
      <c r="P117">
        <v>65</v>
      </c>
      <c r="Q117">
        <f>U116+W116</f>
        <v>43.23</v>
      </c>
      <c r="R117">
        <f>V116+X116</f>
        <v>11.950000000000003</v>
      </c>
      <c r="S117">
        <f>ROUND(IF(lpg_3[[#This Row],[zbiornik LPG]]&gt;15,0,(lpg_3[[#This Row],[km]]/2)*6/100),2)</f>
        <v>1.95</v>
      </c>
      <c r="T117">
        <f>ROUND(IF(lpg_3[[#This Row],[zbiornik LPG]]&gt;15,lpg_3[[#This Row],[km]]*9/100,(lpg_3[[#This Row],[km]]/2)*9/100),2)</f>
        <v>2.93</v>
      </c>
      <c r="U117">
        <f>lpg_3[[#This Row],[zbiornik PB95]]-lpg_3[[#This Row],[zuzycie PB95]]</f>
        <v>41.279999999999994</v>
      </c>
      <c r="V117">
        <f>lpg_3[[#This Row],[zbiornik LPG]]-lpg_3[[#This Row],[zyzucie lpg]]</f>
        <v>9.0200000000000031</v>
      </c>
      <c r="W117">
        <f>IF(lpg_3[[#This Row],[dzien]]=4,IF(lpg_3[[#This Row],[pb po trasie]]&lt;40,45-lpg_3[[#This Row],[pb po trasie]],0),0)</f>
        <v>0</v>
      </c>
      <c r="X117">
        <f>IF(lpg_3[[#This Row],[lpg po trasie]]&lt;5,30-lpg_3[[#This Row],[lpg po trasie]],0)</f>
        <v>0</v>
      </c>
      <c r="Y117">
        <f>WEEKDAY(lpg_3[[#This Row],[data]],2)</f>
        <v>6</v>
      </c>
    </row>
    <row r="118" spans="1:25" x14ac:dyDescent="0.25">
      <c r="A118" s="1">
        <v>41756</v>
      </c>
      <c r="B118">
        <v>25</v>
      </c>
      <c r="C118">
        <f>G117+I117</f>
        <v>41.279999999999994</v>
      </c>
      <c r="D118">
        <f>H117+J117</f>
        <v>9.0200000000000031</v>
      </c>
      <c r="E118">
        <f>ROUND(IF(lpg[[#This Row],[zbiornik LPG]]&gt;15,0,(lpg[[#This Row],[km]]/2)*6/100),2)</f>
        <v>0.75</v>
      </c>
      <c r="F118">
        <f>ROUND(IF(lpg[[#This Row],[zbiornik LPG]]&gt;15,lpg[[#This Row],[km]]*9/100,(lpg[[#This Row],[km]]/2)*9/100),2)</f>
        <v>1.1299999999999999</v>
      </c>
      <c r="G118">
        <f>lpg[[#This Row],[zbiornik PB95]]-lpg[[#This Row],[zuzycie PB95]]</f>
        <v>40.529999999999994</v>
      </c>
      <c r="H118">
        <f>lpg[[#This Row],[zbiornik LPG]]-lpg[[#This Row],[zyzucie lpg]]</f>
        <v>7.8900000000000032</v>
      </c>
      <c r="I118">
        <f>IF(lpg[[#This Row],[dzien]]=4,IF(lpg[[#This Row],[pb po trasie]]&lt;40,45-lpg[[#This Row],[pb po trasie]],0),0)</f>
        <v>0</v>
      </c>
      <c r="J118">
        <f>IF(lpg[[#This Row],[lpg po trasie]]&lt;5,30-lpg[[#This Row],[lpg po trasie]],0)</f>
        <v>0</v>
      </c>
      <c r="K118">
        <f>WEEKDAY(lpg[[#This Row],[data]],2)</f>
        <v>7</v>
      </c>
      <c r="O118" s="1">
        <v>41756</v>
      </c>
      <c r="P118">
        <v>25</v>
      </c>
      <c r="Q118">
        <f>U117+W117</f>
        <v>41.279999999999994</v>
      </c>
      <c r="R118">
        <f>V117+X117</f>
        <v>9.0200000000000031</v>
      </c>
      <c r="S118">
        <f>ROUND(IF(lpg_3[[#This Row],[zbiornik LPG]]&gt;15,0,(lpg_3[[#This Row],[km]]/2)*6/100),2)</f>
        <v>0.75</v>
      </c>
      <c r="T118">
        <f>ROUND(IF(lpg_3[[#This Row],[zbiornik LPG]]&gt;15,lpg_3[[#This Row],[km]]*9/100,(lpg_3[[#This Row],[km]]/2)*9/100),2)</f>
        <v>1.1299999999999999</v>
      </c>
      <c r="U118">
        <f>lpg_3[[#This Row],[zbiornik PB95]]-lpg_3[[#This Row],[zuzycie PB95]]</f>
        <v>40.529999999999994</v>
      </c>
      <c r="V118">
        <f>lpg_3[[#This Row],[zbiornik LPG]]-lpg_3[[#This Row],[zyzucie lpg]]</f>
        <v>7.8900000000000032</v>
      </c>
      <c r="W118">
        <f>IF(lpg_3[[#This Row],[dzien]]=4,IF(lpg_3[[#This Row],[pb po trasie]]&lt;40,45-lpg_3[[#This Row],[pb po trasie]],0),0)</f>
        <v>0</v>
      </c>
      <c r="X118">
        <f>IF(lpg_3[[#This Row],[lpg po trasie]]&lt;5,30-lpg_3[[#This Row],[lpg po trasie]],0)</f>
        <v>0</v>
      </c>
      <c r="Y118">
        <f>WEEKDAY(lpg_3[[#This Row],[data]],2)</f>
        <v>7</v>
      </c>
    </row>
    <row r="119" spans="1:25" x14ac:dyDescent="0.25">
      <c r="A119" s="1">
        <v>41757</v>
      </c>
      <c r="B119">
        <v>3</v>
      </c>
      <c r="C119">
        <f>G118+I118</f>
        <v>40.529999999999994</v>
      </c>
      <c r="D119">
        <f>H118+J118</f>
        <v>7.8900000000000032</v>
      </c>
      <c r="E119">
        <f>ROUND(IF(lpg[[#This Row],[zbiornik LPG]]&gt;15,0,(lpg[[#This Row],[km]]/2)*6/100),2)</f>
        <v>0.09</v>
      </c>
      <c r="F119">
        <f>ROUND(IF(lpg[[#This Row],[zbiornik LPG]]&gt;15,lpg[[#This Row],[km]]*9/100,(lpg[[#This Row],[km]]/2)*9/100),2)</f>
        <v>0.14000000000000001</v>
      </c>
      <c r="G119">
        <f>lpg[[#This Row],[zbiornik PB95]]-lpg[[#This Row],[zuzycie PB95]]</f>
        <v>40.439999999999991</v>
      </c>
      <c r="H119">
        <f>lpg[[#This Row],[zbiornik LPG]]-lpg[[#This Row],[zyzucie lpg]]</f>
        <v>7.7500000000000036</v>
      </c>
      <c r="I119">
        <f>IF(lpg[[#This Row],[dzien]]=4,IF(lpg[[#This Row],[pb po trasie]]&lt;40,45-lpg[[#This Row],[pb po trasie]],0),0)</f>
        <v>0</v>
      </c>
      <c r="J119">
        <f>IF(lpg[[#This Row],[lpg po trasie]]&lt;5,30-lpg[[#This Row],[lpg po trasie]],0)</f>
        <v>0</v>
      </c>
      <c r="K119">
        <f>WEEKDAY(lpg[[#This Row],[data]],2)</f>
        <v>1</v>
      </c>
      <c r="O119" s="1">
        <v>41757</v>
      </c>
      <c r="P119">
        <v>3</v>
      </c>
      <c r="Q119">
        <f>U118+W118</f>
        <v>40.529999999999994</v>
      </c>
      <c r="R119">
        <f>V118+X118</f>
        <v>7.8900000000000032</v>
      </c>
      <c r="S119">
        <f>ROUND(IF(lpg_3[[#This Row],[zbiornik LPG]]&gt;15,0,(lpg_3[[#This Row],[km]]/2)*6/100),2)</f>
        <v>0.09</v>
      </c>
      <c r="T119">
        <f>ROUND(IF(lpg_3[[#This Row],[zbiornik LPG]]&gt;15,lpg_3[[#This Row],[km]]*9/100,(lpg_3[[#This Row],[km]]/2)*9/100),2)</f>
        <v>0.14000000000000001</v>
      </c>
      <c r="U119">
        <f>lpg_3[[#This Row],[zbiornik PB95]]-lpg_3[[#This Row],[zuzycie PB95]]</f>
        <v>40.439999999999991</v>
      </c>
      <c r="V119">
        <f>lpg_3[[#This Row],[zbiornik LPG]]-lpg_3[[#This Row],[zyzucie lpg]]</f>
        <v>7.7500000000000036</v>
      </c>
      <c r="W119">
        <f>IF(lpg_3[[#This Row],[dzien]]=4,IF(lpg_3[[#This Row],[pb po trasie]]&lt;40,45-lpg_3[[#This Row],[pb po trasie]],0),0)</f>
        <v>0</v>
      </c>
      <c r="X119">
        <f>IF(lpg_3[[#This Row],[lpg po trasie]]&lt;5,30-lpg_3[[#This Row],[lpg po trasie]],0)</f>
        <v>0</v>
      </c>
      <c r="Y119">
        <f>WEEKDAY(lpg_3[[#This Row],[data]],2)</f>
        <v>1</v>
      </c>
    </row>
    <row r="120" spans="1:25" x14ac:dyDescent="0.25">
      <c r="A120" s="1">
        <v>41758</v>
      </c>
      <c r="B120">
        <v>58</v>
      </c>
      <c r="C120">
        <f>G119+I119</f>
        <v>40.439999999999991</v>
      </c>
      <c r="D120">
        <f>H119+J119</f>
        <v>7.7500000000000036</v>
      </c>
      <c r="E120">
        <f>ROUND(IF(lpg[[#This Row],[zbiornik LPG]]&gt;15,0,(lpg[[#This Row],[km]]/2)*6/100),2)</f>
        <v>1.74</v>
      </c>
      <c r="F120">
        <f>ROUND(IF(lpg[[#This Row],[zbiornik LPG]]&gt;15,lpg[[#This Row],[km]]*9/100,(lpg[[#This Row],[km]]/2)*9/100),2)</f>
        <v>2.61</v>
      </c>
      <c r="G120">
        <f>lpg[[#This Row],[zbiornik PB95]]-lpg[[#This Row],[zuzycie PB95]]</f>
        <v>38.699999999999989</v>
      </c>
      <c r="H120">
        <f>lpg[[#This Row],[zbiornik LPG]]-lpg[[#This Row],[zyzucie lpg]]</f>
        <v>5.1400000000000041</v>
      </c>
      <c r="I120">
        <f>IF(lpg[[#This Row],[dzien]]=4,IF(lpg[[#This Row],[pb po trasie]]&lt;40,45-lpg[[#This Row],[pb po trasie]],0),0)</f>
        <v>0</v>
      </c>
      <c r="J120">
        <f>IF(lpg[[#This Row],[lpg po trasie]]&lt;5,30-lpg[[#This Row],[lpg po trasie]],0)</f>
        <v>0</v>
      </c>
      <c r="K120">
        <f>WEEKDAY(lpg[[#This Row],[data]],2)</f>
        <v>2</v>
      </c>
      <c r="O120" s="1">
        <v>41758</v>
      </c>
      <c r="P120">
        <v>58</v>
      </c>
      <c r="Q120">
        <f>U119+W119</f>
        <v>40.439999999999991</v>
      </c>
      <c r="R120">
        <f>V119+X119</f>
        <v>7.7500000000000036</v>
      </c>
      <c r="S120">
        <f>ROUND(IF(lpg_3[[#This Row],[zbiornik LPG]]&gt;15,0,(lpg_3[[#This Row],[km]]/2)*6/100),2)</f>
        <v>1.74</v>
      </c>
      <c r="T120">
        <f>ROUND(IF(lpg_3[[#This Row],[zbiornik LPG]]&gt;15,lpg_3[[#This Row],[km]]*9/100,(lpg_3[[#This Row],[km]]/2)*9/100),2)</f>
        <v>2.61</v>
      </c>
      <c r="U120">
        <f>lpg_3[[#This Row],[zbiornik PB95]]-lpg_3[[#This Row],[zuzycie PB95]]</f>
        <v>38.699999999999989</v>
      </c>
      <c r="V120">
        <f>lpg_3[[#This Row],[zbiornik LPG]]-lpg_3[[#This Row],[zyzucie lpg]]</f>
        <v>5.1400000000000041</v>
      </c>
      <c r="W120">
        <f>IF(lpg_3[[#This Row],[dzien]]=4,IF(lpg_3[[#This Row],[pb po trasie]]&lt;40,45-lpg_3[[#This Row],[pb po trasie]],0),0)</f>
        <v>0</v>
      </c>
      <c r="X120">
        <f>IF(lpg_3[[#This Row],[lpg po trasie]]&lt;5,30-lpg_3[[#This Row],[lpg po trasie]],0)</f>
        <v>0</v>
      </c>
      <c r="Y120">
        <f>WEEKDAY(lpg_3[[#This Row],[data]],2)</f>
        <v>2</v>
      </c>
    </row>
    <row r="121" spans="1:25" x14ac:dyDescent="0.25">
      <c r="A121" s="1">
        <v>41759</v>
      </c>
      <c r="B121">
        <v>35</v>
      </c>
      <c r="C121">
        <f>G120+I120</f>
        <v>38.699999999999989</v>
      </c>
      <c r="D121">
        <f>H120+J120</f>
        <v>5.1400000000000041</v>
      </c>
      <c r="E121">
        <f>ROUND(IF(lpg[[#This Row],[zbiornik LPG]]&gt;15,0,(lpg[[#This Row],[km]]/2)*6/100),2)</f>
        <v>1.05</v>
      </c>
      <c r="F121">
        <f>ROUND(IF(lpg[[#This Row],[zbiornik LPG]]&gt;15,lpg[[#This Row],[km]]*9/100,(lpg[[#This Row],[km]]/2)*9/100),2)</f>
        <v>1.58</v>
      </c>
      <c r="G121">
        <f>lpg[[#This Row],[zbiornik PB95]]-lpg[[#This Row],[zuzycie PB95]]</f>
        <v>37.649999999999991</v>
      </c>
      <c r="H121">
        <f>lpg[[#This Row],[zbiornik LPG]]-lpg[[#This Row],[zyzucie lpg]]</f>
        <v>3.5600000000000041</v>
      </c>
      <c r="I121">
        <f>IF(lpg[[#This Row],[dzien]]=4,IF(lpg[[#This Row],[pb po trasie]]&lt;40,45-lpg[[#This Row],[pb po trasie]],0),0)</f>
        <v>0</v>
      </c>
      <c r="J121">
        <f>IF(lpg[[#This Row],[lpg po trasie]]&lt;5,30-lpg[[#This Row],[lpg po trasie]],0)</f>
        <v>26.439999999999998</v>
      </c>
      <c r="K121">
        <f>WEEKDAY(lpg[[#This Row],[data]],2)</f>
        <v>3</v>
      </c>
      <c r="O121" s="1">
        <v>41759</v>
      </c>
      <c r="P121">
        <v>35</v>
      </c>
      <c r="Q121">
        <f>U120+W120</f>
        <v>38.699999999999989</v>
      </c>
      <c r="R121">
        <f>V120+X120</f>
        <v>5.1400000000000041</v>
      </c>
      <c r="S121">
        <f>ROUND(IF(lpg_3[[#This Row],[zbiornik LPG]]&gt;15,0,(lpg_3[[#This Row],[km]]/2)*6/100),2)</f>
        <v>1.05</v>
      </c>
      <c r="T121">
        <f>ROUND(IF(lpg_3[[#This Row],[zbiornik LPG]]&gt;15,lpg_3[[#This Row],[km]]*9/100,(lpg_3[[#This Row],[km]]/2)*9/100),2)</f>
        <v>1.58</v>
      </c>
      <c r="U121">
        <f>lpg_3[[#This Row],[zbiornik PB95]]-lpg_3[[#This Row],[zuzycie PB95]]</f>
        <v>37.649999999999991</v>
      </c>
      <c r="V121">
        <f>lpg_3[[#This Row],[zbiornik LPG]]-lpg_3[[#This Row],[zyzucie lpg]]</f>
        <v>3.5600000000000041</v>
      </c>
      <c r="W121">
        <f>IF(lpg_3[[#This Row],[dzien]]=4,IF(lpg_3[[#This Row],[pb po trasie]]&lt;40,45-lpg_3[[#This Row],[pb po trasie]],0),0)</f>
        <v>0</v>
      </c>
      <c r="X121">
        <f>IF(lpg_3[[#This Row],[lpg po trasie]]&lt;5,30-lpg_3[[#This Row],[lpg po trasie]],0)</f>
        <v>26.439999999999998</v>
      </c>
      <c r="Y121">
        <f>WEEKDAY(lpg_3[[#This Row],[data]],2)</f>
        <v>3</v>
      </c>
    </row>
    <row r="122" spans="1:25" x14ac:dyDescent="0.25">
      <c r="A122" s="1">
        <v>41760</v>
      </c>
      <c r="B122">
        <v>146</v>
      </c>
      <c r="C122">
        <f>G121+I121</f>
        <v>37.649999999999991</v>
      </c>
      <c r="D122">
        <f>H121+J121</f>
        <v>30</v>
      </c>
      <c r="E122">
        <f>ROUND(IF(lpg[[#This Row],[zbiornik LPG]]&gt;15,0,(lpg[[#This Row],[km]]/2)*6/100),2)</f>
        <v>0</v>
      </c>
      <c r="F122">
        <f>ROUND(IF(lpg[[#This Row],[zbiornik LPG]]&gt;15,lpg[[#This Row],[km]]*9/100,(lpg[[#This Row],[km]]/2)*9/100),2)</f>
        <v>13.14</v>
      </c>
      <c r="G122">
        <f>lpg[[#This Row],[zbiornik PB95]]-lpg[[#This Row],[zuzycie PB95]]</f>
        <v>37.649999999999991</v>
      </c>
      <c r="H122">
        <f>lpg[[#This Row],[zbiornik LPG]]-lpg[[#This Row],[zyzucie lpg]]</f>
        <v>16.86</v>
      </c>
      <c r="I122">
        <f>IF(lpg[[#This Row],[dzien]]=4,IF(lpg[[#This Row],[pb po trasie]]&lt;40,45-lpg[[#This Row],[pb po trasie]],0),0)</f>
        <v>7.3500000000000085</v>
      </c>
      <c r="J122">
        <f>IF(lpg[[#This Row],[lpg po trasie]]&lt;5,30-lpg[[#This Row],[lpg po trasie]],0)</f>
        <v>0</v>
      </c>
      <c r="K122">
        <f>WEEKDAY(lpg[[#This Row],[data]],2)</f>
        <v>4</v>
      </c>
      <c r="O122" s="1">
        <v>41760</v>
      </c>
      <c r="P122">
        <v>146</v>
      </c>
      <c r="Q122">
        <f>U121+W121</f>
        <v>37.649999999999991</v>
      </c>
      <c r="R122">
        <f>V121+X121</f>
        <v>30</v>
      </c>
      <c r="S122">
        <f>ROUND(IF(lpg_3[[#This Row],[zbiornik LPG]]&gt;15,0,(lpg_3[[#This Row],[km]]/2)*6/100),2)</f>
        <v>0</v>
      </c>
      <c r="T122">
        <f>ROUND(IF(lpg_3[[#This Row],[zbiornik LPG]]&gt;15,lpg_3[[#This Row],[km]]*9/100,(lpg_3[[#This Row],[km]]/2)*9/100),2)</f>
        <v>13.14</v>
      </c>
      <c r="U122">
        <f>lpg_3[[#This Row],[zbiornik PB95]]-lpg_3[[#This Row],[zuzycie PB95]]</f>
        <v>37.649999999999991</v>
      </c>
      <c r="V122">
        <f>lpg_3[[#This Row],[zbiornik LPG]]-lpg_3[[#This Row],[zyzucie lpg]]</f>
        <v>16.86</v>
      </c>
      <c r="W122">
        <f>IF(lpg_3[[#This Row],[dzien]]=4,IF(lpg_3[[#This Row],[pb po trasie]]&lt;40,45-lpg_3[[#This Row],[pb po trasie]],0),0)</f>
        <v>7.3500000000000085</v>
      </c>
      <c r="X122">
        <f>IF(lpg_3[[#This Row],[lpg po trasie]]&lt;5,30-lpg_3[[#This Row],[lpg po trasie]],0)</f>
        <v>0</v>
      </c>
      <c r="Y122">
        <f>WEEKDAY(lpg_3[[#This Row],[data]],2)</f>
        <v>4</v>
      </c>
    </row>
    <row r="123" spans="1:25" x14ac:dyDescent="0.25">
      <c r="A123" s="1">
        <v>41761</v>
      </c>
      <c r="B123">
        <v>45</v>
      </c>
      <c r="C123">
        <f>G122+I122</f>
        <v>45</v>
      </c>
      <c r="D123">
        <f>H122+J122</f>
        <v>16.86</v>
      </c>
      <c r="E123">
        <f>ROUND(IF(lpg[[#This Row],[zbiornik LPG]]&gt;15,0,(lpg[[#This Row],[km]]/2)*6/100),2)</f>
        <v>0</v>
      </c>
      <c r="F123">
        <f>ROUND(IF(lpg[[#This Row],[zbiornik LPG]]&gt;15,lpg[[#This Row],[km]]*9/100,(lpg[[#This Row],[km]]/2)*9/100),2)</f>
        <v>4.05</v>
      </c>
      <c r="G123">
        <f>lpg[[#This Row],[zbiornik PB95]]-lpg[[#This Row],[zuzycie PB95]]</f>
        <v>45</v>
      </c>
      <c r="H123">
        <f>lpg[[#This Row],[zbiornik LPG]]-lpg[[#This Row],[zyzucie lpg]]</f>
        <v>12.809999999999999</v>
      </c>
      <c r="I123">
        <f>IF(lpg[[#This Row],[dzien]]=4,IF(lpg[[#This Row],[pb po trasie]]&lt;40,45-lpg[[#This Row],[pb po trasie]],0),0)</f>
        <v>0</v>
      </c>
      <c r="J123">
        <f>IF(lpg[[#This Row],[lpg po trasie]]&lt;5,30-lpg[[#This Row],[lpg po trasie]],0)</f>
        <v>0</v>
      </c>
      <c r="K123">
        <f>WEEKDAY(lpg[[#This Row],[data]],2)</f>
        <v>5</v>
      </c>
      <c r="O123" s="1">
        <v>41761</v>
      </c>
      <c r="P123">
        <v>45</v>
      </c>
      <c r="Q123">
        <f>U122+W122</f>
        <v>45</v>
      </c>
      <c r="R123">
        <f>V122+X122</f>
        <v>16.86</v>
      </c>
      <c r="S123">
        <f>ROUND(IF(lpg_3[[#This Row],[zbiornik LPG]]&gt;15,0,(lpg_3[[#This Row],[km]]/2)*6/100),2)</f>
        <v>0</v>
      </c>
      <c r="T123">
        <f>ROUND(IF(lpg_3[[#This Row],[zbiornik LPG]]&gt;15,lpg_3[[#This Row],[km]]*9/100,(lpg_3[[#This Row],[km]]/2)*9/100),2)</f>
        <v>4.05</v>
      </c>
      <c r="U123">
        <f>lpg_3[[#This Row],[zbiornik PB95]]-lpg_3[[#This Row],[zuzycie PB95]]</f>
        <v>45</v>
      </c>
      <c r="V123">
        <f>lpg_3[[#This Row],[zbiornik LPG]]-lpg_3[[#This Row],[zyzucie lpg]]</f>
        <v>12.809999999999999</v>
      </c>
      <c r="W123">
        <f>IF(lpg_3[[#This Row],[dzien]]=4,IF(lpg_3[[#This Row],[pb po trasie]]&lt;40,45-lpg_3[[#This Row],[pb po trasie]],0),0)</f>
        <v>0</v>
      </c>
      <c r="X123">
        <f>IF(lpg_3[[#This Row],[lpg po trasie]]&lt;5,30-lpg_3[[#This Row],[lpg po trasie]],0)</f>
        <v>0</v>
      </c>
      <c r="Y123">
        <f>WEEKDAY(lpg_3[[#This Row],[data]],2)</f>
        <v>5</v>
      </c>
    </row>
    <row r="124" spans="1:25" x14ac:dyDescent="0.25">
      <c r="A124" s="1">
        <v>41762</v>
      </c>
      <c r="B124">
        <v>127</v>
      </c>
      <c r="C124">
        <f>G123+I123</f>
        <v>45</v>
      </c>
      <c r="D124">
        <f>H123+J123</f>
        <v>12.809999999999999</v>
      </c>
      <c r="E124">
        <f>ROUND(IF(lpg[[#This Row],[zbiornik LPG]]&gt;15,0,(lpg[[#This Row],[km]]/2)*6/100),2)</f>
        <v>3.81</v>
      </c>
      <c r="F124">
        <f>ROUND(IF(lpg[[#This Row],[zbiornik LPG]]&gt;15,lpg[[#This Row],[km]]*9/100,(lpg[[#This Row],[km]]/2)*9/100),2)</f>
        <v>5.72</v>
      </c>
      <c r="G124">
        <f>lpg[[#This Row],[zbiornik PB95]]-lpg[[#This Row],[zuzycie PB95]]</f>
        <v>41.19</v>
      </c>
      <c r="H124">
        <f>lpg[[#This Row],[zbiornik LPG]]-lpg[[#This Row],[zyzucie lpg]]</f>
        <v>7.089999999999999</v>
      </c>
      <c r="I124">
        <f>IF(lpg[[#This Row],[dzien]]=4,IF(lpg[[#This Row],[pb po trasie]]&lt;40,45-lpg[[#This Row],[pb po trasie]],0),0)</f>
        <v>0</v>
      </c>
      <c r="J124">
        <f>IF(lpg[[#This Row],[lpg po trasie]]&lt;5,30-lpg[[#This Row],[lpg po trasie]],0)</f>
        <v>0</v>
      </c>
      <c r="K124">
        <f>WEEKDAY(lpg[[#This Row],[data]],2)</f>
        <v>6</v>
      </c>
      <c r="O124" s="1">
        <v>41762</v>
      </c>
      <c r="P124">
        <v>127</v>
      </c>
      <c r="Q124">
        <f>U123+W123</f>
        <v>45</v>
      </c>
      <c r="R124">
        <f>V123+X123</f>
        <v>12.809999999999999</v>
      </c>
      <c r="S124">
        <f>ROUND(IF(lpg_3[[#This Row],[zbiornik LPG]]&gt;15,0,(lpg_3[[#This Row],[km]]/2)*6/100),2)</f>
        <v>3.81</v>
      </c>
      <c r="T124">
        <f>ROUND(IF(lpg_3[[#This Row],[zbiornik LPG]]&gt;15,lpg_3[[#This Row],[km]]*9/100,(lpg_3[[#This Row],[km]]/2)*9/100),2)</f>
        <v>5.72</v>
      </c>
      <c r="U124">
        <f>lpg_3[[#This Row],[zbiornik PB95]]-lpg_3[[#This Row],[zuzycie PB95]]</f>
        <v>41.19</v>
      </c>
      <c r="V124">
        <f>lpg_3[[#This Row],[zbiornik LPG]]-lpg_3[[#This Row],[zyzucie lpg]]</f>
        <v>7.089999999999999</v>
      </c>
      <c r="W124">
        <f>IF(lpg_3[[#This Row],[dzien]]=4,IF(lpg_3[[#This Row],[pb po trasie]]&lt;40,45-lpg_3[[#This Row],[pb po trasie]],0),0)</f>
        <v>0</v>
      </c>
      <c r="X124">
        <f>IF(lpg_3[[#This Row],[lpg po trasie]]&lt;5,30-lpg_3[[#This Row],[lpg po trasie]],0)</f>
        <v>0</v>
      </c>
      <c r="Y124">
        <f>WEEKDAY(lpg_3[[#This Row],[data]],2)</f>
        <v>6</v>
      </c>
    </row>
    <row r="125" spans="1:25" x14ac:dyDescent="0.25">
      <c r="A125" s="1">
        <v>41763</v>
      </c>
      <c r="B125">
        <v>48</v>
      </c>
      <c r="C125">
        <f>G124+I124</f>
        <v>41.19</v>
      </c>
      <c r="D125">
        <f>H124+J124</f>
        <v>7.089999999999999</v>
      </c>
      <c r="E125">
        <f>ROUND(IF(lpg[[#This Row],[zbiornik LPG]]&gt;15,0,(lpg[[#This Row],[km]]/2)*6/100),2)</f>
        <v>1.44</v>
      </c>
      <c r="F125">
        <f>ROUND(IF(lpg[[#This Row],[zbiornik LPG]]&gt;15,lpg[[#This Row],[km]]*9/100,(lpg[[#This Row],[km]]/2)*9/100),2)</f>
        <v>2.16</v>
      </c>
      <c r="G125">
        <f>lpg[[#This Row],[zbiornik PB95]]-lpg[[#This Row],[zuzycie PB95]]</f>
        <v>39.75</v>
      </c>
      <c r="H125">
        <f>lpg[[#This Row],[zbiornik LPG]]-lpg[[#This Row],[zyzucie lpg]]</f>
        <v>4.9299999999999988</v>
      </c>
      <c r="I125">
        <f>IF(lpg[[#This Row],[dzien]]=4,IF(lpg[[#This Row],[pb po trasie]]&lt;40,45-lpg[[#This Row],[pb po trasie]],0),0)</f>
        <v>0</v>
      </c>
      <c r="J125">
        <f>IF(lpg[[#This Row],[lpg po trasie]]&lt;5,30-lpg[[#This Row],[lpg po trasie]],0)</f>
        <v>25.07</v>
      </c>
      <c r="K125">
        <f>WEEKDAY(lpg[[#This Row],[data]],2)</f>
        <v>7</v>
      </c>
      <c r="O125" s="1">
        <v>41763</v>
      </c>
      <c r="P125">
        <v>48</v>
      </c>
      <c r="Q125">
        <f>U124+W124</f>
        <v>41.19</v>
      </c>
      <c r="R125">
        <f>V124+X124</f>
        <v>7.089999999999999</v>
      </c>
      <c r="S125">
        <f>ROUND(IF(lpg_3[[#This Row],[zbiornik LPG]]&gt;15,0,(lpg_3[[#This Row],[km]]/2)*6/100),2)</f>
        <v>1.44</v>
      </c>
      <c r="T125">
        <f>ROUND(IF(lpg_3[[#This Row],[zbiornik LPG]]&gt;15,lpg_3[[#This Row],[km]]*9/100,(lpg_3[[#This Row],[km]]/2)*9/100),2)</f>
        <v>2.16</v>
      </c>
      <c r="U125">
        <f>lpg_3[[#This Row],[zbiornik PB95]]-lpg_3[[#This Row],[zuzycie PB95]]</f>
        <v>39.75</v>
      </c>
      <c r="V125">
        <f>lpg_3[[#This Row],[zbiornik LPG]]-lpg_3[[#This Row],[zyzucie lpg]]</f>
        <v>4.9299999999999988</v>
      </c>
      <c r="W125">
        <f>IF(lpg_3[[#This Row],[dzien]]=4,IF(lpg_3[[#This Row],[pb po trasie]]&lt;40,45-lpg_3[[#This Row],[pb po trasie]],0),0)</f>
        <v>0</v>
      </c>
      <c r="X125">
        <f>IF(lpg_3[[#This Row],[lpg po trasie]]&lt;5,30-lpg_3[[#This Row],[lpg po trasie]],0)</f>
        <v>25.07</v>
      </c>
      <c r="Y125">
        <f>WEEKDAY(lpg_3[[#This Row],[data]],2)</f>
        <v>7</v>
      </c>
    </row>
    <row r="126" spans="1:25" x14ac:dyDescent="0.25">
      <c r="A126" s="1">
        <v>41764</v>
      </c>
      <c r="B126">
        <v>128</v>
      </c>
      <c r="C126">
        <f>G125+I125</f>
        <v>39.75</v>
      </c>
      <c r="D126">
        <f>H125+J125</f>
        <v>30</v>
      </c>
      <c r="E126">
        <f>ROUND(IF(lpg[[#This Row],[zbiornik LPG]]&gt;15,0,(lpg[[#This Row],[km]]/2)*6/100),2)</f>
        <v>0</v>
      </c>
      <c r="F126">
        <f>ROUND(IF(lpg[[#This Row],[zbiornik LPG]]&gt;15,lpg[[#This Row],[km]]*9/100,(lpg[[#This Row],[km]]/2)*9/100),2)</f>
        <v>11.52</v>
      </c>
      <c r="G126">
        <f>lpg[[#This Row],[zbiornik PB95]]-lpg[[#This Row],[zuzycie PB95]]</f>
        <v>39.75</v>
      </c>
      <c r="H126">
        <f>lpg[[#This Row],[zbiornik LPG]]-lpg[[#This Row],[zyzucie lpg]]</f>
        <v>18.48</v>
      </c>
      <c r="I126">
        <f>IF(lpg[[#This Row],[dzien]]=4,IF(lpg[[#This Row],[pb po trasie]]&lt;40,45-lpg[[#This Row],[pb po trasie]],0),0)</f>
        <v>0</v>
      </c>
      <c r="J126">
        <f>IF(lpg[[#This Row],[lpg po trasie]]&lt;5,30-lpg[[#This Row],[lpg po trasie]],0)</f>
        <v>0</v>
      </c>
      <c r="K126">
        <f>WEEKDAY(lpg[[#This Row],[data]],2)</f>
        <v>1</v>
      </c>
      <c r="O126" s="1">
        <v>41764</v>
      </c>
      <c r="P126">
        <v>128</v>
      </c>
      <c r="Q126">
        <f>U125+W125</f>
        <v>39.75</v>
      </c>
      <c r="R126">
        <f>V125+X125</f>
        <v>30</v>
      </c>
      <c r="S126">
        <f>ROUND(IF(lpg_3[[#This Row],[zbiornik LPG]]&gt;15,0,(lpg_3[[#This Row],[km]]/2)*6/100),2)</f>
        <v>0</v>
      </c>
      <c r="T126">
        <f>ROUND(IF(lpg_3[[#This Row],[zbiornik LPG]]&gt;15,lpg_3[[#This Row],[km]]*9/100,(lpg_3[[#This Row],[km]]/2)*9/100),2)</f>
        <v>11.52</v>
      </c>
      <c r="U126">
        <f>lpg_3[[#This Row],[zbiornik PB95]]-lpg_3[[#This Row],[zuzycie PB95]]</f>
        <v>39.75</v>
      </c>
      <c r="V126">
        <f>lpg_3[[#This Row],[zbiornik LPG]]-lpg_3[[#This Row],[zyzucie lpg]]</f>
        <v>18.48</v>
      </c>
      <c r="W126">
        <f>IF(lpg_3[[#This Row],[dzien]]=4,IF(lpg_3[[#This Row],[pb po trasie]]&lt;40,45-lpg_3[[#This Row],[pb po trasie]],0),0)</f>
        <v>0</v>
      </c>
      <c r="X126">
        <f>IF(lpg_3[[#This Row],[lpg po trasie]]&lt;5,30-lpg_3[[#This Row],[lpg po trasie]],0)</f>
        <v>0</v>
      </c>
      <c r="Y126">
        <f>WEEKDAY(lpg_3[[#This Row],[data]],2)</f>
        <v>1</v>
      </c>
    </row>
    <row r="127" spans="1:25" x14ac:dyDescent="0.25">
      <c r="A127" s="1">
        <v>41765</v>
      </c>
      <c r="B127">
        <v>115</v>
      </c>
      <c r="C127">
        <f>G126+I126</f>
        <v>39.75</v>
      </c>
      <c r="D127">
        <f>H126+J126</f>
        <v>18.48</v>
      </c>
      <c r="E127">
        <f>ROUND(IF(lpg[[#This Row],[zbiornik LPG]]&gt;15,0,(lpg[[#This Row],[km]]/2)*6/100),2)</f>
        <v>0</v>
      </c>
      <c r="F127">
        <f>ROUND(IF(lpg[[#This Row],[zbiornik LPG]]&gt;15,lpg[[#This Row],[km]]*9/100,(lpg[[#This Row],[km]]/2)*9/100),2)</f>
        <v>10.35</v>
      </c>
      <c r="G127">
        <f>lpg[[#This Row],[zbiornik PB95]]-lpg[[#This Row],[zuzycie PB95]]</f>
        <v>39.75</v>
      </c>
      <c r="H127">
        <f>lpg[[#This Row],[zbiornik LPG]]-lpg[[#This Row],[zyzucie lpg]]</f>
        <v>8.1300000000000008</v>
      </c>
      <c r="I127">
        <f>IF(lpg[[#This Row],[dzien]]=4,IF(lpg[[#This Row],[pb po trasie]]&lt;40,45-lpg[[#This Row],[pb po trasie]],0),0)</f>
        <v>0</v>
      </c>
      <c r="J127">
        <f>IF(lpg[[#This Row],[lpg po trasie]]&lt;5,30-lpg[[#This Row],[lpg po trasie]],0)</f>
        <v>0</v>
      </c>
      <c r="K127">
        <f>WEEKDAY(lpg[[#This Row],[data]],2)</f>
        <v>2</v>
      </c>
      <c r="O127" s="1">
        <v>41765</v>
      </c>
      <c r="P127">
        <v>115</v>
      </c>
      <c r="Q127">
        <f>U126+W126</f>
        <v>39.75</v>
      </c>
      <c r="R127">
        <f>V126+X126</f>
        <v>18.48</v>
      </c>
      <c r="S127">
        <f>ROUND(IF(lpg_3[[#This Row],[zbiornik LPG]]&gt;15,0,(lpg_3[[#This Row],[km]]/2)*6/100),2)</f>
        <v>0</v>
      </c>
      <c r="T127">
        <f>ROUND(IF(lpg_3[[#This Row],[zbiornik LPG]]&gt;15,lpg_3[[#This Row],[km]]*9/100,(lpg_3[[#This Row],[km]]/2)*9/100),2)</f>
        <v>10.35</v>
      </c>
      <c r="U127">
        <f>lpg_3[[#This Row],[zbiornik PB95]]-lpg_3[[#This Row],[zuzycie PB95]]</f>
        <v>39.75</v>
      </c>
      <c r="V127">
        <f>lpg_3[[#This Row],[zbiornik LPG]]-lpg_3[[#This Row],[zyzucie lpg]]</f>
        <v>8.1300000000000008</v>
      </c>
      <c r="W127">
        <f>IF(lpg_3[[#This Row],[dzien]]=4,IF(lpg_3[[#This Row],[pb po trasie]]&lt;40,45-lpg_3[[#This Row],[pb po trasie]],0),0)</f>
        <v>0</v>
      </c>
      <c r="X127">
        <f>IF(lpg_3[[#This Row],[lpg po trasie]]&lt;5,30-lpg_3[[#This Row],[lpg po trasie]],0)</f>
        <v>0</v>
      </c>
      <c r="Y127">
        <f>WEEKDAY(lpg_3[[#This Row],[data]],2)</f>
        <v>2</v>
      </c>
    </row>
    <row r="128" spans="1:25" x14ac:dyDescent="0.25">
      <c r="A128" s="1">
        <v>41766</v>
      </c>
      <c r="B128">
        <v>103</v>
      </c>
      <c r="C128">
        <f>G127+I127</f>
        <v>39.75</v>
      </c>
      <c r="D128">
        <f>H127+J127</f>
        <v>8.1300000000000008</v>
      </c>
      <c r="E128">
        <f>ROUND(IF(lpg[[#This Row],[zbiornik LPG]]&gt;15,0,(lpg[[#This Row],[km]]/2)*6/100),2)</f>
        <v>3.09</v>
      </c>
      <c r="F128">
        <f>ROUND(IF(lpg[[#This Row],[zbiornik LPG]]&gt;15,lpg[[#This Row],[km]]*9/100,(lpg[[#This Row],[km]]/2)*9/100),2)</f>
        <v>4.6399999999999997</v>
      </c>
      <c r="G128">
        <f>lpg[[#This Row],[zbiornik PB95]]-lpg[[#This Row],[zuzycie PB95]]</f>
        <v>36.659999999999997</v>
      </c>
      <c r="H128">
        <f>lpg[[#This Row],[zbiornik LPG]]-lpg[[#This Row],[zyzucie lpg]]</f>
        <v>3.4900000000000011</v>
      </c>
      <c r="I128">
        <f>IF(lpg[[#This Row],[dzien]]=4,IF(lpg[[#This Row],[pb po trasie]]&lt;40,45-lpg[[#This Row],[pb po trasie]],0),0)</f>
        <v>0</v>
      </c>
      <c r="J128">
        <f>IF(lpg[[#This Row],[lpg po trasie]]&lt;5,30-lpg[[#This Row],[lpg po trasie]],0)</f>
        <v>26.509999999999998</v>
      </c>
      <c r="K128">
        <f>WEEKDAY(lpg[[#This Row],[data]],2)</f>
        <v>3</v>
      </c>
      <c r="O128" s="1">
        <v>41766</v>
      </c>
      <c r="P128">
        <v>103</v>
      </c>
      <c r="Q128">
        <f>U127+W127</f>
        <v>39.75</v>
      </c>
      <c r="R128">
        <f>V127+X127</f>
        <v>8.1300000000000008</v>
      </c>
      <c r="S128">
        <f>ROUND(IF(lpg_3[[#This Row],[zbiornik LPG]]&gt;15,0,(lpg_3[[#This Row],[km]]/2)*6/100),2)</f>
        <v>3.09</v>
      </c>
      <c r="T128">
        <f>ROUND(IF(lpg_3[[#This Row],[zbiornik LPG]]&gt;15,lpg_3[[#This Row],[km]]*9/100,(lpg_3[[#This Row],[km]]/2)*9/100),2)</f>
        <v>4.6399999999999997</v>
      </c>
      <c r="U128">
        <f>lpg_3[[#This Row],[zbiornik PB95]]-lpg_3[[#This Row],[zuzycie PB95]]</f>
        <v>36.659999999999997</v>
      </c>
      <c r="V128">
        <f>lpg_3[[#This Row],[zbiornik LPG]]-lpg_3[[#This Row],[zyzucie lpg]]</f>
        <v>3.4900000000000011</v>
      </c>
      <c r="W128">
        <f>IF(lpg_3[[#This Row],[dzien]]=4,IF(lpg_3[[#This Row],[pb po trasie]]&lt;40,45-lpg_3[[#This Row],[pb po trasie]],0),0)</f>
        <v>0</v>
      </c>
      <c r="X128">
        <f>IF(lpg_3[[#This Row],[lpg po trasie]]&lt;5,30-lpg_3[[#This Row],[lpg po trasie]],0)</f>
        <v>26.509999999999998</v>
      </c>
      <c r="Y128">
        <f>WEEKDAY(lpg_3[[#This Row],[data]],2)</f>
        <v>3</v>
      </c>
    </row>
    <row r="129" spans="1:25" x14ac:dyDescent="0.25">
      <c r="A129" s="1">
        <v>41767</v>
      </c>
      <c r="B129">
        <v>21</v>
      </c>
      <c r="C129">
        <f>G128+I128</f>
        <v>36.659999999999997</v>
      </c>
      <c r="D129">
        <f>H128+J128</f>
        <v>30</v>
      </c>
      <c r="E129">
        <f>ROUND(IF(lpg[[#This Row],[zbiornik LPG]]&gt;15,0,(lpg[[#This Row],[km]]/2)*6/100),2)</f>
        <v>0</v>
      </c>
      <c r="F129">
        <f>ROUND(IF(lpg[[#This Row],[zbiornik LPG]]&gt;15,lpg[[#This Row],[km]]*9/100,(lpg[[#This Row],[km]]/2)*9/100),2)</f>
        <v>1.89</v>
      </c>
      <c r="G129">
        <f>lpg[[#This Row],[zbiornik PB95]]-lpg[[#This Row],[zuzycie PB95]]</f>
        <v>36.659999999999997</v>
      </c>
      <c r="H129">
        <f>lpg[[#This Row],[zbiornik LPG]]-lpg[[#This Row],[zyzucie lpg]]</f>
        <v>28.11</v>
      </c>
      <c r="I129">
        <f>IF(lpg[[#This Row],[dzien]]=4,IF(lpg[[#This Row],[pb po trasie]]&lt;40,45-lpg[[#This Row],[pb po trasie]],0),0)</f>
        <v>8.3400000000000034</v>
      </c>
      <c r="J129">
        <f>IF(lpg[[#This Row],[lpg po trasie]]&lt;5,30-lpg[[#This Row],[lpg po trasie]],0)</f>
        <v>0</v>
      </c>
      <c r="K129">
        <f>WEEKDAY(lpg[[#This Row],[data]],2)</f>
        <v>4</v>
      </c>
      <c r="O129" s="1">
        <v>41767</v>
      </c>
      <c r="P129">
        <v>21</v>
      </c>
      <c r="Q129">
        <f>U128+W128</f>
        <v>36.659999999999997</v>
      </c>
      <c r="R129">
        <f>V128+X128</f>
        <v>30</v>
      </c>
      <c r="S129">
        <f>ROUND(IF(lpg_3[[#This Row],[zbiornik LPG]]&gt;15,0,(lpg_3[[#This Row],[km]]/2)*6/100),2)</f>
        <v>0</v>
      </c>
      <c r="T129">
        <f>ROUND(IF(lpg_3[[#This Row],[zbiornik LPG]]&gt;15,lpg_3[[#This Row],[km]]*9/100,(lpg_3[[#This Row],[km]]/2)*9/100),2)</f>
        <v>1.89</v>
      </c>
      <c r="U129">
        <f>lpg_3[[#This Row],[zbiornik PB95]]-lpg_3[[#This Row],[zuzycie PB95]]</f>
        <v>36.659999999999997</v>
      </c>
      <c r="V129">
        <f>lpg_3[[#This Row],[zbiornik LPG]]-lpg_3[[#This Row],[zyzucie lpg]]</f>
        <v>28.11</v>
      </c>
      <c r="W129">
        <f>IF(lpg_3[[#This Row],[dzien]]=4,IF(lpg_3[[#This Row],[pb po trasie]]&lt;40,45-lpg_3[[#This Row],[pb po trasie]],0),0)</f>
        <v>8.3400000000000034</v>
      </c>
      <c r="X129">
        <f>IF(lpg_3[[#This Row],[lpg po trasie]]&lt;5,30-lpg_3[[#This Row],[lpg po trasie]],0)</f>
        <v>0</v>
      </c>
      <c r="Y129">
        <f>WEEKDAY(lpg_3[[#This Row],[data]],2)</f>
        <v>4</v>
      </c>
    </row>
    <row r="130" spans="1:25" x14ac:dyDescent="0.25">
      <c r="A130" s="1">
        <v>41768</v>
      </c>
      <c r="B130">
        <v>150</v>
      </c>
      <c r="C130">
        <f>G129+I129</f>
        <v>45</v>
      </c>
      <c r="D130">
        <f>H129+J129</f>
        <v>28.11</v>
      </c>
      <c r="E130">
        <f>ROUND(IF(lpg[[#This Row],[zbiornik LPG]]&gt;15,0,(lpg[[#This Row],[km]]/2)*6/100),2)</f>
        <v>0</v>
      </c>
      <c r="F130">
        <f>ROUND(IF(lpg[[#This Row],[zbiornik LPG]]&gt;15,lpg[[#This Row],[km]]*9/100,(lpg[[#This Row],[km]]/2)*9/100),2)</f>
        <v>13.5</v>
      </c>
      <c r="G130">
        <f>lpg[[#This Row],[zbiornik PB95]]-lpg[[#This Row],[zuzycie PB95]]</f>
        <v>45</v>
      </c>
      <c r="H130">
        <f>lpg[[#This Row],[zbiornik LPG]]-lpg[[#This Row],[zyzucie lpg]]</f>
        <v>14.61</v>
      </c>
      <c r="I130">
        <f>IF(lpg[[#This Row],[dzien]]=4,IF(lpg[[#This Row],[pb po trasie]]&lt;40,45-lpg[[#This Row],[pb po trasie]],0),0)</f>
        <v>0</v>
      </c>
      <c r="J130">
        <f>IF(lpg[[#This Row],[lpg po trasie]]&lt;5,30-lpg[[#This Row],[lpg po trasie]],0)</f>
        <v>0</v>
      </c>
      <c r="K130">
        <f>WEEKDAY(lpg[[#This Row],[data]],2)</f>
        <v>5</v>
      </c>
      <c r="O130" s="1">
        <v>41768</v>
      </c>
      <c r="P130">
        <v>150</v>
      </c>
      <c r="Q130">
        <f>U129+W129</f>
        <v>45</v>
      </c>
      <c r="R130">
        <f>V129+X129</f>
        <v>28.11</v>
      </c>
      <c r="S130">
        <f>ROUND(IF(lpg_3[[#This Row],[zbiornik LPG]]&gt;15,0,(lpg_3[[#This Row],[km]]/2)*6/100),2)</f>
        <v>0</v>
      </c>
      <c r="T130">
        <f>ROUND(IF(lpg_3[[#This Row],[zbiornik LPG]]&gt;15,lpg_3[[#This Row],[km]]*9/100,(lpg_3[[#This Row],[km]]/2)*9/100),2)</f>
        <v>13.5</v>
      </c>
      <c r="U130">
        <f>lpg_3[[#This Row],[zbiornik PB95]]-lpg_3[[#This Row],[zuzycie PB95]]</f>
        <v>45</v>
      </c>
      <c r="V130">
        <f>lpg_3[[#This Row],[zbiornik LPG]]-lpg_3[[#This Row],[zyzucie lpg]]</f>
        <v>14.61</v>
      </c>
      <c r="W130">
        <f>IF(lpg_3[[#This Row],[dzien]]=4,IF(lpg_3[[#This Row],[pb po trasie]]&lt;40,45-lpg_3[[#This Row],[pb po trasie]],0),0)</f>
        <v>0</v>
      </c>
      <c r="X130">
        <f>IF(lpg_3[[#This Row],[lpg po trasie]]&lt;5,30-lpg_3[[#This Row],[lpg po trasie]],0)</f>
        <v>0</v>
      </c>
      <c r="Y130">
        <f>WEEKDAY(lpg_3[[#This Row],[data]],2)</f>
        <v>5</v>
      </c>
    </row>
    <row r="131" spans="1:25" x14ac:dyDescent="0.25">
      <c r="A131" s="1">
        <v>41769</v>
      </c>
      <c r="B131">
        <v>49</v>
      </c>
      <c r="C131">
        <f>G130+I130</f>
        <v>45</v>
      </c>
      <c r="D131">
        <f>H130+J130</f>
        <v>14.61</v>
      </c>
      <c r="E131">
        <f>ROUND(IF(lpg[[#This Row],[zbiornik LPG]]&gt;15,0,(lpg[[#This Row],[km]]/2)*6/100),2)</f>
        <v>1.47</v>
      </c>
      <c r="F131">
        <f>ROUND(IF(lpg[[#This Row],[zbiornik LPG]]&gt;15,lpg[[#This Row],[km]]*9/100,(lpg[[#This Row],[km]]/2)*9/100),2)</f>
        <v>2.21</v>
      </c>
      <c r="G131">
        <f>lpg[[#This Row],[zbiornik PB95]]-lpg[[#This Row],[zuzycie PB95]]</f>
        <v>43.53</v>
      </c>
      <c r="H131">
        <f>lpg[[#This Row],[zbiornik LPG]]-lpg[[#This Row],[zyzucie lpg]]</f>
        <v>12.399999999999999</v>
      </c>
      <c r="I131">
        <f>IF(lpg[[#This Row],[dzien]]=4,IF(lpg[[#This Row],[pb po trasie]]&lt;40,45-lpg[[#This Row],[pb po trasie]],0),0)</f>
        <v>0</v>
      </c>
      <c r="J131">
        <f>IF(lpg[[#This Row],[lpg po trasie]]&lt;5,30-lpg[[#This Row],[lpg po trasie]],0)</f>
        <v>0</v>
      </c>
      <c r="K131">
        <f>WEEKDAY(lpg[[#This Row],[data]],2)</f>
        <v>6</v>
      </c>
      <c r="O131" s="1">
        <v>41769</v>
      </c>
      <c r="P131">
        <v>49</v>
      </c>
      <c r="Q131">
        <f>U130+W130</f>
        <v>45</v>
      </c>
      <c r="R131">
        <f>V130+X130</f>
        <v>14.61</v>
      </c>
      <c r="S131">
        <f>ROUND(IF(lpg_3[[#This Row],[zbiornik LPG]]&gt;15,0,(lpg_3[[#This Row],[km]]/2)*6/100),2)</f>
        <v>1.47</v>
      </c>
      <c r="T131">
        <f>ROUND(IF(lpg_3[[#This Row],[zbiornik LPG]]&gt;15,lpg_3[[#This Row],[km]]*9/100,(lpg_3[[#This Row],[km]]/2)*9/100),2)</f>
        <v>2.21</v>
      </c>
      <c r="U131">
        <f>lpg_3[[#This Row],[zbiornik PB95]]-lpg_3[[#This Row],[zuzycie PB95]]</f>
        <v>43.53</v>
      </c>
      <c r="V131">
        <f>lpg_3[[#This Row],[zbiornik LPG]]-lpg_3[[#This Row],[zyzucie lpg]]</f>
        <v>12.399999999999999</v>
      </c>
      <c r="W131">
        <f>IF(lpg_3[[#This Row],[dzien]]=4,IF(lpg_3[[#This Row],[pb po trasie]]&lt;40,45-lpg_3[[#This Row],[pb po trasie]],0),0)</f>
        <v>0</v>
      </c>
      <c r="X131">
        <f>IF(lpg_3[[#This Row],[lpg po trasie]]&lt;5,30-lpg_3[[#This Row],[lpg po trasie]],0)</f>
        <v>0</v>
      </c>
      <c r="Y131">
        <f>WEEKDAY(lpg_3[[#This Row],[data]],2)</f>
        <v>6</v>
      </c>
    </row>
    <row r="132" spans="1:25" x14ac:dyDescent="0.25">
      <c r="A132" s="1">
        <v>41770</v>
      </c>
      <c r="B132">
        <v>20</v>
      </c>
      <c r="C132">
        <f>G131+I131</f>
        <v>43.53</v>
      </c>
      <c r="D132">
        <f>H131+J131</f>
        <v>12.399999999999999</v>
      </c>
      <c r="E132">
        <f>ROUND(IF(lpg[[#This Row],[zbiornik LPG]]&gt;15,0,(lpg[[#This Row],[km]]/2)*6/100),2)</f>
        <v>0.6</v>
      </c>
      <c r="F132">
        <f>ROUND(IF(lpg[[#This Row],[zbiornik LPG]]&gt;15,lpg[[#This Row],[km]]*9/100,(lpg[[#This Row],[km]]/2)*9/100),2)</f>
        <v>0.9</v>
      </c>
      <c r="G132">
        <f>lpg[[#This Row],[zbiornik PB95]]-lpg[[#This Row],[zuzycie PB95]]</f>
        <v>42.93</v>
      </c>
      <c r="H132">
        <f>lpg[[#This Row],[zbiornik LPG]]-lpg[[#This Row],[zyzucie lpg]]</f>
        <v>11.499999999999998</v>
      </c>
      <c r="I132">
        <f>IF(lpg[[#This Row],[dzien]]=4,IF(lpg[[#This Row],[pb po trasie]]&lt;40,45-lpg[[#This Row],[pb po trasie]],0),0)</f>
        <v>0</v>
      </c>
      <c r="J132">
        <f>IF(lpg[[#This Row],[lpg po trasie]]&lt;5,30-lpg[[#This Row],[lpg po trasie]],0)</f>
        <v>0</v>
      </c>
      <c r="K132">
        <f>WEEKDAY(lpg[[#This Row],[data]],2)</f>
        <v>7</v>
      </c>
      <c r="O132" s="1">
        <v>41770</v>
      </c>
      <c r="P132">
        <v>20</v>
      </c>
      <c r="Q132">
        <f>U131+W131</f>
        <v>43.53</v>
      </c>
      <c r="R132">
        <f>V131+X131</f>
        <v>12.399999999999999</v>
      </c>
      <c r="S132">
        <f>ROUND(IF(lpg_3[[#This Row],[zbiornik LPG]]&gt;15,0,(lpg_3[[#This Row],[km]]/2)*6/100),2)</f>
        <v>0.6</v>
      </c>
      <c r="T132">
        <f>ROUND(IF(lpg_3[[#This Row],[zbiornik LPG]]&gt;15,lpg_3[[#This Row],[km]]*9/100,(lpg_3[[#This Row],[km]]/2)*9/100),2)</f>
        <v>0.9</v>
      </c>
      <c r="U132">
        <f>lpg_3[[#This Row],[zbiornik PB95]]-lpg_3[[#This Row],[zuzycie PB95]]</f>
        <v>42.93</v>
      </c>
      <c r="V132">
        <f>lpg_3[[#This Row],[zbiornik LPG]]-lpg_3[[#This Row],[zyzucie lpg]]</f>
        <v>11.499999999999998</v>
      </c>
      <c r="W132">
        <f>IF(lpg_3[[#This Row],[dzien]]=4,IF(lpg_3[[#This Row],[pb po trasie]]&lt;40,45-lpg_3[[#This Row],[pb po trasie]],0),0)</f>
        <v>0</v>
      </c>
      <c r="X132">
        <f>IF(lpg_3[[#This Row],[lpg po trasie]]&lt;5,30-lpg_3[[#This Row],[lpg po trasie]],0)</f>
        <v>0</v>
      </c>
      <c r="Y132">
        <f>WEEKDAY(lpg_3[[#This Row],[data]],2)</f>
        <v>7</v>
      </c>
    </row>
    <row r="133" spans="1:25" x14ac:dyDescent="0.25">
      <c r="A133" s="1">
        <v>41771</v>
      </c>
      <c r="B133">
        <v>120</v>
      </c>
      <c r="C133">
        <f>G132+I132</f>
        <v>42.93</v>
      </c>
      <c r="D133">
        <f>H132+J132</f>
        <v>11.499999999999998</v>
      </c>
      <c r="E133">
        <f>ROUND(IF(lpg[[#This Row],[zbiornik LPG]]&gt;15,0,(lpg[[#This Row],[km]]/2)*6/100),2)</f>
        <v>3.6</v>
      </c>
      <c r="F133">
        <f>ROUND(IF(lpg[[#This Row],[zbiornik LPG]]&gt;15,lpg[[#This Row],[km]]*9/100,(lpg[[#This Row],[km]]/2)*9/100),2)</f>
        <v>5.4</v>
      </c>
      <c r="G133">
        <f>lpg[[#This Row],[zbiornik PB95]]-lpg[[#This Row],[zuzycie PB95]]</f>
        <v>39.33</v>
      </c>
      <c r="H133">
        <f>lpg[[#This Row],[zbiornik LPG]]-lpg[[#This Row],[zyzucie lpg]]</f>
        <v>6.0999999999999979</v>
      </c>
      <c r="I133">
        <f>IF(lpg[[#This Row],[dzien]]=4,IF(lpg[[#This Row],[pb po trasie]]&lt;40,45-lpg[[#This Row],[pb po trasie]],0),0)</f>
        <v>0</v>
      </c>
      <c r="J133">
        <f>IF(lpg[[#This Row],[lpg po trasie]]&lt;5,30-lpg[[#This Row],[lpg po trasie]],0)</f>
        <v>0</v>
      </c>
      <c r="K133">
        <f>WEEKDAY(lpg[[#This Row],[data]],2)</f>
        <v>1</v>
      </c>
      <c r="O133" s="1">
        <v>41771</v>
      </c>
      <c r="P133">
        <v>120</v>
      </c>
      <c r="Q133">
        <f>U132+W132</f>
        <v>42.93</v>
      </c>
      <c r="R133">
        <f>V132+X132</f>
        <v>11.499999999999998</v>
      </c>
      <c r="S133">
        <f>ROUND(IF(lpg_3[[#This Row],[zbiornik LPG]]&gt;15,0,(lpg_3[[#This Row],[km]]/2)*6/100),2)</f>
        <v>3.6</v>
      </c>
      <c r="T133">
        <f>ROUND(IF(lpg_3[[#This Row],[zbiornik LPG]]&gt;15,lpg_3[[#This Row],[km]]*9/100,(lpg_3[[#This Row],[km]]/2)*9/100),2)</f>
        <v>5.4</v>
      </c>
      <c r="U133">
        <f>lpg_3[[#This Row],[zbiornik PB95]]-lpg_3[[#This Row],[zuzycie PB95]]</f>
        <v>39.33</v>
      </c>
      <c r="V133">
        <f>lpg_3[[#This Row],[zbiornik LPG]]-lpg_3[[#This Row],[zyzucie lpg]]</f>
        <v>6.0999999999999979</v>
      </c>
      <c r="W133">
        <f>IF(lpg_3[[#This Row],[dzien]]=4,IF(lpg_3[[#This Row],[pb po trasie]]&lt;40,45-lpg_3[[#This Row],[pb po trasie]],0),0)</f>
        <v>0</v>
      </c>
      <c r="X133">
        <f>IF(lpg_3[[#This Row],[lpg po trasie]]&lt;5,30-lpg_3[[#This Row],[lpg po trasie]],0)</f>
        <v>0</v>
      </c>
      <c r="Y133">
        <f>WEEKDAY(lpg_3[[#This Row],[data]],2)</f>
        <v>1</v>
      </c>
    </row>
    <row r="134" spans="1:25" x14ac:dyDescent="0.25">
      <c r="A134" s="1">
        <v>41772</v>
      </c>
      <c r="B134">
        <v>39</v>
      </c>
      <c r="C134">
        <f>G133+I133</f>
        <v>39.33</v>
      </c>
      <c r="D134">
        <f>H133+J133</f>
        <v>6.0999999999999979</v>
      </c>
      <c r="E134">
        <f>ROUND(IF(lpg[[#This Row],[zbiornik LPG]]&gt;15,0,(lpg[[#This Row],[km]]/2)*6/100),2)</f>
        <v>1.17</v>
      </c>
      <c r="F134">
        <f>ROUND(IF(lpg[[#This Row],[zbiornik LPG]]&gt;15,lpg[[#This Row],[km]]*9/100,(lpg[[#This Row],[km]]/2)*9/100),2)</f>
        <v>1.76</v>
      </c>
      <c r="G134">
        <f>lpg[[#This Row],[zbiornik PB95]]-lpg[[#This Row],[zuzycie PB95]]</f>
        <v>38.159999999999997</v>
      </c>
      <c r="H134">
        <f>lpg[[#This Row],[zbiornik LPG]]-lpg[[#This Row],[zyzucie lpg]]</f>
        <v>4.3399999999999981</v>
      </c>
      <c r="I134">
        <f>IF(lpg[[#This Row],[dzien]]=4,IF(lpg[[#This Row],[pb po trasie]]&lt;40,45-lpg[[#This Row],[pb po trasie]],0),0)</f>
        <v>0</v>
      </c>
      <c r="J134">
        <f>IF(lpg[[#This Row],[lpg po trasie]]&lt;5,30-lpg[[#This Row],[lpg po trasie]],0)</f>
        <v>25.660000000000004</v>
      </c>
      <c r="K134">
        <f>WEEKDAY(lpg[[#This Row],[data]],2)</f>
        <v>2</v>
      </c>
      <c r="O134" s="1">
        <v>41772</v>
      </c>
      <c r="P134">
        <v>39</v>
      </c>
      <c r="Q134">
        <f>U133+W133</f>
        <v>39.33</v>
      </c>
      <c r="R134">
        <f>V133+X133</f>
        <v>6.0999999999999979</v>
      </c>
      <c r="S134">
        <f>ROUND(IF(lpg_3[[#This Row],[zbiornik LPG]]&gt;15,0,(lpg_3[[#This Row],[km]]/2)*6/100),2)</f>
        <v>1.17</v>
      </c>
      <c r="T134">
        <f>ROUND(IF(lpg_3[[#This Row],[zbiornik LPG]]&gt;15,lpg_3[[#This Row],[km]]*9/100,(lpg_3[[#This Row],[km]]/2)*9/100),2)</f>
        <v>1.76</v>
      </c>
      <c r="U134">
        <f>lpg_3[[#This Row],[zbiornik PB95]]-lpg_3[[#This Row],[zuzycie PB95]]</f>
        <v>38.159999999999997</v>
      </c>
      <c r="V134">
        <f>lpg_3[[#This Row],[zbiornik LPG]]-lpg_3[[#This Row],[zyzucie lpg]]</f>
        <v>4.3399999999999981</v>
      </c>
      <c r="W134">
        <f>IF(lpg_3[[#This Row],[dzien]]=4,IF(lpg_3[[#This Row],[pb po trasie]]&lt;40,45-lpg_3[[#This Row],[pb po trasie]],0),0)</f>
        <v>0</v>
      </c>
      <c r="X134">
        <f>IF(lpg_3[[#This Row],[lpg po trasie]]&lt;5,30-lpg_3[[#This Row],[lpg po trasie]],0)</f>
        <v>25.660000000000004</v>
      </c>
      <c r="Y134">
        <f>WEEKDAY(lpg_3[[#This Row],[data]],2)</f>
        <v>2</v>
      </c>
    </row>
    <row r="135" spans="1:25" x14ac:dyDescent="0.25">
      <c r="A135" s="1">
        <v>41773</v>
      </c>
      <c r="B135">
        <v>15</v>
      </c>
      <c r="C135">
        <f>G134+I134</f>
        <v>38.159999999999997</v>
      </c>
      <c r="D135">
        <f>H134+J134</f>
        <v>30</v>
      </c>
      <c r="E135">
        <f>ROUND(IF(lpg[[#This Row],[zbiornik LPG]]&gt;15,0,(lpg[[#This Row],[km]]/2)*6/100),2)</f>
        <v>0</v>
      </c>
      <c r="F135">
        <f>ROUND(IF(lpg[[#This Row],[zbiornik LPG]]&gt;15,lpg[[#This Row],[km]]*9/100,(lpg[[#This Row],[km]]/2)*9/100),2)</f>
        <v>1.35</v>
      </c>
      <c r="G135">
        <f>lpg[[#This Row],[zbiornik PB95]]-lpg[[#This Row],[zuzycie PB95]]</f>
        <v>38.159999999999997</v>
      </c>
      <c r="H135">
        <f>lpg[[#This Row],[zbiornik LPG]]-lpg[[#This Row],[zyzucie lpg]]</f>
        <v>28.65</v>
      </c>
      <c r="I135">
        <f>IF(lpg[[#This Row],[dzien]]=4,IF(lpg[[#This Row],[pb po trasie]]&lt;40,45-lpg[[#This Row],[pb po trasie]],0),0)</f>
        <v>0</v>
      </c>
      <c r="J135">
        <f>IF(lpg[[#This Row],[lpg po trasie]]&lt;5,30-lpg[[#This Row],[lpg po trasie]],0)</f>
        <v>0</v>
      </c>
      <c r="K135">
        <f>WEEKDAY(lpg[[#This Row],[data]],2)</f>
        <v>3</v>
      </c>
      <c r="O135" s="1">
        <v>41773</v>
      </c>
      <c r="P135">
        <v>15</v>
      </c>
      <c r="Q135">
        <f>U134+W134</f>
        <v>38.159999999999997</v>
      </c>
      <c r="R135">
        <f>V134+X134</f>
        <v>30</v>
      </c>
      <c r="S135">
        <f>ROUND(IF(lpg_3[[#This Row],[zbiornik LPG]]&gt;15,0,(lpg_3[[#This Row],[km]]/2)*6/100),2)</f>
        <v>0</v>
      </c>
      <c r="T135">
        <f>ROUND(IF(lpg_3[[#This Row],[zbiornik LPG]]&gt;15,lpg_3[[#This Row],[km]]*9/100,(lpg_3[[#This Row],[km]]/2)*9/100),2)</f>
        <v>1.35</v>
      </c>
      <c r="U135">
        <f>lpg_3[[#This Row],[zbiornik PB95]]-lpg_3[[#This Row],[zuzycie PB95]]</f>
        <v>38.159999999999997</v>
      </c>
      <c r="V135">
        <f>lpg_3[[#This Row],[zbiornik LPG]]-lpg_3[[#This Row],[zyzucie lpg]]</f>
        <v>28.65</v>
      </c>
      <c r="W135">
        <f>IF(lpg_3[[#This Row],[dzien]]=4,IF(lpg_3[[#This Row],[pb po trasie]]&lt;40,45-lpg_3[[#This Row],[pb po trasie]],0),0)</f>
        <v>0</v>
      </c>
      <c r="X135">
        <f>IF(lpg_3[[#This Row],[lpg po trasie]]&lt;5,30-lpg_3[[#This Row],[lpg po trasie]],0)</f>
        <v>0</v>
      </c>
      <c r="Y135">
        <f>WEEKDAY(lpg_3[[#This Row],[data]],2)</f>
        <v>3</v>
      </c>
    </row>
    <row r="136" spans="1:25" x14ac:dyDescent="0.25">
      <c r="A136" s="1">
        <v>41774</v>
      </c>
      <c r="B136">
        <v>118</v>
      </c>
      <c r="C136">
        <f>G135+I135</f>
        <v>38.159999999999997</v>
      </c>
      <c r="D136">
        <f>H135+J135</f>
        <v>28.65</v>
      </c>
      <c r="E136">
        <f>ROUND(IF(lpg[[#This Row],[zbiornik LPG]]&gt;15,0,(lpg[[#This Row],[km]]/2)*6/100),2)</f>
        <v>0</v>
      </c>
      <c r="F136">
        <f>ROUND(IF(lpg[[#This Row],[zbiornik LPG]]&gt;15,lpg[[#This Row],[km]]*9/100,(lpg[[#This Row],[km]]/2)*9/100),2)</f>
        <v>10.62</v>
      </c>
      <c r="G136">
        <f>lpg[[#This Row],[zbiornik PB95]]-lpg[[#This Row],[zuzycie PB95]]</f>
        <v>38.159999999999997</v>
      </c>
      <c r="H136">
        <f>lpg[[#This Row],[zbiornik LPG]]-lpg[[#This Row],[zyzucie lpg]]</f>
        <v>18.03</v>
      </c>
      <c r="I136">
        <f>IF(lpg[[#This Row],[dzien]]=4,IF(lpg[[#This Row],[pb po trasie]]&lt;40,45-lpg[[#This Row],[pb po trasie]],0),0)</f>
        <v>6.8400000000000034</v>
      </c>
      <c r="J136">
        <f>IF(lpg[[#This Row],[lpg po trasie]]&lt;5,30-lpg[[#This Row],[lpg po trasie]],0)</f>
        <v>0</v>
      </c>
      <c r="K136">
        <f>WEEKDAY(lpg[[#This Row],[data]],2)</f>
        <v>4</v>
      </c>
      <c r="O136" s="1">
        <v>41774</v>
      </c>
      <c r="P136">
        <v>118</v>
      </c>
      <c r="Q136">
        <f>U135+W135</f>
        <v>38.159999999999997</v>
      </c>
      <c r="R136">
        <f>V135+X135</f>
        <v>28.65</v>
      </c>
      <c r="S136">
        <f>ROUND(IF(lpg_3[[#This Row],[zbiornik LPG]]&gt;15,0,(lpg_3[[#This Row],[km]]/2)*6/100),2)</f>
        <v>0</v>
      </c>
      <c r="T136">
        <f>ROUND(IF(lpg_3[[#This Row],[zbiornik LPG]]&gt;15,lpg_3[[#This Row],[km]]*9/100,(lpg_3[[#This Row],[km]]/2)*9/100),2)</f>
        <v>10.62</v>
      </c>
      <c r="U136">
        <f>lpg_3[[#This Row],[zbiornik PB95]]-lpg_3[[#This Row],[zuzycie PB95]]</f>
        <v>38.159999999999997</v>
      </c>
      <c r="V136">
        <f>lpg_3[[#This Row],[zbiornik LPG]]-lpg_3[[#This Row],[zyzucie lpg]]</f>
        <v>18.03</v>
      </c>
      <c r="W136">
        <f>IF(lpg_3[[#This Row],[dzien]]=4,IF(lpg_3[[#This Row],[pb po trasie]]&lt;40,45-lpg_3[[#This Row],[pb po trasie]],0),0)</f>
        <v>6.8400000000000034</v>
      </c>
      <c r="X136">
        <f>IF(lpg_3[[#This Row],[lpg po trasie]]&lt;5,30-lpg_3[[#This Row],[lpg po trasie]],0)</f>
        <v>0</v>
      </c>
      <c r="Y136">
        <f>WEEKDAY(lpg_3[[#This Row],[data]],2)</f>
        <v>4</v>
      </c>
    </row>
    <row r="137" spans="1:25" x14ac:dyDescent="0.25">
      <c r="A137" s="1">
        <v>41775</v>
      </c>
      <c r="B137">
        <v>37</v>
      </c>
      <c r="C137">
        <f>G136+I136</f>
        <v>45</v>
      </c>
      <c r="D137">
        <f>H136+J136</f>
        <v>18.03</v>
      </c>
      <c r="E137">
        <f>ROUND(IF(lpg[[#This Row],[zbiornik LPG]]&gt;15,0,(lpg[[#This Row],[km]]/2)*6/100),2)</f>
        <v>0</v>
      </c>
      <c r="F137">
        <f>ROUND(IF(lpg[[#This Row],[zbiornik LPG]]&gt;15,lpg[[#This Row],[km]]*9/100,(lpg[[#This Row],[km]]/2)*9/100),2)</f>
        <v>3.33</v>
      </c>
      <c r="G137">
        <f>lpg[[#This Row],[zbiornik PB95]]-lpg[[#This Row],[zuzycie PB95]]</f>
        <v>45</v>
      </c>
      <c r="H137">
        <f>lpg[[#This Row],[zbiornik LPG]]-lpg[[#This Row],[zyzucie lpg]]</f>
        <v>14.700000000000001</v>
      </c>
      <c r="I137">
        <f>IF(lpg[[#This Row],[dzien]]=4,IF(lpg[[#This Row],[pb po trasie]]&lt;40,45-lpg[[#This Row],[pb po trasie]],0),0)</f>
        <v>0</v>
      </c>
      <c r="J137">
        <f>IF(lpg[[#This Row],[lpg po trasie]]&lt;5,30-lpg[[#This Row],[lpg po trasie]],0)</f>
        <v>0</v>
      </c>
      <c r="K137">
        <f>WEEKDAY(lpg[[#This Row],[data]],2)</f>
        <v>5</v>
      </c>
      <c r="O137" s="1">
        <v>41775</v>
      </c>
      <c r="P137">
        <v>37</v>
      </c>
      <c r="Q137">
        <f>U136+W136</f>
        <v>45</v>
      </c>
      <c r="R137">
        <f>V136+X136</f>
        <v>18.03</v>
      </c>
      <c r="S137">
        <f>ROUND(IF(lpg_3[[#This Row],[zbiornik LPG]]&gt;15,0,(lpg_3[[#This Row],[km]]/2)*6/100),2)</f>
        <v>0</v>
      </c>
      <c r="T137">
        <f>ROUND(IF(lpg_3[[#This Row],[zbiornik LPG]]&gt;15,lpg_3[[#This Row],[km]]*9/100,(lpg_3[[#This Row],[km]]/2)*9/100),2)</f>
        <v>3.33</v>
      </c>
      <c r="U137">
        <f>lpg_3[[#This Row],[zbiornik PB95]]-lpg_3[[#This Row],[zuzycie PB95]]</f>
        <v>45</v>
      </c>
      <c r="V137">
        <f>lpg_3[[#This Row],[zbiornik LPG]]-lpg_3[[#This Row],[zyzucie lpg]]</f>
        <v>14.700000000000001</v>
      </c>
      <c r="W137">
        <f>IF(lpg_3[[#This Row],[dzien]]=4,IF(lpg_3[[#This Row],[pb po trasie]]&lt;40,45-lpg_3[[#This Row],[pb po trasie]],0),0)</f>
        <v>0</v>
      </c>
      <c r="X137">
        <f>IF(lpg_3[[#This Row],[lpg po trasie]]&lt;5,30-lpg_3[[#This Row],[lpg po trasie]],0)</f>
        <v>0</v>
      </c>
      <c r="Y137">
        <f>WEEKDAY(lpg_3[[#This Row],[data]],2)</f>
        <v>5</v>
      </c>
    </row>
    <row r="138" spans="1:25" x14ac:dyDescent="0.25">
      <c r="A138" s="1">
        <v>41776</v>
      </c>
      <c r="B138">
        <v>107</v>
      </c>
      <c r="C138">
        <f>G137+I137</f>
        <v>45</v>
      </c>
      <c r="D138">
        <f>H137+J137</f>
        <v>14.700000000000001</v>
      </c>
      <c r="E138">
        <f>ROUND(IF(lpg[[#This Row],[zbiornik LPG]]&gt;15,0,(lpg[[#This Row],[km]]/2)*6/100),2)</f>
        <v>3.21</v>
      </c>
      <c r="F138">
        <f>ROUND(IF(lpg[[#This Row],[zbiornik LPG]]&gt;15,lpg[[#This Row],[km]]*9/100,(lpg[[#This Row],[km]]/2)*9/100),2)</f>
        <v>4.82</v>
      </c>
      <c r="G138">
        <f>lpg[[#This Row],[zbiornik PB95]]-lpg[[#This Row],[zuzycie PB95]]</f>
        <v>41.79</v>
      </c>
      <c r="H138">
        <f>lpg[[#This Row],[zbiornik LPG]]-lpg[[#This Row],[zyzucie lpg]]</f>
        <v>9.8800000000000008</v>
      </c>
      <c r="I138">
        <f>IF(lpg[[#This Row],[dzien]]=4,IF(lpg[[#This Row],[pb po trasie]]&lt;40,45-lpg[[#This Row],[pb po trasie]],0),0)</f>
        <v>0</v>
      </c>
      <c r="J138">
        <f>IF(lpg[[#This Row],[lpg po trasie]]&lt;5,30-lpg[[#This Row],[lpg po trasie]],0)</f>
        <v>0</v>
      </c>
      <c r="K138">
        <f>WEEKDAY(lpg[[#This Row],[data]],2)</f>
        <v>6</v>
      </c>
      <c r="O138" s="1">
        <v>41776</v>
      </c>
      <c r="P138">
        <v>107</v>
      </c>
      <c r="Q138">
        <f>U137+W137</f>
        <v>45</v>
      </c>
      <c r="R138">
        <f>V137+X137</f>
        <v>14.700000000000001</v>
      </c>
      <c r="S138">
        <f>ROUND(IF(lpg_3[[#This Row],[zbiornik LPG]]&gt;15,0,(lpg_3[[#This Row],[km]]/2)*6/100),2)</f>
        <v>3.21</v>
      </c>
      <c r="T138">
        <f>ROUND(IF(lpg_3[[#This Row],[zbiornik LPG]]&gt;15,lpg_3[[#This Row],[km]]*9/100,(lpg_3[[#This Row],[km]]/2)*9/100),2)</f>
        <v>4.82</v>
      </c>
      <c r="U138">
        <f>lpg_3[[#This Row],[zbiornik PB95]]-lpg_3[[#This Row],[zuzycie PB95]]</f>
        <v>41.79</v>
      </c>
      <c r="V138">
        <f>lpg_3[[#This Row],[zbiornik LPG]]-lpg_3[[#This Row],[zyzucie lpg]]</f>
        <v>9.8800000000000008</v>
      </c>
      <c r="W138">
        <f>IF(lpg_3[[#This Row],[dzien]]=4,IF(lpg_3[[#This Row],[pb po trasie]]&lt;40,45-lpg_3[[#This Row],[pb po trasie]],0),0)</f>
        <v>0</v>
      </c>
      <c r="X138">
        <f>IF(lpg_3[[#This Row],[lpg po trasie]]&lt;5,30-lpg_3[[#This Row],[lpg po trasie]],0)</f>
        <v>0</v>
      </c>
      <c r="Y138">
        <f>WEEKDAY(lpg_3[[#This Row],[data]],2)</f>
        <v>6</v>
      </c>
    </row>
    <row r="139" spans="1:25" x14ac:dyDescent="0.25">
      <c r="A139" s="1">
        <v>41777</v>
      </c>
      <c r="B139">
        <v>51</v>
      </c>
      <c r="C139">
        <f>G138+I138</f>
        <v>41.79</v>
      </c>
      <c r="D139">
        <f>H138+J138</f>
        <v>9.8800000000000008</v>
      </c>
      <c r="E139">
        <f>ROUND(IF(lpg[[#This Row],[zbiornik LPG]]&gt;15,0,(lpg[[#This Row],[km]]/2)*6/100),2)</f>
        <v>1.53</v>
      </c>
      <c r="F139">
        <f>ROUND(IF(lpg[[#This Row],[zbiornik LPG]]&gt;15,lpg[[#This Row],[km]]*9/100,(lpg[[#This Row],[km]]/2)*9/100),2)</f>
        <v>2.2999999999999998</v>
      </c>
      <c r="G139">
        <f>lpg[[#This Row],[zbiornik PB95]]-lpg[[#This Row],[zuzycie PB95]]</f>
        <v>40.26</v>
      </c>
      <c r="H139">
        <f>lpg[[#This Row],[zbiornik LPG]]-lpg[[#This Row],[zyzucie lpg]]</f>
        <v>7.580000000000001</v>
      </c>
      <c r="I139">
        <f>IF(lpg[[#This Row],[dzien]]=4,IF(lpg[[#This Row],[pb po trasie]]&lt;40,45-lpg[[#This Row],[pb po trasie]],0),0)</f>
        <v>0</v>
      </c>
      <c r="J139">
        <f>IF(lpg[[#This Row],[lpg po trasie]]&lt;5,30-lpg[[#This Row],[lpg po trasie]],0)</f>
        <v>0</v>
      </c>
      <c r="K139">
        <f>WEEKDAY(lpg[[#This Row],[data]],2)</f>
        <v>7</v>
      </c>
      <c r="O139" s="1">
        <v>41777</v>
      </c>
      <c r="P139">
        <v>51</v>
      </c>
      <c r="Q139">
        <f>U138+W138</f>
        <v>41.79</v>
      </c>
      <c r="R139">
        <f>V138+X138</f>
        <v>9.8800000000000008</v>
      </c>
      <c r="S139">
        <f>ROUND(IF(lpg_3[[#This Row],[zbiornik LPG]]&gt;15,0,(lpg_3[[#This Row],[km]]/2)*6/100),2)</f>
        <v>1.53</v>
      </c>
      <c r="T139">
        <f>ROUND(IF(lpg_3[[#This Row],[zbiornik LPG]]&gt;15,lpg_3[[#This Row],[km]]*9/100,(lpg_3[[#This Row],[km]]/2)*9/100),2)</f>
        <v>2.2999999999999998</v>
      </c>
      <c r="U139">
        <f>lpg_3[[#This Row],[zbiornik PB95]]-lpg_3[[#This Row],[zuzycie PB95]]</f>
        <v>40.26</v>
      </c>
      <c r="V139">
        <f>lpg_3[[#This Row],[zbiornik LPG]]-lpg_3[[#This Row],[zyzucie lpg]]</f>
        <v>7.580000000000001</v>
      </c>
      <c r="W139">
        <f>IF(lpg_3[[#This Row],[dzien]]=4,IF(lpg_3[[#This Row],[pb po trasie]]&lt;40,45-lpg_3[[#This Row],[pb po trasie]],0),0)</f>
        <v>0</v>
      </c>
      <c r="X139">
        <f>IF(lpg_3[[#This Row],[lpg po trasie]]&lt;5,30-lpg_3[[#This Row],[lpg po trasie]],0)</f>
        <v>0</v>
      </c>
      <c r="Y139">
        <f>WEEKDAY(lpg_3[[#This Row],[data]],2)</f>
        <v>7</v>
      </c>
    </row>
    <row r="140" spans="1:25" x14ac:dyDescent="0.25">
      <c r="A140" s="1">
        <v>41778</v>
      </c>
      <c r="B140">
        <v>76</v>
      </c>
      <c r="C140">
        <f>G139+I139</f>
        <v>40.26</v>
      </c>
      <c r="D140">
        <f>H139+J139</f>
        <v>7.580000000000001</v>
      </c>
      <c r="E140">
        <f>ROUND(IF(lpg[[#This Row],[zbiornik LPG]]&gt;15,0,(lpg[[#This Row],[km]]/2)*6/100),2)</f>
        <v>2.2799999999999998</v>
      </c>
      <c r="F140">
        <f>ROUND(IF(lpg[[#This Row],[zbiornik LPG]]&gt;15,lpg[[#This Row],[km]]*9/100,(lpg[[#This Row],[km]]/2)*9/100),2)</f>
        <v>3.42</v>
      </c>
      <c r="G140">
        <f>lpg[[#This Row],[zbiornik PB95]]-lpg[[#This Row],[zuzycie PB95]]</f>
        <v>37.979999999999997</v>
      </c>
      <c r="H140">
        <f>lpg[[#This Row],[zbiornik LPG]]-lpg[[#This Row],[zyzucie lpg]]</f>
        <v>4.160000000000001</v>
      </c>
      <c r="I140">
        <f>IF(lpg[[#This Row],[dzien]]=4,IF(lpg[[#This Row],[pb po trasie]]&lt;40,45-lpg[[#This Row],[pb po trasie]],0),0)</f>
        <v>0</v>
      </c>
      <c r="J140">
        <f>IF(lpg[[#This Row],[lpg po trasie]]&lt;5,30-lpg[[#This Row],[lpg po trasie]],0)</f>
        <v>25.84</v>
      </c>
      <c r="K140">
        <f>WEEKDAY(lpg[[#This Row],[data]],2)</f>
        <v>1</v>
      </c>
      <c r="O140" s="1">
        <v>41778</v>
      </c>
      <c r="P140">
        <v>76</v>
      </c>
      <c r="Q140">
        <f>U139+W139</f>
        <v>40.26</v>
      </c>
      <c r="R140">
        <f>V139+X139</f>
        <v>7.580000000000001</v>
      </c>
      <c r="S140">
        <f>ROUND(IF(lpg_3[[#This Row],[zbiornik LPG]]&gt;15,0,(lpg_3[[#This Row],[km]]/2)*6/100),2)</f>
        <v>2.2799999999999998</v>
      </c>
      <c r="T140">
        <f>ROUND(IF(lpg_3[[#This Row],[zbiornik LPG]]&gt;15,lpg_3[[#This Row],[km]]*9/100,(lpg_3[[#This Row],[km]]/2)*9/100),2)</f>
        <v>3.42</v>
      </c>
      <c r="U140">
        <f>lpg_3[[#This Row],[zbiornik PB95]]-lpg_3[[#This Row],[zuzycie PB95]]</f>
        <v>37.979999999999997</v>
      </c>
      <c r="V140">
        <f>lpg_3[[#This Row],[zbiornik LPG]]-lpg_3[[#This Row],[zyzucie lpg]]</f>
        <v>4.160000000000001</v>
      </c>
      <c r="W140">
        <f>IF(lpg_3[[#This Row],[dzien]]=4,IF(lpg_3[[#This Row],[pb po trasie]]&lt;40,45-lpg_3[[#This Row],[pb po trasie]],0),0)</f>
        <v>0</v>
      </c>
      <c r="X140">
        <f>IF(lpg_3[[#This Row],[lpg po trasie]]&lt;5,30-lpg_3[[#This Row],[lpg po trasie]],0)</f>
        <v>25.84</v>
      </c>
      <c r="Y140">
        <f>WEEKDAY(lpg_3[[#This Row],[data]],2)</f>
        <v>1</v>
      </c>
    </row>
    <row r="141" spans="1:25" x14ac:dyDescent="0.25">
      <c r="A141" s="1">
        <v>41779</v>
      </c>
      <c r="B141">
        <v>41</v>
      </c>
      <c r="C141">
        <f>G140+I140</f>
        <v>37.979999999999997</v>
      </c>
      <c r="D141">
        <f>H140+J140</f>
        <v>30</v>
      </c>
      <c r="E141">
        <f>ROUND(IF(lpg[[#This Row],[zbiornik LPG]]&gt;15,0,(lpg[[#This Row],[km]]/2)*6/100),2)</f>
        <v>0</v>
      </c>
      <c r="F141">
        <f>ROUND(IF(lpg[[#This Row],[zbiornik LPG]]&gt;15,lpg[[#This Row],[km]]*9/100,(lpg[[#This Row],[km]]/2)*9/100),2)</f>
        <v>3.69</v>
      </c>
      <c r="G141">
        <f>lpg[[#This Row],[zbiornik PB95]]-lpg[[#This Row],[zuzycie PB95]]</f>
        <v>37.979999999999997</v>
      </c>
      <c r="H141">
        <f>lpg[[#This Row],[zbiornik LPG]]-lpg[[#This Row],[zyzucie lpg]]</f>
        <v>26.31</v>
      </c>
      <c r="I141">
        <f>IF(lpg[[#This Row],[dzien]]=4,IF(lpg[[#This Row],[pb po trasie]]&lt;40,45-lpg[[#This Row],[pb po trasie]],0),0)</f>
        <v>0</v>
      </c>
      <c r="J141">
        <f>IF(lpg[[#This Row],[lpg po trasie]]&lt;5,30-lpg[[#This Row],[lpg po trasie]],0)</f>
        <v>0</v>
      </c>
      <c r="K141">
        <f>WEEKDAY(lpg[[#This Row],[data]],2)</f>
        <v>2</v>
      </c>
      <c r="O141" s="1">
        <v>41779</v>
      </c>
      <c r="P141">
        <v>41</v>
      </c>
      <c r="Q141">
        <f>U140+W140</f>
        <v>37.979999999999997</v>
      </c>
      <c r="R141">
        <f>V140+X140</f>
        <v>30</v>
      </c>
      <c r="S141">
        <f>ROUND(IF(lpg_3[[#This Row],[zbiornik LPG]]&gt;15,0,(lpg_3[[#This Row],[km]]/2)*6/100),2)</f>
        <v>0</v>
      </c>
      <c r="T141">
        <f>ROUND(IF(lpg_3[[#This Row],[zbiornik LPG]]&gt;15,lpg_3[[#This Row],[km]]*9/100,(lpg_3[[#This Row],[km]]/2)*9/100),2)</f>
        <v>3.69</v>
      </c>
      <c r="U141">
        <f>lpg_3[[#This Row],[zbiornik PB95]]-lpg_3[[#This Row],[zuzycie PB95]]</f>
        <v>37.979999999999997</v>
      </c>
      <c r="V141">
        <f>lpg_3[[#This Row],[zbiornik LPG]]-lpg_3[[#This Row],[zyzucie lpg]]</f>
        <v>26.31</v>
      </c>
      <c r="W141">
        <f>IF(lpg_3[[#This Row],[dzien]]=4,IF(lpg_3[[#This Row],[pb po trasie]]&lt;40,45-lpg_3[[#This Row],[pb po trasie]],0),0)</f>
        <v>0</v>
      </c>
      <c r="X141">
        <f>IF(lpg_3[[#This Row],[lpg po trasie]]&lt;5,30-lpg_3[[#This Row],[lpg po trasie]],0)</f>
        <v>0</v>
      </c>
      <c r="Y141">
        <f>WEEKDAY(lpg_3[[#This Row],[data]],2)</f>
        <v>2</v>
      </c>
    </row>
    <row r="142" spans="1:25" x14ac:dyDescent="0.25">
      <c r="A142" s="1">
        <v>41780</v>
      </c>
      <c r="B142">
        <v>149</v>
      </c>
      <c r="C142">
        <f>G141+I141</f>
        <v>37.979999999999997</v>
      </c>
      <c r="D142">
        <f>H141+J141</f>
        <v>26.31</v>
      </c>
      <c r="E142">
        <f>ROUND(IF(lpg[[#This Row],[zbiornik LPG]]&gt;15,0,(lpg[[#This Row],[km]]/2)*6/100),2)</f>
        <v>0</v>
      </c>
      <c r="F142">
        <f>ROUND(IF(lpg[[#This Row],[zbiornik LPG]]&gt;15,lpg[[#This Row],[km]]*9/100,(lpg[[#This Row],[km]]/2)*9/100),2)</f>
        <v>13.41</v>
      </c>
      <c r="G142">
        <f>lpg[[#This Row],[zbiornik PB95]]-lpg[[#This Row],[zuzycie PB95]]</f>
        <v>37.979999999999997</v>
      </c>
      <c r="H142">
        <f>lpg[[#This Row],[zbiornik LPG]]-lpg[[#This Row],[zyzucie lpg]]</f>
        <v>12.899999999999999</v>
      </c>
      <c r="I142">
        <f>IF(lpg[[#This Row],[dzien]]=4,IF(lpg[[#This Row],[pb po trasie]]&lt;40,45-lpg[[#This Row],[pb po trasie]],0),0)</f>
        <v>0</v>
      </c>
      <c r="J142">
        <f>IF(lpg[[#This Row],[lpg po trasie]]&lt;5,30-lpg[[#This Row],[lpg po trasie]],0)</f>
        <v>0</v>
      </c>
      <c r="K142">
        <f>WEEKDAY(lpg[[#This Row],[data]],2)</f>
        <v>3</v>
      </c>
      <c r="O142" s="1">
        <v>41780</v>
      </c>
      <c r="P142">
        <v>149</v>
      </c>
      <c r="Q142">
        <f>U141+W141</f>
        <v>37.979999999999997</v>
      </c>
      <c r="R142">
        <f>V141+X141</f>
        <v>26.31</v>
      </c>
      <c r="S142">
        <f>ROUND(IF(lpg_3[[#This Row],[zbiornik LPG]]&gt;15,0,(lpg_3[[#This Row],[km]]/2)*6/100),2)</f>
        <v>0</v>
      </c>
      <c r="T142">
        <f>ROUND(IF(lpg_3[[#This Row],[zbiornik LPG]]&gt;15,lpg_3[[#This Row],[km]]*9/100,(lpg_3[[#This Row],[km]]/2)*9/100),2)</f>
        <v>13.41</v>
      </c>
      <c r="U142">
        <f>lpg_3[[#This Row],[zbiornik PB95]]-lpg_3[[#This Row],[zuzycie PB95]]</f>
        <v>37.979999999999997</v>
      </c>
      <c r="V142">
        <f>lpg_3[[#This Row],[zbiornik LPG]]-lpg_3[[#This Row],[zyzucie lpg]]</f>
        <v>12.899999999999999</v>
      </c>
      <c r="W142">
        <f>IF(lpg_3[[#This Row],[dzien]]=4,IF(lpg_3[[#This Row],[pb po trasie]]&lt;40,45-lpg_3[[#This Row],[pb po trasie]],0),0)</f>
        <v>0</v>
      </c>
      <c r="X142">
        <f>IF(lpg_3[[#This Row],[lpg po trasie]]&lt;5,30-lpg_3[[#This Row],[lpg po trasie]],0)</f>
        <v>0</v>
      </c>
      <c r="Y142">
        <f>WEEKDAY(lpg_3[[#This Row],[data]],2)</f>
        <v>3</v>
      </c>
    </row>
    <row r="143" spans="1:25" x14ac:dyDescent="0.25">
      <c r="A143" s="1">
        <v>41781</v>
      </c>
      <c r="B143">
        <v>72</v>
      </c>
      <c r="C143">
        <f>G142+I142</f>
        <v>37.979999999999997</v>
      </c>
      <c r="D143">
        <f>H142+J142</f>
        <v>12.899999999999999</v>
      </c>
      <c r="E143">
        <f>ROUND(IF(lpg[[#This Row],[zbiornik LPG]]&gt;15,0,(lpg[[#This Row],[km]]/2)*6/100),2)</f>
        <v>2.16</v>
      </c>
      <c r="F143">
        <f>ROUND(IF(lpg[[#This Row],[zbiornik LPG]]&gt;15,lpg[[#This Row],[km]]*9/100,(lpg[[#This Row],[km]]/2)*9/100),2)</f>
        <v>3.24</v>
      </c>
      <c r="G143">
        <f>lpg[[#This Row],[zbiornik PB95]]-lpg[[#This Row],[zuzycie PB95]]</f>
        <v>35.819999999999993</v>
      </c>
      <c r="H143">
        <f>lpg[[#This Row],[zbiornik LPG]]-lpg[[#This Row],[zyzucie lpg]]</f>
        <v>9.6599999999999984</v>
      </c>
      <c r="I143">
        <f>IF(lpg[[#This Row],[dzien]]=4,IF(lpg[[#This Row],[pb po trasie]]&lt;40,45-lpg[[#This Row],[pb po trasie]],0),0)</f>
        <v>9.1800000000000068</v>
      </c>
      <c r="J143">
        <f>IF(lpg[[#This Row],[lpg po trasie]]&lt;5,30-lpg[[#This Row],[lpg po trasie]],0)</f>
        <v>0</v>
      </c>
      <c r="K143">
        <f>WEEKDAY(lpg[[#This Row],[data]],2)</f>
        <v>4</v>
      </c>
      <c r="O143" s="1">
        <v>41781</v>
      </c>
      <c r="P143">
        <v>72</v>
      </c>
      <c r="Q143">
        <f>U142+W142</f>
        <v>37.979999999999997</v>
      </c>
      <c r="R143">
        <f>V142+X142</f>
        <v>12.899999999999999</v>
      </c>
      <c r="S143">
        <f>ROUND(IF(lpg_3[[#This Row],[zbiornik LPG]]&gt;15,0,(lpg_3[[#This Row],[km]]/2)*6/100),2)</f>
        <v>2.16</v>
      </c>
      <c r="T143">
        <f>ROUND(IF(lpg_3[[#This Row],[zbiornik LPG]]&gt;15,lpg_3[[#This Row],[km]]*9/100,(lpg_3[[#This Row],[km]]/2)*9/100),2)</f>
        <v>3.24</v>
      </c>
      <c r="U143">
        <f>lpg_3[[#This Row],[zbiornik PB95]]-lpg_3[[#This Row],[zuzycie PB95]]</f>
        <v>35.819999999999993</v>
      </c>
      <c r="V143">
        <f>lpg_3[[#This Row],[zbiornik LPG]]-lpg_3[[#This Row],[zyzucie lpg]]</f>
        <v>9.6599999999999984</v>
      </c>
      <c r="W143">
        <f>IF(lpg_3[[#This Row],[dzien]]=4,IF(lpg_3[[#This Row],[pb po trasie]]&lt;40,45-lpg_3[[#This Row],[pb po trasie]],0),0)</f>
        <v>9.1800000000000068</v>
      </c>
      <c r="X143">
        <f>IF(lpg_3[[#This Row],[lpg po trasie]]&lt;5,30-lpg_3[[#This Row],[lpg po trasie]],0)</f>
        <v>0</v>
      </c>
      <c r="Y143">
        <f>WEEKDAY(lpg_3[[#This Row],[data]],2)</f>
        <v>4</v>
      </c>
    </row>
    <row r="144" spans="1:25" x14ac:dyDescent="0.25">
      <c r="A144" s="1">
        <v>41782</v>
      </c>
      <c r="B144">
        <v>83</v>
      </c>
      <c r="C144">
        <f>G143+I143</f>
        <v>45</v>
      </c>
      <c r="D144">
        <f>H143+J143</f>
        <v>9.6599999999999984</v>
      </c>
      <c r="E144">
        <f>ROUND(IF(lpg[[#This Row],[zbiornik LPG]]&gt;15,0,(lpg[[#This Row],[km]]/2)*6/100),2)</f>
        <v>2.4900000000000002</v>
      </c>
      <c r="F144">
        <f>ROUND(IF(lpg[[#This Row],[zbiornik LPG]]&gt;15,lpg[[#This Row],[km]]*9/100,(lpg[[#This Row],[km]]/2)*9/100),2)</f>
        <v>3.74</v>
      </c>
      <c r="G144">
        <f>lpg[[#This Row],[zbiornik PB95]]-lpg[[#This Row],[zuzycie PB95]]</f>
        <v>42.51</v>
      </c>
      <c r="H144">
        <f>lpg[[#This Row],[zbiornik LPG]]-lpg[[#This Row],[zyzucie lpg]]</f>
        <v>5.9199999999999982</v>
      </c>
      <c r="I144">
        <f>IF(lpg[[#This Row],[dzien]]=4,IF(lpg[[#This Row],[pb po trasie]]&lt;40,45-lpg[[#This Row],[pb po trasie]],0),0)</f>
        <v>0</v>
      </c>
      <c r="J144">
        <f>IF(lpg[[#This Row],[lpg po trasie]]&lt;5,30-lpg[[#This Row],[lpg po trasie]],0)</f>
        <v>0</v>
      </c>
      <c r="K144">
        <f>WEEKDAY(lpg[[#This Row],[data]],2)</f>
        <v>5</v>
      </c>
      <c r="O144" s="1">
        <v>41782</v>
      </c>
      <c r="P144">
        <v>83</v>
      </c>
      <c r="Q144">
        <f>U143+W143</f>
        <v>45</v>
      </c>
      <c r="R144">
        <f>V143+X143</f>
        <v>9.6599999999999984</v>
      </c>
      <c r="S144">
        <f>ROUND(IF(lpg_3[[#This Row],[zbiornik LPG]]&gt;15,0,(lpg_3[[#This Row],[km]]/2)*6/100),2)</f>
        <v>2.4900000000000002</v>
      </c>
      <c r="T144">
        <f>ROUND(IF(lpg_3[[#This Row],[zbiornik LPG]]&gt;15,lpg_3[[#This Row],[km]]*9/100,(lpg_3[[#This Row],[km]]/2)*9/100),2)</f>
        <v>3.74</v>
      </c>
      <c r="U144">
        <f>lpg_3[[#This Row],[zbiornik PB95]]-lpg_3[[#This Row],[zuzycie PB95]]</f>
        <v>42.51</v>
      </c>
      <c r="V144">
        <f>lpg_3[[#This Row],[zbiornik LPG]]-lpg_3[[#This Row],[zyzucie lpg]]</f>
        <v>5.9199999999999982</v>
      </c>
      <c r="W144">
        <f>IF(lpg_3[[#This Row],[dzien]]=4,IF(lpg_3[[#This Row],[pb po trasie]]&lt;40,45-lpg_3[[#This Row],[pb po trasie]],0),0)</f>
        <v>0</v>
      </c>
      <c r="X144">
        <f>IF(lpg_3[[#This Row],[lpg po trasie]]&lt;5,30-lpg_3[[#This Row],[lpg po trasie]],0)</f>
        <v>0</v>
      </c>
      <c r="Y144">
        <f>WEEKDAY(lpg_3[[#This Row],[data]],2)</f>
        <v>5</v>
      </c>
    </row>
    <row r="145" spans="1:25" x14ac:dyDescent="0.25">
      <c r="A145" s="1">
        <v>41783</v>
      </c>
      <c r="B145">
        <v>101</v>
      </c>
      <c r="C145">
        <f>G144+I144</f>
        <v>42.51</v>
      </c>
      <c r="D145">
        <f>H144+J144</f>
        <v>5.9199999999999982</v>
      </c>
      <c r="E145">
        <f>ROUND(IF(lpg[[#This Row],[zbiornik LPG]]&gt;15,0,(lpg[[#This Row],[km]]/2)*6/100),2)</f>
        <v>3.03</v>
      </c>
      <c r="F145">
        <f>ROUND(IF(lpg[[#This Row],[zbiornik LPG]]&gt;15,lpg[[#This Row],[km]]*9/100,(lpg[[#This Row],[km]]/2)*9/100),2)</f>
        <v>4.55</v>
      </c>
      <c r="G145">
        <f>lpg[[#This Row],[zbiornik PB95]]-lpg[[#This Row],[zuzycie PB95]]</f>
        <v>39.479999999999997</v>
      </c>
      <c r="H145">
        <f>lpg[[#This Row],[zbiornik LPG]]-lpg[[#This Row],[zyzucie lpg]]</f>
        <v>1.3699999999999983</v>
      </c>
      <c r="I145">
        <f>IF(lpg[[#This Row],[dzien]]=4,IF(lpg[[#This Row],[pb po trasie]]&lt;40,45-lpg[[#This Row],[pb po trasie]],0),0)</f>
        <v>0</v>
      </c>
      <c r="J145">
        <f>IF(lpg[[#This Row],[lpg po trasie]]&lt;5,30-lpg[[#This Row],[lpg po trasie]],0)</f>
        <v>28.630000000000003</v>
      </c>
      <c r="K145">
        <f>WEEKDAY(lpg[[#This Row],[data]],2)</f>
        <v>6</v>
      </c>
      <c r="O145" s="1">
        <v>41783</v>
      </c>
      <c r="P145">
        <v>101</v>
      </c>
      <c r="Q145">
        <f>U144+W144</f>
        <v>42.51</v>
      </c>
      <c r="R145">
        <f>V144+X144</f>
        <v>5.9199999999999982</v>
      </c>
      <c r="S145">
        <f>ROUND(IF(lpg_3[[#This Row],[zbiornik LPG]]&gt;15,0,(lpg_3[[#This Row],[km]]/2)*6/100),2)</f>
        <v>3.03</v>
      </c>
      <c r="T145">
        <f>ROUND(IF(lpg_3[[#This Row],[zbiornik LPG]]&gt;15,lpg_3[[#This Row],[km]]*9/100,(lpg_3[[#This Row],[km]]/2)*9/100),2)</f>
        <v>4.55</v>
      </c>
      <c r="U145">
        <f>lpg_3[[#This Row],[zbiornik PB95]]-lpg_3[[#This Row],[zuzycie PB95]]</f>
        <v>39.479999999999997</v>
      </c>
      <c r="V145">
        <f>lpg_3[[#This Row],[zbiornik LPG]]-lpg_3[[#This Row],[zyzucie lpg]]</f>
        <v>1.3699999999999983</v>
      </c>
      <c r="W145">
        <f>IF(lpg_3[[#This Row],[dzien]]=4,IF(lpg_3[[#This Row],[pb po trasie]]&lt;40,45-lpg_3[[#This Row],[pb po trasie]],0),0)</f>
        <v>0</v>
      </c>
      <c r="X145">
        <f>IF(lpg_3[[#This Row],[lpg po trasie]]&lt;5,30-lpg_3[[#This Row],[lpg po trasie]],0)</f>
        <v>28.630000000000003</v>
      </c>
      <c r="Y145">
        <f>WEEKDAY(lpg_3[[#This Row],[data]],2)</f>
        <v>6</v>
      </c>
    </row>
    <row r="146" spans="1:25" x14ac:dyDescent="0.25">
      <c r="A146" s="1">
        <v>41784</v>
      </c>
      <c r="B146">
        <v>43</v>
      </c>
      <c r="C146">
        <f>G145+I145</f>
        <v>39.479999999999997</v>
      </c>
      <c r="D146">
        <f>H145+J145</f>
        <v>30</v>
      </c>
      <c r="E146">
        <f>ROUND(IF(lpg[[#This Row],[zbiornik LPG]]&gt;15,0,(lpg[[#This Row],[km]]/2)*6/100),2)</f>
        <v>0</v>
      </c>
      <c r="F146">
        <f>ROUND(IF(lpg[[#This Row],[zbiornik LPG]]&gt;15,lpg[[#This Row],[km]]*9/100,(lpg[[#This Row],[km]]/2)*9/100),2)</f>
        <v>3.87</v>
      </c>
      <c r="G146">
        <f>lpg[[#This Row],[zbiornik PB95]]-lpg[[#This Row],[zuzycie PB95]]</f>
        <v>39.479999999999997</v>
      </c>
      <c r="H146">
        <f>lpg[[#This Row],[zbiornik LPG]]-lpg[[#This Row],[zyzucie lpg]]</f>
        <v>26.13</v>
      </c>
      <c r="I146">
        <f>IF(lpg[[#This Row],[dzien]]=4,IF(lpg[[#This Row],[pb po trasie]]&lt;40,45-lpg[[#This Row],[pb po trasie]],0),0)</f>
        <v>0</v>
      </c>
      <c r="J146">
        <f>IF(lpg[[#This Row],[lpg po trasie]]&lt;5,30-lpg[[#This Row],[lpg po trasie]],0)</f>
        <v>0</v>
      </c>
      <c r="K146">
        <f>WEEKDAY(lpg[[#This Row],[data]],2)</f>
        <v>7</v>
      </c>
      <c r="O146" s="1">
        <v>41784</v>
      </c>
      <c r="P146">
        <v>43</v>
      </c>
      <c r="Q146">
        <f>U145+W145</f>
        <v>39.479999999999997</v>
      </c>
      <c r="R146">
        <f>V145+X145</f>
        <v>30</v>
      </c>
      <c r="S146">
        <f>ROUND(IF(lpg_3[[#This Row],[zbiornik LPG]]&gt;15,0,(lpg_3[[#This Row],[km]]/2)*6/100),2)</f>
        <v>0</v>
      </c>
      <c r="T146">
        <f>ROUND(IF(lpg_3[[#This Row],[zbiornik LPG]]&gt;15,lpg_3[[#This Row],[km]]*9/100,(lpg_3[[#This Row],[km]]/2)*9/100),2)</f>
        <v>3.87</v>
      </c>
      <c r="U146">
        <f>lpg_3[[#This Row],[zbiornik PB95]]-lpg_3[[#This Row],[zuzycie PB95]]</f>
        <v>39.479999999999997</v>
      </c>
      <c r="V146">
        <f>lpg_3[[#This Row],[zbiornik LPG]]-lpg_3[[#This Row],[zyzucie lpg]]</f>
        <v>26.13</v>
      </c>
      <c r="W146">
        <f>IF(lpg_3[[#This Row],[dzien]]=4,IF(lpg_3[[#This Row],[pb po trasie]]&lt;40,45-lpg_3[[#This Row],[pb po trasie]],0),0)</f>
        <v>0</v>
      </c>
      <c r="X146">
        <f>IF(lpg_3[[#This Row],[lpg po trasie]]&lt;5,30-lpg_3[[#This Row],[lpg po trasie]],0)</f>
        <v>0</v>
      </c>
      <c r="Y146">
        <f>WEEKDAY(lpg_3[[#This Row],[data]],2)</f>
        <v>7</v>
      </c>
    </row>
    <row r="147" spans="1:25" x14ac:dyDescent="0.25">
      <c r="A147" s="1">
        <v>41785</v>
      </c>
      <c r="B147">
        <v>59</v>
      </c>
      <c r="C147">
        <f>G146+I146</f>
        <v>39.479999999999997</v>
      </c>
      <c r="D147">
        <f>H146+J146</f>
        <v>26.13</v>
      </c>
      <c r="E147">
        <f>ROUND(IF(lpg[[#This Row],[zbiornik LPG]]&gt;15,0,(lpg[[#This Row],[km]]/2)*6/100),2)</f>
        <v>0</v>
      </c>
      <c r="F147">
        <f>ROUND(IF(lpg[[#This Row],[zbiornik LPG]]&gt;15,lpg[[#This Row],[km]]*9/100,(lpg[[#This Row],[km]]/2)*9/100),2)</f>
        <v>5.31</v>
      </c>
      <c r="G147">
        <f>lpg[[#This Row],[zbiornik PB95]]-lpg[[#This Row],[zuzycie PB95]]</f>
        <v>39.479999999999997</v>
      </c>
      <c r="H147">
        <f>lpg[[#This Row],[zbiornik LPG]]-lpg[[#This Row],[zyzucie lpg]]</f>
        <v>20.82</v>
      </c>
      <c r="I147">
        <f>IF(lpg[[#This Row],[dzien]]=4,IF(lpg[[#This Row],[pb po trasie]]&lt;40,45-lpg[[#This Row],[pb po trasie]],0),0)</f>
        <v>0</v>
      </c>
      <c r="J147">
        <f>IF(lpg[[#This Row],[lpg po trasie]]&lt;5,30-lpg[[#This Row],[lpg po trasie]],0)</f>
        <v>0</v>
      </c>
      <c r="K147">
        <f>WEEKDAY(lpg[[#This Row],[data]],2)</f>
        <v>1</v>
      </c>
      <c r="O147" s="1">
        <v>41785</v>
      </c>
      <c r="P147">
        <v>59</v>
      </c>
      <c r="Q147">
        <f>U146+W146</f>
        <v>39.479999999999997</v>
      </c>
      <c r="R147">
        <f>V146+X146</f>
        <v>26.13</v>
      </c>
      <c r="S147">
        <f>ROUND(IF(lpg_3[[#This Row],[zbiornik LPG]]&gt;15,0,(lpg_3[[#This Row],[km]]/2)*6/100),2)</f>
        <v>0</v>
      </c>
      <c r="T147">
        <f>ROUND(IF(lpg_3[[#This Row],[zbiornik LPG]]&gt;15,lpg_3[[#This Row],[km]]*9/100,(lpg_3[[#This Row],[km]]/2)*9/100),2)</f>
        <v>5.31</v>
      </c>
      <c r="U147">
        <f>lpg_3[[#This Row],[zbiornik PB95]]-lpg_3[[#This Row],[zuzycie PB95]]</f>
        <v>39.479999999999997</v>
      </c>
      <c r="V147">
        <f>lpg_3[[#This Row],[zbiornik LPG]]-lpg_3[[#This Row],[zyzucie lpg]]</f>
        <v>20.82</v>
      </c>
      <c r="W147">
        <f>IF(lpg_3[[#This Row],[dzien]]=4,IF(lpg_3[[#This Row],[pb po trasie]]&lt;40,45-lpg_3[[#This Row],[pb po trasie]],0),0)</f>
        <v>0</v>
      </c>
      <c r="X147">
        <f>IF(lpg_3[[#This Row],[lpg po trasie]]&lt;5,30-lpg_3[[#This Row],[lpg po trasie]],0)</f>
        <v>0</v>
      </c>
      <c r="Y147">
        <f>WEEKDAY(lpg_3[[#This Row],[data]],2)</f>
        <v>1</v>
      </c>
    </row>
    <row r="148" spans="1:25" x14ac:dyDescent="0.25">
      <c r="A148" s="1">
        <v>41786</v>
      </c>
      <c r="B148">
        <v>81</v>
      </c>
      <c r="C148">
        <f>G147+I147</f>
        <v>39.479999999999997</v>
      </c>
      <c r="D148">
        <f>H147+J147</f>
        <v>20.82</v>
      </c>
      <c r="E148">
        <f>ROUND(IF(lpg[[#This Row],[zbiornik LPG]]&gt;15,0,(lpg[[#This Row],[km]]/2)*6/100),2)</f>
        <v>0</v>
      </c>
      <c r="F148">
        <f>ROUND(IF(lpg[[#This Row],[zbiornik LPG]]&gt;15,lpg[[#This Row],[km]]*9/100,(lpg[[#This Row],[km]]/2)*9/100),2)</f>
        <v>7.29</v>
      </c>
      <c r="G148">
        <f>lpg[[#This Row],[zbiornik PB95]]-lpg[[#This Row],[zuzycie PB95]]</f>
        <v>39.479999999999997</v>
      </c>
      <c r="H148">
        <f>lpg[[#This Row],[zbiornik LPG]]-lpg[[#This Row],[zyzucie lpg]]</f>
        <v>13.530000000000001</v>
      </c>
      <c r="I148">
        <f>IF(lpg[[#This Row],[dzien]]=4,IF(lpg[[#This Row],[pb po trasie]]&lt;40,45-lpg[[#This Row],[pb po trasie]],0),0)</f>
        <v>0</v>
      </c>
      <c r="J148">
        <f>IF(lpg[[#This Row],[lpg po trasie]]&lt;5,30-lpg[[#This Row],[lpg po trasie]],0)</f>
        <v>0</v>
      </c>
      <c r="K148">
        <f>WEEKDAY(lpg[[#This Row],[data]],2)</f>
        <v>2</v>
      </c>
      <c r="O148" s="1">
        <v>41786</v>
      </c>
      <c r="P148">
        <v>81</v>
      </c>
      <c r="Q148">
        <f>U147+W147</f>
        <v>39.479999999999997</v>
      </c>
      <c r="R148">
        <f>V147+X147</f>
        <v>20.82</v>
      </c>
      <c r="S148">
        <f>ROUND(IF(lpg_3[[#This Row],[zbiornik LPG]]&gt;15,0,(lpg_3[[#This Row],[km]]/2)*6/100),2)</f>
        <v>0</v>
      </c>
      <c r="T148">
        <f>ROUND(IF(lpg_3[[#This Row],[zbiornik LPG]]&gt;15,lpg_3[[#This Row],[km]]*9/100,(lpg_3[[#This Row],[km]]/2)*9/100),2)</f>
        <v>7.29</v>
      </c>
      <c r="U148">
        <f>lpg_3[[#This Row],[zbiornik PB95]]-lpg_3[[#This Row],[zuzycie PB95]]</f>
        <v>39.479999999999997</v>
      </c>
      <c r="V148">
        <f>lpg_3[[#This Row],[zbiornik LPG]]-lpg_3[[#This Row],[zyzucie lpg]]</f>
        <v>13.530000000000001</v>
      </c>
      <c r="W148">
        <f>IF(lpg_3[[#This Row],[dzien]]=4,IF(lpg_3[[#This Row],[pb po trasie]]&lt;40,45-lpg_3[[#This Row],[pb po trasie]],0),0)</f>
        <v>0</v>
      </c>
      <c r="X148">
        <f>IF(lpg_3[[#This Row],[lpg po trasie]]&lt;5,30-lpg_3[[#This Row],[lpg po trasie]],0)</f>
        <v>0</v>
      </c>
      <c r="Y148">
        <f>WEEKDAY(lpg_3[[#This Row],[data]],2)</f>
        <v>2</v>
      </c>
    </row>
    <row r="149" spans="1:25" x14ac:dyDescent="0.25">
      <c r="A149" s="1">
        <v>41787</v>
      </c>
      <c r="B149">
        <v>89</v>
      </c>
      <c r="C149">
        <f>G148+I148</f>
        <v>39.479999999999997</v>
      </c>
      <c r="D149">
        <f>H148+J148</f>
        <v>13.530000000000001</v>
      </c>
      <c r="E149">
        <f>ROUND(IF(lpg[[#This Row],[zbiornik LPG]]&gt;15,0,(lpg[[#This Row],[km]]/2)*6/100),2)</f>
        <v>2.67</v>
      </c>
      <c r="F149">
        <f>ROUND(IF(lpg[[#This Row],[zbiornik LPG]]&gt;15,lpg[[#This Row],[km]]*9/100,(lpg[[#This Row],[km]]/2)*9/100),2)</f>
        <v>4.01</v>
      </c>
      <c r="G149">
        <f>lpg[[#This Row],[zbiornik PB95]]-lpg[[#This Row],[zuzycie PB95]]</f>
        <v>36.809999999999995</v>
      </c>
      <c r="H149">
        <f>lpg[[#This Row],[zbiornik LPG]]-lpg[[#This Row],[zyzucie lpg]]</f>
        <v>9.5200000000000014</v>
      </c>
      <c r="I149">
        <f>IF(lpg[[#This Row],[dzien]]=4,IF(lpg[[#This Row],[pb po trasie]]&lt;40,45-lpg[[#This Row],[pb po trasie]],0),0)</f>
        <v>0</v>
      </c>
      <c r="J149">
        <f>IF(lpg[[#This Row],[lpg po trasie]]&lt;5,30-lpg[[#This Row],[lpg po trasie]],0)</f>
        <v>0</v>
      </c>
      <c r="K149">
        <f>WEEKDAY(lpg[[#This Row],[data]],2)</f>
        <v>3</v>
      </c>
      <c r="O149" s="1">
        <v>41787</v>
      </c>
      <c r="P149">
        <v>89</v>
      </c>
      <c r="Q149">
        <f>U148+W148</f>
        <v>39.479999999999997</v>
      </c>
      <c r="R149">
        <f>V148+X148</f>
        <v>13.530000000000001</v>
      </c>
      <c r="S149">
        <f>ROUND(IF(lpg_3[[#This Row],[zbiornik LPG]]&gt;15,0,(lpg_3[[#This Row],[km]]/2)*6/100),2)</f>
        <v>2.67</v>
      </c>
      <c r="T149">
        <f>ROUND(IF(lpg_3[[#This Row],[zbiornik LPG]]&gt;15,lpg_3[[#This Row],[km]]*9/100,(lpg_3[[#This Row],[km]]/2)*9/100),2)</f>
        <v>4.01</v>
      </c>
      <c r="U149">
        <f>lpg_3[[#This Row],[zbiornik PB95]]-lpg_3[[#This Row],[zuzycie PB95]]</f>
        <v>36.809999999999995</v>
      </c>
      <c r="V149">
        <f>lpg_3[[#This Row],[zbiornik LPG]]-lpg_3[[#This Row],[zyzucie lpg]]</f>
        <v>9.5200000000000014</v>
      </c>
      <c r="W149">
        <f>IF(lpg_3[[#This Row],[dzien]]=4,IF(lpg_3[[#This Row],[pb po trasie]]&lt;40,45-lpg_3[[#This Row],[pb po trasie]],0),0)</f>
        <v>0</v>
      </c>
      <c r="X149">
        <f>IF(lpg_3[[#This Row],[lpg po trasie]]&lt;5,30-lpg_3[[#This Row],[lpg po trasie]],0)</f>
        <v>0</v>
      </c>
      <c r="Y149">
        <f>WEEKDAY(lpg_3[[#This Row],[data]],2)</f>
        <v>3</v>
      </c>
    </row>
    <row r="150" spans="1:25" x14ac:dyDescent="0.25">
      <c r="A150" s="1">
        <v>41788</v>
      </c>
      <c r="B150">
        <v>43</v>
      </c>
      <c r="C150">
        <f>G149+I149</f>
        <v>36.809999999999995</v>
      </c>
      <c r="D150">
        <f>H149+J149</f>
        <v>9.5200000000000014</v>
      </c>
      <c r="E150">
        <f>ROUND(IF(lpg[[#This Row],[zbiornik LPG]]&gt;15,0,(lpg[[#This Row],[km]]/2)*6/100),2)</f>
        <v>1.29</v>
      </c>
      <c r="F150">
        <f>ROUND(IF(lpg[[#This Row],[zbiornik LPG]]&gt;15,lpg[[#This Row],[km]]*9/100,(lpg[[#This Row],[km]]/2)*9/100),2)</f>
        <v>1.94</v>
      </c>
      <c r="G150">
        <f>lpg[[#This Row],[zbiornik PB95]]-lpg[[#This Row],[zuzycie PB95]]</f>
        <v>35.519999999999996</v>
      </c>
      <c r="H150">
        <f>lpg[[#This Row],[zbiornik LPG]]-lpg[[#This Row],[zyzucie lpg]]</f>
        <v>7.5800000000000018</v>
      </c>
      <c r="I150">
        <f>IF(lpg[[#This Row],[dzien]]=4,IF(lpg[[#This Row],[pb po trasie]]&lt;40,45-lpg[[#This Row],[pb po trasie]],0),0)</f>
        <v>9.480000000000004</v>
      </c>
      <c r="J150">
        <f>IF(lpg[[#This Row],[lpg po trasie]]&lt;5,30-lpg[[#This Row],[lpg po trasie]],0)</f>
        <v>0</v>
      </c>
      <c r="K150">
        <f>WEEKDAY(lpg[[#This Row],[data]],2)</f>
        <v>4</v>
      </c>
      <c r="O150" s="1">
        <v>41788</v>
      </c>
      <c r="P150">
        <v>43</v>
      </c>
      <c r="Q150">
        <f>U149+W149</f>
        <v>36.809999999999995</v>
      </c>
      <c r="R150">
        <f>V149+X149</f>
        <v>9.5200000000000014</v>
      </c>
      <c r="S150">
        <f>ROUND(IF(lpg_3[[#This Row],[zbiornik LPG]]&gt;15,0,(lpg_3[[#This Row],[km]]/2)*6/100),2)</f>
        <v>1.29</v>
      </c>
      <c r="T150">
        <f>ROUND(IF(lpg_3[[#This Row],[zbiornik LPG]]&gt;15,lpg_3[[#This Row],[km]]*9/100,(lpg_3[[#This Row],[km]]/2)*9/100),2)</f>
        <v>1.94</v>
      </c>
      <c r="U150">
        <f>lpg_3[[#This Row],[zbiornik PB95]]-lpg_3[[#This Row],[zuzycie PB95]]</f>
        <v>35.519999999999996</v>
      </c>
      <c r="V150">
        <f>lpg_3[[#This Row],[zbiornik LPG]]-lpg_3[[#This Row],[zyzucie lpg]]</f>
        <v>7.5800000000000018</v>
      </c>
      <c r="W150">
        <f>IF(lpg_3[[#This Row],[dzien]]=4,IF(lpg_3[[#This Row],[pb po trasie]]&lt;40,45-lpg_3[[#This Row],[pb po trasie]],0),0)</f>
        <v>9.480000000000004</v>
      </c>
      <c r="X150">
        <f>IF(lpg_3[[#This Row],[lpg po trasie]]&lt;5,30-lpg_3[[#This Row],[lpg po trasie]],0)</f>
        <v>0</v>
      </c>
      <c r="Y150">
        <f>WEEKDAY(lpg_3[[#This Row],[data]],2)</f>
        <v>4</v>
      </c>
    </row>
    <row r="151" spans="1:25" x14ac:dyDescent="0.25">
      <c r="A151" s="1">
        <v>41789</v>
      </c>
      <c r="B151">
        <v>67</v>
      </c>
      <c r="C151">
        <f>G150+I150</f>
        <v>45</v>
      </c>
      <c r="D151">
        <f>H150+J150</f>
        <v>7.5800000000000018</v>
      </c>
      <c r="E151">
        <f>ROUND(IF(lpg[[#This Row],[zbiornik LPG]]&gt;15,0,(lpg[[#This Row],[km]]/2)*6/100),2)</f>
        <v>2.0099999999999998</v>
      </c>
      <c r="F151">
        <f>ROUND(IF(lpg[[#This Row],[zbiornik LPG]]&gt;15,lpg[[#This Row],[km]]*9/100,(lpg[[#This Row],[km]]/2)*9/100),2)</f>
        <v>3.02</v>
      </c>
      <c r="G151">
        <f>lpg[[#This Row],[zbiornik PB95]]-lpg[[#This Row],[zuzycie PB95]]</f>
        <v>42.99</v>
      </c>
      <c r="H151">
        <f>lpg[[#This Row],[zbiornik LPG]]-lpg[[#This Row],[zyzucie lpg]]</f>
        <v>4.5600000000000023</v>
      </c>
      <c r="I151">
        <f>IF(lpg[[#This Row],[dzien]]=4,IF(lpg[[#This Row],[pb po trasie]]&lt;40,45-lpg[[#This Row],[pb po trasie]],0),0)</f>
        <v>0</v>
      </c>
      <c r="J151">
        <f>IF(lpg[[#This Row],[lpg po trasie]]&lt;5,30-lpg[[#This Row],[lpg po trasie]],0)</f>
        <v>25.439999999999998</v>
      </c>
      <c r="K151">
        <f>WEEKDAY(lpg[[#This Row],[data]],2)</f>
        <v>5</v>
      </c>
      <c r="O151" s="1">
        <v>41789</v>
      </c>
      <c r="P151">
        <v>67</v>
      </c>
      <c r="Q151">
        <f>U150+W150</f>
        <v>45</v>
      </c>
      <c r="R151">
        <f>V150+X150</f>
        <v>7.5800000000000018</v>
      </c>
      <c r="S151">
        <f>ROUND(IF(lpg_3[[#This Row],[zbiornik LPG]]&gt;15,0,(lpg_3[[#This Row],[km]]/2)*6/100),2)</f>
        <v>2.0099999999999998</v>
      </c>
      <c r="T151">
        <f>ROUND(IF(lpg_3[[#This Row],[zbiornik LPG]]&gt;15,lpg_3[[#This Row],[km]]*9/100,(lpg_3[[#This Row],[km]]/2)*9/100),2)</f>
        <v>3.02</v>
      </c>
      <c r="U151">
        <f>lpg_3[[#This Row],[zbiornik PB95]]-lpg_3[[#This Row],[zuzycie PB95]]</f>
        <v>42.99</v>
      </c>
      <c r="V151">
        <f>lpg_3[[#This Row],[zbiornik LPG]]-lpg_3[[#This Row],[zyzucie lpg]]</f>
        <v>4.5600000000000023</v>
      </c>
      <c r="W151">
        <f>IF(lpg_3[[#This Row],[dzien]]=4,IF(lpg_3[[#This Row],[pb po trasie]]&lt;40,45-lpg_3[[#This Row],[pb po trasie]],0),0)</f>
        <v>0</v>
      </c>
      <c r="X151">
        <f>IF(lpg_3[[#This Row],[lpg po trasie]]&lt;5,30-lpg_3[[#This Row],[lpg po trasie]],0)</f>
        <v>25.439999999999998</v>
      </c>
      <c r="Y151">
        <f>WEEKDAY(lpg_3[[#This Row],[data]],2)</f>
        <v>5</v>
      </c>
    </row>
    <row r="152" spans="1:25" x14ac:dyDescent="0.25">
      <c r="A152" s="1">
        <v>41790</v>
      </c>
      <c r="B152">
        <v>122</v>
      </c>
      <c r="C152">
        <f>G151+I151</f>
        <v>42.99</v>
      </c>
      <c r="D152">
        <f>H151+J151</f>
        <v>30</v>
      </c>
      <c r="E152">
        <f>ROUND(IF(lpg[[#This Row],[zbiornik LPG]]&gt;15,0,(lpg[[#This Row],[km]]/2)*6/100),2)</f>
        <v>0</v>
      </c>
      <c r="F152">
        <f>ROUND(IF(lpg[[#This Row],[zbiornik LPG]]&gt;15,lpg[[#This Row],[km]]*9/100,(lpg[[#This Row],[km]]/2)*9/100),2)</f>
        <v>10.98</v>
      </c>
      <c r="G152">
        <f>lpg[[#This Row],[zbiornik PB95]]-lpg[[#This Row],[zuzycie PB95]]</f>
        <v>42.99</v>
      </c>
      <c r="H152">
        <f>lpg[[#This Row],[zbiornik LPG]]-lpg[[#This Row],[zyzucie lpg]]</f>
        <v>19.02</v>
      </c>
      <c r="I152">
        <f>IF(lpg[[#This Row],[dzien]]=4,IF(lpg[[#This Row],[pb po trasie]]&lt;40,45-lpg[[#This Row],[pb po trasie]],0),0)</f>
        <v>0</v>
      </c>
      <c r="J152">
        <f>IF(lpg[[#This Row],[lpg po trasie]]&lt;5,30-lpg[[#This Row],[lpg po trasie]],0)</f>
        <v>0</v>
      </c>
      <c r="K152">
        <f>WEEKDAY(lpg[[#This Row],[data]],2)</f>
        <v>6</v>
      </c>
      <c r="O152" s="1">
        <v>41790</v>
      </c>
      <c r="P152">
        <v>122</v>
      </c>
      <c r="Q152">
        <f>U151+W151</f>
        <v>42.99</v>
      </c>
      <c r="R152">
        <f>V151+X151</f>
        <v>30</v>
      </c>
      <c r="S152">
        <f>ROUND(IF(lpg_3[[#This Row],[zbiornik LPG]]&gt;15,0,(lpg_3[[#This Row],[km]]/2)*6/100),2)</f>
        <v>0</v>
      </c>
      <c r="T152">
        <f>ROUND(IF(lpg_3[[#This Row],[zbiornik LPG]]&gt;15,lpg_3[[#This Row],[km]]*9/100,(lpg_3[[#This Row],[km]]/2)*9/100),2)</f>
        <v>10.98</v>
      </c>
      <c r="U152">
        <f>lpg_3[[#This Row],[zbiornik PB95]]-lpg_3[[#This Row],[zuzycie PB95]]</f>
        <v>42.99</v>
      </c>
      <c r="V152">
        <f>lpg_3[[#This Row],[zbiornik LPG]]-lpg_3[[#This Row],[zyzucie lpg]]</f>
        <v>19.02</v>
      </c>
      <c r="W152">
        <f>IF(lpg_3[[#This Row],[dzien]]=4,IF(lpg_3[[#This Row],[pb po trasie]]&lt;40,45-lpg_3[[#This Row],[pb po trasie]],0),0)</f>
        <v>0</v>
      </c>
      <c r="X152">
        <f>IF(lpg_3[[#This Row],[lpg po trasie]]&lt;5,30-lpg_3[[#This Row],[lpg po trasie]],0)</f>
        <v>0</v>
      </c>
      <c r="Y152">
        <f>WEEKDAY(lpg_3[[#This Row],[data]],2)</f>
        <v>6</v>
      </c>
    </row>
    <row r="153" spans="1:25" x14ac:dyDescent="0.25">
      <c r="A153" s="1">
        <v>41791</v>
      </c>
      <c r="B153">
        <v>100</v>
      </c>
      <c r="C153">
        <f>G152+I152</f>
        <v>42.99</v>
      </c>
      <c r="D153">
        <f>H152+J152</f>
        <v>19.02</v>
      </c>
      <c r="E153">
        <f>ROUND(IF(lpg[[#This Row],[zbiornik LPG]]&gt;15,0,(lpg[[#This Row],[km]]/2)*6/100),2)</f>
        <v>0</v>
      </c>
      <c r="F153">
        <f>ROUND(IF(lpg[[#This Row],[zbiornik LPG]]&gt;15,lpg[[#This Row],[km]]*9/100,(lpg[[#This Row],[km]]/2)*9/100),2)</f>
        <v>9</v>
      </c>
      <c r="G153">
        <f>lpg[[#This Row],[zbiornik PB95]]-lpg[[#This Row],[zuzycie PB95]]</f>
        <v>42.99</v>
      </c>
      <c r="H153">
        <f>lpg[[#This Row],[zbiornik LPG]]-lpg[[#This Row],[zyzucie lpg]]</f>
        <v>10.02</v>
      </c>
      <c r="I153">
        <f>IF(lpg[[#This Row],[dzien]]=4,IF(lpg[[#This Row],[pb po trasie]]&lt;40,45-lpg[[#This Row],[pb po trasie]],0),0)</f>
        <v>0</v>
      </c>
      <c r="J153">
        <f>IF(lpg[[#This Row],[lpg po trasie]]&lt;5,30-lpg[[#This Row],[lpg po trasie]],0)</f>
        <v>0</v>
      </c>
      <c r="K153">
        <f>WEEKDAY(lpg[[#This Row],[data]],2)</f>
        <v>7</v>
      </c>
      <c r="O153" s="1">
        <v>41791</v>
      </c>
      <c r="P153">
        <v>100</v>
      </c>
      <c r="Q153">
        <f>U152+W152</f>
        <v>42.99</v>
      </c>
      <c r="R153">
        <f>V152+X152</f>
        <v>19.02</v>
      </c>
      <c r="S153">
        <f>ROUND(IF(lpg_3[[#This Row],[zbiornik LPG]]&gt;15,0,(lpg_3[[#This Row],[km]]/2)*6/100),2)</f>
        <v>0</v>
      </c>
      <c r="T153">
        <f>ROUND(IF(lpg_3[[#This Row],[zbiornik LPG]]&gt;15,lpg_3[[#This Row],[km]]*9/100,(lpg_3[[#This Row],[km]]/2)*9/100),2)</f>
        <v>9</v>
      </c>
      <c r="U153">
        <f>lpg_3[[#This Row],[zbiornik PB95]]-lpg_3[[#This Row],[zuzycie PB95]]</f>
        <v>42.99</v>
      </c>
      <c r="V153">
        <f>lpg_3[[#This Row],[zbiornik LPG]]-lpg_3[[#This Row],[zyzucie lpg]]</f>
        <v>10.02</v>
      </c>
      <c r="W153">
        <f>IF(lpg_3[[#This Row],[dzien]]=4,IF(lpg_3[[#This Row],[pb po trasie]]&lt;40,45-lpg_3[[#This Row],[pb po trasie]],0),0)</f>
        <v>0</v>
      </c>
      <c r="X153">
        <f>IF(lpg_3[[#This Row],[lpg po trasie]]&lt;5,30-lpg_3[[#This Row],[lpg po trasie]],0)</f>
        <v>0</v>
      </c>
      <c r="Y153">
        <f>WEEKDAY(lpg_3[[#This Row],[data]],2)</f>
        <v>7</v>
      </c>
    </row>
    <row r="154" spans="1:25" x14ac:dyDescent="0.25">
      <c r="A154" s="1">
        <v>41792</v>
      </c>
      <c r="B154">
        <v>145</v>
      </c>
      <c r="C154">
        <f>G153+I153</f>
        <v>42.99</v>
      </c>
      <c r="D154">
        <f>H153+J153</f>
        <v>10.02</v>
      </c>
      <c r="E154">
        <f>ROUND(IF(lpg[[#This Row],[zbiornik LPG]]&gt;15,0,(lpg[[#This Row],[km]]/2)*6/100),2)</f>
        <v>4.3499999999999996</v>
      </c>
      <c r="F154">
        <f>ROUND(IF(lpg[[#This Row],[zbiornik LPG]]&gt;15,lpg[[#This Row],[km]]*9/100,(lpg[[#This Row],[km]]/2)*9/100),2)</f>
        <v>6.53</v>
      </c>
      <c r="G154">
        <f>lpg[[#This Row],[zbiornik PB95]]-lpg[[#This Row],[zuzycie PB95]]</f>
        <v>38.64</v>
      </c>
      <c r="H154">
        <f>lpg[[#This Row],[zbiornik LPG]]-lpg[[#This Row],[zyzucie lpg]]</f>
        <v>3.4899999999999993</v>
      </c>
      <c r="I154">
        <f>IF(lpg[[#This Row],[dzien]]=4,IF(lpg[[#This Row],[pb po trasie]]&lt;40,45-lpg[[#This Row],[pb po trasie]],0),0)</f>
        <v>0</v>
      </c>
      <c r="J154">
        <f>IF(lpg[[#This Row],[lpg po trasie]]&lt;5,30-lpg[[#This Row],[lpg po trasie]],0)</f>
        <v>26.51</v>
      </c>
      <c r="K154">
        <f>WEEKDAY(lpg[[#This Row],[data]],2)</f>
        <v>1</v>
      </c>
      <c r="O154" s="1">
        <v>41792</v>
      </c>
      <c r="P154">
        <v>145</v>
      </c>
      <c r="Q154">
        <f>U153+W153</f>
        <v>42.99</v>
      </c>
      <c r="R154">
        <f>V153+X153</f>
        <v>10.02</v>
      </c>
      <c r="S154">
        <f>ROUND(IF(lpg_3[[#This Row],[zbiornik LPG]]&gt;15,0,(lpg_3[[#This Row],[km]]/2)*6/100),2)</f>
        <v>4.3499999999999996</v>
      </c>
      <c r="T154">
        <f>ROUND(IF(lpg_3[[#This Row],[zbiornik LPG]]&gt;15,lpg_3[[#This Row],[km]]*9/100,(lpg_3[[#This Row],[km]]/2)*9/100),2)</f>
        <v>6.53</v>
      </c>
      <c r="U154">
        <f>lpg_3[[#This Row],[zbiornik PB95]]-lpg_3[[#This Row],[zuzycie PB95]]</f>
        <v>38.64</v>
      </c>
      <c r="V154">
        <f>lpg_3[[#This Row],[zbiornik LPG]]-lpg_3[[#This Row],[zyzucie lpg]]</f>
        <v>3.4899999999999993</v>
      </c>
      <c r="W154">
        <f>IF(lpg_3[[#This Row],[dzien]]=4,IF(lpg_3[[#This Row],[pb po trasie]]&lt;40,45-lpg_3[[#This Row],[pb po trasie]],0),0)</f>
        <v>0</v>
      </c>
      <c r="X154">
        <f>IF(lpg_3[[#This Row],[lpg po trasie]]&lt;5,30-lpg_3[[#This Row],[lpg po trasie]],0)</f>
        <v>26.51</v>
      </c>
      <c r="Y154">
        <f>WEEKDAY(lpg_3[[#This Row],[data]],2)</f>
        <v>1</v>
      </c>
    </row>
    <row r="155" spans="1:25" x14ac:dyDescent="0.25">
      <c r="A155" s="1">
        <v>41793</v>
      </c>
      <c r="B155">
        <v>36</v>
      </c>
      <c r="C155">
        <f>G154+I154</f>
        <v>38.64</v>
      </c>
      <c r="D155">
        <f>H154+J154</f>
        <v>30</v>
      </c>
      <c r="E155">
        <f>ROUND(IF(lpg[[#This Row],[zbiornik LPG]]&gt;15,0,(lpg[[#This Row],[km]]/2)*6/100),2)</f>
        <v>0</v>
      </c>
      <c r="F155">
        <f>ROUND(IF(lpg[[#This Row],[zbiornik LPG]]&gt;15,lpg[[#This Row],[km]]*9/100,(lpg[[#This Row],[km]]/2)*9/100),2)</f>
        <v>3.24</v>
      </c>
      <c r="G155">
        <f>lpg[[#This Row],[zbiornik PB95]]-lpg[[#This Row],[zuzycie PB95]]</f>
        <v>38.64</v>
      </c>
      <c r="H155">
        <f>lpg[[#This Row],[zbiornik LPG]]-lpg[[#This Row],[zyzucie lpg]]</f>
        <v>26.759999999999998</v>
      </c>
      <c r="I155">
        <f>IF(lpg[[#This Row],[dzien]]=4,IF(lpg[[#This Row],[pb po trasie]]&lt;40,45-lpg[[#This Row],[pb po trasie]],0),0)</f>
        <v>0</v>
      </c>
      <c r="J155">
        <f>IF(lpg[[#This Row],[lpg po trasie]]&lt;5,30-lpg[[#This Row],[lpg po trasie]],0)</f>
        <v>0</v>
      </c>
      <c r="K155">
        <f>WEEKDAY(lpg[[#This Row],[data]],2)</f>
        <v>2</v>
      </c>
      <c r="O155" s="1">
        <v>41793</v>
      </c>
      <c r="P155">
        <v>36</v>
      </c>
      <c r="Q155">
        <f>U154+W154</f>
        <v>38.64</v>
      </c>
      <c r="R155">
        <f>V154+X154</f>
        <v>30</v>
      </c>
      <c r="S155">
        <f>ROUND(IF(lpg_3[[#This Row],[zbiornik LPG]]&gt;15,0,(lpg_3[[#This Row],[km]]/2)*6/100),2)</f>
        <v>0</v>
      </c>
      <c r="T155">
        <f>ROUND(IF(lpg_3[[#This Row],[zbiornik LPG]]&gt;15,lpg_3[[#This Row],[km]]*9/100,(lpg_3[[#This Row],[km]]/2)*9/100),2)</f>
        <v>3.24</v>
      </c>
      <c r="U155">
        <f>lpg_3[[#This Row],[zbiornik PB95]]-lpg_3[[#This Row],[zuzycie PB95]]</f>
        <v>38.64</v>
      </c>
      <c r="V155">
        <f>lpg_3[[#This Row],[zbiornik LPG]]-lpg_3[[#This Row],[zyzucie lpg]]</f>
        <v>26.759999999999998</v>
      </c>
      <c r="W155">
        <f>IF(lpg_3[[#This Row],[dzien]]=4,IF(lpg_3[[#This Row],[pb po trasie]]&lt;40,45-lpg_3[[#This Row],[pb po trasie]],0),0)</f>
        <v>0</v>
      </c>
      <c r="X155">
        <f>IF(lpg_3[[#This Row],[lpg po trasie]]&lt;5,30-lpg_3[[#This Row],[lpg po trasie]],0)</f>
        <v>0</v>
      </c>
      <c r="Y155">
        <f>WEEKDAY(lpg_3[[#This Row],[data]],2)</f>
        <v>2</v>
      </c>
    </row>
    <row r="156" spans="1:25" x14ac:dyDescent="0.25">
      <c r="A156" s="1">
        <v>41794</v>
      </c>
      <c r="B156">
        <v>75</v>
      </c>
      <c r="C156">
        <f>G155+I155</f>
        <v>38.64</v>
      </c>
      <c r="D156">
        <f>H155+J155</f>
        <v>26.759999999999998</v>
      </c>
      <c r="E156">
        <f>ROUND(IF(lpg[[#This Row],[zbiornik LPG]]&gt;15,0,(lpg[[#This Row],[km]]/2)*6/100),2)</f>
        <v>0</v>
      </c>
      <c r="F156">
        <f>ROUND(IF(lpg[[#This Row],[zbiornik LPG]]&gt;15,lpg[[#This Row],[km]]*9/100,(lpg[[#This Row],[km]]/2)*9/100),2)</f>
        <v>6.75</v>
      </c>
      <c r="G156">
        <f>lpg[[#This Row],[zbiornik PB95]]-lpg[[#This Row],[zuzycie PB95]]</f>
        <v>38.64</v>
      </c>
      <c r="H156">
        <f>lpg[[#This Row],[zbiornik LPG]]-lpg[[#This Row],[zyzucie lpg]]</f>
        <v>20.009999999999998</v>
      </c>
      <c r="I156">
        <f>IF(lpg[[#This Row],[dzien]]=4,IF(lpg[[#This Row],[pb po trasie]]&lt;40,45-lpg[[#This Row],[pb po trasie]],0),0)</f>
        <v>0</v>
      </c>
      <c r="J156">
        <f>IF(lpg[[#This Row],[lpg po trasie]]&lt;5,30-lpg[[#This Row],[lpg po trasie]],0)</f>
        <v>0</v>
      </c>
      <c r="K156">
        <f>WEEKDAY(lpg[[#This Row],[data]],2)</f>
        <v>3</v>
      </c>
      <c r="O156" s="1">
        <v>41794</v>
      </c>
      <c r="P156">
        <v>75</v>
      </c>
      <c r="Q156">
        <f>U155+W155</f>
        <v>38.64</v>
      </c>
      <c r="R156">
        <f>V155+X155</f>
        <v>26.759999999999998</v>
      </c>
      <c r="S156">
        <f>ROUND(IF(lpg_3[[#This Row],[zbiornik LPG]]&gt;15,0,(lpg_3[[#This Row],[km]]/2)*6/100),2)</f>
        <v>0</v>
      </c>
      <c r="T156">
        <f>ROUND(IF(lpg_3[[#This Row],[zbiornik LPG]]&gt;15,lpg_3[[#This Row],[km]]*9/100,(lpg_3[[#This Row],[km]]/2)*9/100),2)</f>
        <v>6.75</v>
      </c>
      <c r="U156">
        <f>lpg_3[[#This Row],[zbiornik PB95]]-lpg_3[[#This Row],[zuzycie PB95]]</f>
        <v>38.64</v>
      </c>
      <c r="V156">
        <f>lpg_3[[#This Row],[zbiornik LPG]]-lpg_3[[#This Row],[zyzucie lpg]]</f>
        <v>20.009999999999998</v>
      </c>
      <c r="W156">
        <f>IF(lpg_3[[#This Row],[dzien]]=4,IF(lpg_3[[#This Row],[pb po trasie]]&lt;40,45-lpg_3[[#This Row],[pb po trasie]],0),0)</f>
        <v>0</v>
      </c>
      <c r="X156">
        <f>IF(lpg_3[[#This Row],[lpg po trasie]]&lt;5,30-lpg_3[[#This Row],[lpg po trasie]],0)</f>
        <v>0</v>
      </c>
      <c r="Y156">
        <f>WEEKDAY(lpg_3[[#This Row],[data]],2)</f>
        <v>3</v>
      </c>
    </row>
    <row r="157" spans="1:25" x14ac:dyDescent="0.25">
      <c r="A157" s="1">
        <v>41795</v>
      </c>
      <c r="B157">
        <v>132</v>
      </c>
      <c r="C157">
        <f>G156+I156</f>
        <v>38.64</v>
      </c>
      <c r="D157">
        <f>H156+J156</f>
        <v>20.009999999999998</v>
      </c>
      <c r="E157">
        <f>ROUND(IF(lpg[[#This Row],[zbiornik LPG]]&gt;15,0,(lpg[[#This Row],[km]]/2)*6/100),2)</f>
        <v>0</v>
      </c>
      <c r="F157">
        <f>ROUND(IF(lpg[[#This Row],[zbiornik LPG]]&gt;15,lpg[[#This Row],[km]]*9/100,(lpg[[#This Row],[km]]/2)*9/100),2)</f>
        <v>11.88</v>
      </c>
      <c r="G157">
        <f>lpg[[#This Row],[zbiornik PB95]]-lpg[[#This Row],[zuzycie PB95]]</f>
        <v>38.64</v>
      </c>
      <c r="H157">
        <f>lpg[[#This Row],[zbiornik LPG]]-lpg[[#This Row],[zyzucie lpg]]</f>
        <v>8.1299999999999972</v>
      </c>
      <c r="I157">
        <f>IF(lpg[[#This Row],[dzien]]=4,IF(lpg[[#This Row],[pb po trasie]]&lt;40,45-lpg[[#This Row],[pb po trasie]],0),0)</f>
        <v>6.3599999999999994</v>
      </c>
      <c r="J157">
        <f>IF(lpg[[#This Row],[lpg po trasie]]&lt;5,30-lpg[[#This Row],[lpg po trasie]],0)</f>
        <v>0</v>
      </c>
      <c r="K157">
        <f>WEEKDAY(lpg[[#This Row],[data]],2)</f>
        <v>4</v>
      </c>
      <c r="O157" s="1">
        <v>41795</v>
      </c>
      <c r="P157">
        <v>132</v>
      </c>
      <c r="Q157">
        <f>U156+W156</f>
        <v>38.64</v>
      </c>
      <c r="R157">
        <f>V156+X156</f>
        <v>20.009999999999998</v>
      </c>
      <c r="S157">
        <f>ROUND(IF(lpg_3[[#This Row],[zbiornik LPG]]&gt;15,0,(lpg_3[[#This Row],[km]]/2)*6/100),2)</f>
        <v>0</v>
      </c>
      <c r="T157">
        <f>ROUND(IF(lpg_3[[#This Row],[zbiornik LPG]]&gt;15,lpg_3[[#This Row],[km]]*9/100,(lpg_3[[#This Row],[km]]/2)*9/100),2)</f>
        <v>11.88</v>
      </c>
      <c r="U157">
        <f>lpg_3[[#This Row],[zbiornik PB95]]-lpg_3[[#This Row],[zuzycie PB95]]</f>
        <v>38.64</v>
      </c>
      <c r="V157">
        <f>lpg_3[[#This Row],[zbiornik LPG]]-lpg_3[[#This Row],[zyzucie lpg]]</f>
        <v>8.1299999999999972</v>
      </c>
      <c r="W157">
        <f>IF(lpg_3[[#This Row],[dzien]]=4,IF(lpg_3[[#This Row],[pb po trasie]]&lt;40,45-lpg_3[[#This Row],[pb po trasie]],0),0)</f>
        <v>6.3599999999999994</v>
      </c>
      <c r="X157">
        <f>IF(lpg_3[[#This Row],[lpg po trasie]]&lt;5,30-lpg_3[[#This Row],[lpg po trasie]],0)</f>
        <v>0</v>
      </c>
      <c r="Y157">
        <f>WEEKDAY(lpg_3[[#This Row],[data]],2)</f>
        <v>4</v>
      </c>
    </row>
    <row r="158" spans="1:25" x14ac:dyDescent="0.25">
      <c r="A158" s="1">
        <v>41796</v>
      </c>
      <c r="B158">
        <v>51</v>
      </c>
      <c r="C158">
        <f>G157+I157</f>
        <v>45</v>
      </c>
      <c r="D158">
        <f>H157+J157</f>
        <v>8.1299999999999972</v>
      </c>
      <c r="E158">
        <f>ROUND(IF(lpg[[#This Row],[zbiornik LPG]]&gt;15,0,(lpg[[#This Row],[km]]/2)*6/100),2)</f>
        <v>1.53</v>
      </c>
      <c r="F158">
        <f>ROUND(IF(lpg[[#This Row],[zbiornik LPG]]&gt;15,lpg[[#This Row],[km]]*9/100,(lpg[[#This Row],[km]]/2)*9/100),2)</f>
        <v>2.2999999999999998</v>
      </c>
      <c r="G158">
        <f>lpg[[#This Row],[zbiornik PB95]]-lpg[[#This Row],[zuzycie PB95]]</f>
        <v>43.47</v>
      </c>
      <c r="H158">
        <f>lpg[[#This Row],[zbiornik LPG]]-lpg[[#This Row],[zyzucie lpg]]</f>
        <v>5.8299999999999974</v>
      </c>
      <c r="I158">
        <f>IF(lpg[[#This Row],[dzien]]=4,IF(lpg[[#This Row],[pb po trasie]]&lt;40,45-lpg[[#This Row],[pb po trasie]],0),0)</f>
        <v>0</v>
      </c>
      <c r="J158">
        <f>IF(lpg[[#This Row],[lpg po trasie]]&lt;5,30-lpg[[#This Row],[lpg po trasie]],0)</f>
        <v>0</v>
      </c>
      <c r="K158">
        <f>WEEKDAY(lpg[[#This Row],[data]],2)</f>
        <v>5</v>
      </c>
      <c r="O158" s="1">
        <v>41796</v>
      </c>
      <c r="P158">
        <v>51</v>
      </c>
      <c r="Q158">
        <f>U157+W157</f>
        <v>45</v>
      </c>
      <c r="R158">
        <f>V157+X157</f>
        <v>8.1299999999999972</v>
      </c>
      <c r="S158">
        <f>ROUND(IF(lpg_3[[#This Row],[zbiornik LPG]]&gt;15,0,(lpg_3[[#This Row],[km]]/2)*6/100),2)</f>
        <v>1.53</v>
      </c>
      <c r="T158">
        <f>ROUND(IF(lpg_3[[#This Row],[zbiornik LPG]]&gt;15,lpg_3[[#This Row],[km]]*9/100,(lpg_3[[#This Row],[km]]/2)*9/100),2)</f>
        <v>2.2999999999999998</v>
      </c>
      <c r="U158">
        <f>lpg_3[[#This Row],[zbiornik PB95]]-lpg_3[[#This Row],[zuzycie PB95]]</f>
        <v>43.47</v>
      </c>
      <c r="V158">
        <f>lpg_3[[#This Row],[zbiornik LPG]]-lpg_3[[#This Row],[zyzucie lpg]]</f>
        <v>5.8299999999999974</v>
      </c>
      <c r="W158">
        <f>IF(lpg_3[[#This Row],[dzien]]=4,IF(lpg_3[[#This Row],[pb po trasie]]&lt;40,45-lpg_3[[#This Row],[pb po trasie]],0),0)</f>
        <v>0</v>
      </c>
      <c r="X158">
        <f>IF(lpg_3[[#This Row],[lpg po trasie]]&lt;5,30-lpg_3[[#This Row],[lpg po trasie]],0)</f>
        <v>0</v>
      </c>
      <c r="Y158">
        <f>WEEKDAY(lpg_3[[#This Row],[data]],2)</f>
        <v>5</v>
      </c>
    </row>
    <row r="159" spans="1:25" x14ac:dyDescent="0.25">
      <c r="A159" s="1">
        <v>41797</v>
      </c>
      <c r="B159">
        <v>32</v>
      </c>
      <c r="C159">
        <f>G158+I158</f>
        <v>43.47</v>
      </c>
      <c r="D159">
        <f>H158+J158</f>
        <v>5.8299999999999974</v>
      </c>
      <c r="E159">
        <f>ROUND(IF(lpg[[#This Row],[zbiornik LPG]]&gt;15,0,(lpg[[#This Row],[km]]/2)*6/100),2)</f>
        <v>0.96</v>
      </c>
      <c r="F159">
        <f>ROUND(IF(lpg[[#This Row],[zbiornik LPG]]&gt;15,lpg[[#This Row],[km]]*9/100,(lpg[[#This Row],[km]]/2)*9/100),2)</f>
        <v>1.44</v>
      </c>
      <c r="G159">
        <f>lpg[[#This Row],[zbiornik PB95]]-lpg[[#This Row],[zuzycie PB95]]</f>
        <v>42.51</v>
      </c>
      <c r="H159">
        <f>lpg[[#This Row],[zbiornik LPG]]-lpg[[#This Row],[zyzucie lpg]]</f>
        <v>4.389999999999997</v>
      </c>
      <c r="I159">
        <f>IF(lpg[[#This Row],[dzien]]=4,IF(lpg[[#This Row],[pb po trasie]]&lt;40,45-lpg[[#This Row],[pb po trasie]],0),0)</f>
        <v>0</v>
      </c>
      <c r="J159">
        <f>IF(lpg[[#This Row],[lpg po trasie]]&lt;5,30-lpg[[#This Row],[lpg po trasie]],0)</f>
        <v>25.610000000000003</v>
      </c>
      <c r="K159">
        <f>WEEKDAY(lpg[[#This Row],[data]],2)</f>
        <v>6</v>
      </c>
      <c r="O159" s="1">
        <v>41797</v>
      </c>
      <c r="P159">
        <v>32</v>
      </c>
      <c r="Q159">
        <f>U158+W158</f>
        <v>43.47</v>
      </c>
      <c r="R159">
        <f>V158+X158</f>
        <v>5.8299999999999974</v>
      </c>
      <c r="S159">
        <f>ROUND(IF(lpg_3[[#This Row],[zbiornik LPG]]&gt;15,0,(lpg_3[[#This Row],[km]]/2)*6/100),2)</f>
        <v>0.96</v>
      </c>
      <c r="T159">
        <f>ROUND(IF(lpg_3[[#This Row],[zbiornik LPG]]&gt;15,lpg_3[[#This Row],[km]]*9/100,(lpg_3[[#This Row],[km]]/2)*9/100),2)</f>
        <v>1.44</v>
      </c>
      <c r="U159">
        <f>lpg_3[[#This Row],[zbiornik PB95]]-lpg_3[[#This Row],[zuzycie PB95]]</f>
        <v>42.51</v>
      </c>
      <c r="V159">
        <f>lpg_3[[#This Row],[zbiornik LPG]]-lpg_3[[#This Row],[zyzucie lpg]]</f>
        <v>4.389999999999997</v>
      </c>
      <c r="W159">
        <f>IF(lpg_3[[#This Row],[dzien]]=4,IF(lpg_3[[#This Row],[pb po trasie]]&lt;40,45-lpg_3[[#This Row],[pb po trasie]],0),0)</f>
        <v>0</v>
      </c>
      <c r="X159">
        <f>IF(lpg_3[[#This Row],[lpg po trasie]]&lt;5,30-lpg_3[[#This Row],[lpg po trasie]],0)</f>
        <v>25.610000000000003</v>
      </c>
      <c r="Y159">
        <f>WEEKDAY(lpg_3[[#This Row],[data]],2)</f>
        <v>6</v>
      </c>
    </row>
    <row r="160" spans="1:25" x14ac:dyDescent="0.25">
      <c r="A160" s="1">
        <v>41798</v>
      </c>
      <c r="B160">
        <v>130</v>
      </c>
      <c r="C160">
        <f>G159+I159</f>
        <v>42.51</v>
      </c>
      <c r="D160">
        <f>H159+J159</f>
        <v>30</v>
      </c>
      <c r="E160">
        <f>ROUND(IF(lpg[[#This Row],[zbiornik LPG]]&gt;15,0,(lpg[[#This Row],[km]]/2)*6/100),2)</f>
        <v>0</v>
      </c>
      <c r="F160">
        <f>ROUND(IF(lpg[[#This Row],[zbiornik LPG]]&gt;15,lpg[[#This Row],[km]]*9/100,(lpg[[#This Row],[km]]/2)*9/100),2)</f>
        <v>11.7</v>
      </c>
      <c r="G160">
        <f>lpg[[#This Row],[zbiornik PB95]]-lpg[[#This Row],[zuzycie PB95]]</f>
        <v>42.51</v>
      </c>
      <c r="H160">
        <f>lpg[[#This Row],[zbiornik LPG]]-lpg[[#This Row],[zyzucie lpg]]</f>
        <v>18.3</v>
      </c>
      <c r="I160">
        <f>IF(lpg[[#This Row],[dzien]]=4,IF(lpg[[#This Row],[pb po trasie]]&lt;40,45-lpg[[#This Row],[pb po trasie]],0),0)</f>
        <v>0</v>
      </c>
      <c r="J160">
        <f>IF(lpg[[#This Row],[lpg po trasie]]&lt;5,30-lpg[[#This Row],[lpg po trasie]],0)</f>
        <v>0</v>
      </c>
      <c r="K160">
        <f>WEEKDAY(lpg[[#This Row],[data]],2)</f>
        <v>7</v>
      </c>
      <c r="O160" s="1">
        <v>41798</v>
      </c>
      <c r="P160">
        <v>130</v>
      </c>
      <c r="Q160">
        <f>U159+W159</f>
        <v>42.51</v>
      </c>
      <c r="R160">
        <f>V159+X159</f>
        <v>30</v>
      </c>
      <c r="S160">
        <f>ROUND(IF(lpg_3[[#This Row],[zbiornik LPG]]&gt;15,0,(lpg_3[[#This Row],[km]]/2)*6/100),2)</f>
        <v>0</v>
      </c>
      <c r="T160">
        <f>ROUND(IF(lpg_3[[#This Row],[zbiornik LPG]]&gt;15,lpg_3[[#This Row],[km]]*9/100,(lpg_3[[#This Row],[km]]/2)*9/100),2)</f>
        <v>11.7</v>
      </c>
      <c r="U160">
        <f>lpg_3[[#This Row],[zbiornik PB95]]-lpg_3[[#This Row],[zuzycie PB95]]</f>
        <v>42.51</v>
      </c>
      <c r="V160">
        <f>lpg_3[[#This Row],[zbiornik LPG]]-lpg_3[[#This Row],[zyzucie lpg]]</f>
        <v>18.3</v>
      </c>
      <c r="W160">
        <f>IF(lpg_3[[#This Row],[dzien]]=4,IF(lpg_3[[#This Row],[pb po trasie]]&lt;40,45-lpg_3[[#This Row],[pb po trasie]],0),0)</f>
        <v>0</v>
      </c>
      <c r="X160">
        <f>IF(lpg_3[[#This Row],[lpg po trasie]]&lt;5,30-lpg_3[[#This Row],[lpg po trasie]],0)</f>
        <v>0</v>
      </c>
      <c r="Y160">
        <f>WEEKDAY(lpg_3[[#This Row],[data]],2)</f>
        <v>7</v>
      </c>
    </row>
    <row r="161" spans="1:25" x14ac:dyDescent="0.25">
      <c r="A161" s="1">
        <v>41799</v>
      </c>
      <c r="B161">
        <v>25</v>
      </c>
      <c r="C161">
        <f>G160+I160</f>
        <v>42.51</v>
      </c>
      <c r="D161">
        <f>H160+J160</f>
        <v>18.3</v>
      </c>
      <c r="E161">
        <f>ROUND(IF(lpg[[#This Row],[zbiornik LPG]]&gt;15,0,(lpg[[#This Row],[km]]/2)*6/100),2)</f>
        <v>0</v>
      </c>
      <c r="F161">
        <f>ROUND(IF(lpg[[#This Row],[zbiornik LPG]]&gt;15,lpg[[#This Row],[km]]*9/100,(lpg[[#This Row],[km]]/2)*9/100),2)</f>
        <v>2.25</v>
      </c>
      <c r="G161">
        <f>lpg[[#This Row],[zbiornik PB95]]-lpg[[#This Row],[zuzycie PB95]]</f>
        <v>42.51</v>
      </c>
      <c r="H161">
        <f>lpg[[#This Row],[zbiornik LPG]]-lpg[[#This Row],[zyzucie lpg]]</f>
        <v>16.05</v>
      </c>
      <c r="I161">
        <f>IF(lpg[[#This Row],[dzien]]=4,IF(lpg[[#This Row],[pb po trasie]]&lt;40,45-lpg[[#This Row],[pb po trasie]],0),0)</f>
        <v>0</v>
      </c>
      <c r="J161">
        <f>IF(lpg[[#This Row],[lpg po trasie]]&lt;5,30-lpg[[#This Row],[lpg po trasie]],0)</f>
        <v>0</v>
      </c>
      <c r="K161">
        <f>WEEKDAY(lpg[[#This Row],[data]],2)</f>
        <v>1</v>
      </c>
      <c r="O161" s="1">
        <v>41799</v>
      </c>
      <c r="P161">
        <v>25</v>
      </c>
      <c r="Q161">
        <f>U160+W160</f>
        <v>42.51</v>
      </c>
      <c r="R161">
        <f>V160+X160</f>
        <v>18.3</v>
      </c>
      <c r="S161">
        <f>ROUND(IF(lpg_3[[#This Row],[zbiornik LPG]]&gt;15,0,(lpg_3[[#This Row],[km]]/2)*6/100),2)</f>
        <v>0</v>
      </c>
      <c r="T161">
        <f>ROUND(IF(lpg_3[[#This Row],[zbiornik LPG]]&gt;15,lpg_3[[#This Row],[km]]*9/100,(lpg_3[[#This Row],[km]]/2)*9/100),2)</f>
        <v>2.25</v>
      </c>
      <c r="U161">
        <f>lpg_3[[#This Row],[zbiornik PB95]]-lpg_3[[#This Row],[zuzycie PB95]]</f>
        <v>42.51</v>
      </c>
      <c r="V161">
        <f>lpg_3[[#This Row],[zbiornik LPG]]-lpg_3[[#This Row],[zyzucie lpg]]</f>
        <v>16.05</v>
      </c>
      <c r="W161">
        <f>IF(lpg_3[[#This Row],[dzien]]=4,IF(lpg_3[[#This Row],[pb po trasie]]&lt;40,45-lpg_3[[#This Row],[pb po trasie]],0),0)</f>
        <v>0</v>
      </c>
      <c r="X161">
        <f>IF(lpg_3[[#This Row],[lpg po trasie]]&lt;5,30-lpg_3[[#This Row],[lpg po trasie]],0)</f>
        <v>0</v>
      </c>
      <c r="Y161">
        <f>WEEKDAY(lpg_3[[#This Row],[data]],2)</f>
        <v>1</v>
      </c>
    </row>
    <row r="162" spans="1:25" x14ac:dyDescent="0.25">
      <c r="A162" s="1">
        <v>41800</v>
      </c>
      <c r="B162">
        <v>60</v>
      </c>
      <c r="C162">
        <f>G161+I161</f>
        <v>42.51</v>
      </c>
      <c r="D162">
        <f>H161+J161</f>
        <v>16.05</v>
      </c>
      <c r="E162">
        <f>ROUND(IF(lpg[[#This Row],[zbiornik LPG]]&gt;15,0,(lpg[[#This Row],[km]]/2)*6/100),2)</f>
        <v>0</v>
      </c>
      <c r="F162">
        <f>ROUND(IF(lpg[[#This Row],[zbiornik LPG]]&gt;15,lpg[[#This Row],[km]]*9/100,(lpg[[#This Row],[km]]/2)*9/100),2)</f>
        <v>5.4</v>
      </c>
      <c r="G162">
        <f>lpg[[#This Row],[zbiornik PB95]]-lpg[[#This Row],[zuzycie PB95]]</f>
        <v>42.51</v>
      </c>
      <c r="H162">
        <f>lpg[[#This Row],[zbiornik LPG]]-lpg[[#This Row],[zyzucie lpg]]</f>
        <v>10.65</v>
      </c>
      <c r="I162">
        <f>IF(lpg[[#This Row],[dzien]]=4,IF(lpg[[#This Row],[pb po trasie]]&lt;40,45-lpg[[#This Row],[pb po trasie]],0),0)</f>
        <v>0</v>
      </c>
      <c r="J162">
        <f>IF(lpg[[#This Row],[lpg po trasie]]&lt;5,30-lpg[[#This Row],[lpg po trasie]],0)</f>
        <v>0</v>
      </c>
      <c r="K162">
        <f>WEEKDAY(lpg[[#This Row],[data]],2)</f>
        <v>2</v>
      </c>
      <c r="O162" s="1">
        <v>41800</v>
      </c>
      <c r="P162">
        <v>60</v>
      </c>
      <c r="Q162">
        <f>U161+W161</f>
        <v>42.51</v>
      </c>
      <c r="R162">
        <f>V161+X161</f>
        <v>16.05</v>
      </c>
      <c r="S162">
        <f>ROUND(IF(lpg_3[[#This Row],[zbiornik LPG]]&gt;15,0,(lpg_3[[#This Row],[km]]/2)*6/100),2)</f>
        <v>0</v>
      </c>
      <c r="T162">
        <f>ROUND(IF(lpg_3[[#This Row],[zbiornik LPG]]&gt;15,lpg_3[[#This Row],[km]]*9/100,(lpg_3[[#This Row],[km]]/2)*9/100),2)</f>
        <v>5.4</v>
      </c>
      <c r="U162">
        <f>lpg_3[[#This Row],[zbiornik PB95]]-lpg_3[[#This Row],[zuzycie PB95]]</f>
        <v>42.51</v>
      </c>
      <c r="V162">
        <f>lpg_3[[#This Row],[zbiornik LPG]]-lpg_3[[#This Row],[zyzucie lpg]]</f>
        <v>10.65</v>
      </c>
      <c r="W162">
        <f>IF(lpg_3[[#This Row],[dzien]]=4,IF(lpg_3[[#This Row],[pb po trasie]]&lt;40,45-lpg_3[[#This Row],[pb po trasie]],0),0)</f>
        <v>0</v>
      </c>
      <c r="X162">
        <f>IF(lpg_3[[#This Row],[lpg po trasie]]&lt;5,30-lpg_3[[#This Row],[lpg po trasie]],0)</f>
        <v>0</v>
      </c>
      <c r="Y162">
        <f>WEEKDAY(lpg_3[[#This Row],[data]],2)</f>
        <v>2</v>
      </c>
    </row>
    <row r="163" spans="1:25" x14ac:dyDescent="0.25">
      <c r="A163" s="1">
        <v>41801</v>
      </c>
      <c r="B163">
        <v>104</v>
      </c>
      <c r="C163">
        <f>G162+I162</f>
        <v>42.51</v>
      </c>
      <c r="D163">
        <f>H162+J162</f>
        <v>10.65</v>
      </c>
      <c r="E163">
        <f>ROUND(IF(lpg[[#This Row],[zbiornik LPG]]&gt;15,0,(lpg[[#This Row],[km]]/2)*6/100),2)</f>
        <v>3.12</v>
      </c>
      <c r="F163">
        <f>ROUND(IF(lpg[[#This Row],[zbiornik LPG]]&gt;15,lpg[[#This Row],[km]]*9/100,(lpg[[#This Row],[km]]/2)*9/100),2)</f>
        <v>4.68</v>
      </c>
      <c r="G163">
        <f>lpg[[#This Row],[zbiornik PB95]]-lpg[[#This Row],[zuzycie PB95]]</f>
        <v>39.39</v>
      </c>
      <c r="H163">
        <f>lpg[[#This Row],[zbiornik LPG]]-lpg[[#This Row],[zyzucie lpg]]</f>
        <v>5.9700000000000006</v>
      </c>
      <c r="I163">
        <f>IF(lpg[[#This Row],[dzien]]=4,IF(lpg[[#This Row],[pb po trasie]]&lt;40,45-lpg[[#This Row],[pb po trasie]],0),0)</f>
        <v>0</v>
      </c>
      <c r="J163">
        <f>IF(lpg[[#This Row],[lpg po trasie]]&lt;5,30-lpg[[#This Row],[lpg po trasie]],0)</f>
        <v>0</v>
      </c>
      <c r="K163">
        <f>WEEKDAY(lpg[[#This Row],[data]],2)</f>
        <v>3</v>
      </c>
      <c r="O163" s="1">
        <v>41801</v>
      </c>
      <c r="P163">
        <v>104</v>
      </c>
      <c r="Q163">
        <f>U162+W162</f>
        <v>42.51</v>
      </c>
      <c r="R163">
        <f>V162+X162</f>
        <v>10.65</v>
      </c>
      <c r="S163">
        <f>ROUND(IF(lpg_3[[#This Row],[zbiornik LPG]]&gt;15,0,(lpg_3[[#This Row],[km]]/2)*6/100),2)</f>
        <v>3.12</v>
      </c>
      <c r="T163">
        <f>ROUND(IF(lpg_3[[#This Row],[zbiornik LPG]]&gt;15,lpg_3[[#This Row],[km]]*9/100,(lpg_3[[#This Row],[km]]/2)*9/100),2)</f>
        <v>4.68</v>
      </c>
      <c r="U163">
        <f>lpg_3[[#This Row],[zbiornik PB95]]-lpg_3[[#This Row],[zuzycie PB95]]</f>
        <v>39.39</v>
      </c>
      <c r="V163">
        <f>lpg_3[[#This Row],[zbiornik LPG]]-lpg_3[[#This Row],[zyzucie lpg]]</f>
        <v>5.9700000000000006</v>
      </c>
      <c r="W163">
        <f>IF(lpg_3[[#This Row],[dzien]]=4,IF(lpg_3[[#This Row],[pb po trasie]]&lt;40,45-lpg_3[[#This Row],[pb po trasie]],0),0)</f>
        <v>0</v>
      </c>
      <c r="X163">
        <f>IF(lpg_3[[#This Row],[lpg po trasie]]&lt;5,30-lpg_3[[#This Row],[lpg po trasie]],0)</f>
        <v>0</v>
      </c>
      <c r="Y163">
        <f>WEEKDAY(lpg_3[[#This Row],[data]],2)</f>
        <v>3</v>
      </c>
    </row>
    <row r="164" spans="1:25" x14ac:dyDescent="0.25">
      <c r="A164" s="1">
        <v>41802</v>
      </c>
      <c r="B164">
        <v>118</v>
      </c>
      <c r="C164">
        <f>G163+I163</f>
        <v>39.39</v>
      </c>
      <c r="D164">
        <f>H163+J163</f>
        <v>5.9700000000000006</v>
      </c>
      <c r="E164">
        <f>ROUND(IF(lpg[[#This Row],[zbiornik LPG]]&gt;15,0,(lpg[[#This Row],[km]]/2)*6/100),2)</f>
        <v>3.54</v>
      </c>
      <c r="F164">
        <f>ROUND(IF(lpg[[#This Row],[zbiornik LPG]]&gt;15,lpg[[#This Row],[km]]*9/100,(lpg[[#This Row],[km]]/2)*9/100),2)</f>
        <v>5.31</v>
      </c>
      <c r="G164">
        <f>lpg[[#This Row],[zbiornik PB95]]-lpg[[#This Row],[zuzycie PB95]]</f>
        <v>35.85</v>
      </c>
      <c r="H164">
        <f>lpg[[#This Row],[zbiornik LPG]]-lpg[[#This Row],[zyzucie lpg]]</f>
        <v>0.66000000000000103</v>
      </c>
      <c r="I164">
        <f>IF(lpg[[#This Row],[dzien]]=4,IF(lpg[[#This Row],[pb po trasie]]&lt;40,45-lpg[[#This Row],[pb po trasie]],0),0)</f>
        <v>9.1499999999999986</v>
      </c>
      <c r="J164">
        <f>IF(lpg[[#This Row],[lpg po trasie]]&lt;5,30-lpg[[#This Row],[lpg po trasie]],0)</f>
        <v>29.34</v>
      </c>
      <c r="K164">
        <f>WEEKDAY(lpg[[#This Row],[data]],2)</f>
        <v>4</v>
      </c>
      <c r="O164" s="1">
        <v>41802</v>
      </c>
      <c r="P164">
        <v>118</v>
      </c>
      <c r="Q164">
        <f>U163+W163</f>
        <v>39.39</v>
      </c>
      <c r="R164">
        <f>V163+X163</f>
        <v>5.9700000000000006</v>
      </c>
      <c r="S164">
        <f>ROUND(IF(lpg_3[[#This Row],[zbiornik LPG]]&gt;15,0,(lpg_3[[#This Row],[km]]/2)*6/100),2)</f>
        <v>3.54</v>
      </c>
      <c r="T164">
        <f>ROUND(IF(lpg_3[[#This Row],[zbiornik LPG]]&gt;15,lpg_3[[#This Row],[km]]*9/100,(lpg_3[[#This Row],[km]]/2)*9/100),2)</f>
        <v>5.31</v>
      </c>
      <c r="U164">
        <f>lpg_3[[#This Row],[zbiornik PB95]]-lpg_3[[#This Row],[zuzycie PB95]]</f>
        <v>35.85</v>
      </c>
      <c r="V164">
        <f>lpg_3[[#This Row],[zbiornik LPG]]-lpg_3[[#This Row],[zyzucie lpg]]</f>
        <v>0.66000000000000103</v>
      </c>
      <c r="W164">
        <f>IF(lpg_3[[#This Row],[dzien]]=4,IF(lpg_3[[#This Row],[pb po trasie]]&lt;40,45-lpg_3[[#This Row],[pb po trasie]],0),0)</f>
        <v>9.1499999999999986</v>
      </c>
      <c r="X164">
        <f>IF(lpg_3[[#This Row],[lpg po trasie]]&lt;5,30-lpg_3[[#This Row],[lpg po trasie]],0)</f>
        <v>29.34</v>
      </c>
      <c r="Y164">
        <f>WEEKDAY(lpg_3[[#This Row],[data]],2)</f>
        <v>4</v>
      </c>
    </row>
    <row r="165" spans="1:25" x14ac:dyDescent="0.25">
      <c r="A165" s="1">
        <v>41803</v>
      </c>
      <c r="B165">
        <v>35</v>
      </c>
      <c r="C165">
        <f>G164+I164</f>
        <v>45</v>
      </c>
      <c r="D165">
        <f>H164+J164</f>
        <v>30</v>
      </c>
      <c r="E165">
        <f>ROUND(IF(lpg[[#This Row],[zbiornik LPG]]&gt;15,0,(lpg[[#This Row],[km]]/2)*6/100),2)</f>
        <v>0</v>
      </c>
      <c r="F165">
        <f>ROUND(IF(lpg[[#This Row],[zbiornik LPG]]&gt;15,lpg[[#This Row],[km]]*9/100,(lpg[[#This Row],[km]]/2)*9/100),2)</f>
        <v>3.15</v>
      </c>
      <c r="G165">
        <f>lpg[[#This Row],[zbiornik PB95]]-lpg[[#This Row],[zuzycie PB95]]</f>
        <v>45</v>
      </c>
      <c r="H165">
        <f>lpg[[#This Row],[zbiornik LPG]]-lpg[[#This Row],[zyzucie lpg]]</f>
        <v>26.85</v>
      </c>
      <c r="I165">
        <f>IF(lpg[[#This Row],[dzien]]=4,IF(lpg[[#This Row],[pb po trasie]]&lt;40,45-lpg[[#This Row],[pb po trasie]],0),0)</f>
        <v>0</v>
      </c>
      <c r="J165">
        <f>IF(lpg[[#This Row],[lpg po trasie]]&lt;5,30-lpg[[#This Row],[lpg po trasie]],0)</f>
        <v>0</v>
      </c>
      <c r="K165">
        <f>WEEKDAY(lpg[[#This Row],[data]],2)</f>
        <v>5</v>
      </c>
      <c r="O165" s="1">
        <v>41803</v>
      </c>
      <c r="P165">
        <v>35</v>
      </c>
      <c r="Q165">
        <f>U164+W164</f>
        <v>45</v>
      </c>
      <c r="R165">
        <f>V164+X164</f>
        <v>30</v>
      </c>
      <c r="S165">
        <f>ROUND(IF(lpg_3[[#This Row],[zbiornik LPG]]&gt;15,0,(lpg_3[[#This Row],[km]]/2)*6/100),2)</f>
        <v>0</v>
      </c>
      <c r="T165">
        <f>ROUND(IF(lpg_3[[#This Row],[zbiornik LPG]]&gt;15,lpg_3[[#This Row],[km]]*9/100,(lpg_3[[#This Row],[km]]/2)*9/100),2)</f>
        <v>3.15</v>
      </c>
      <c r="U165">
        <f>lpg_3[[#This Row],[zbiornik PB95]]-lpg_3[[#This Row],[zuzycie PB95]]</f>
        <v>45</v>
      </c>
      <c r="V165">
        <f>lpg_3[[#This Row],[zbiornik LPG]]-lpg_3[[#This Row],[zyzucie lpg]]</f>
        <v>26.85</v>
      </c>
      <c r="W165">
        <f>IF(lpg_3[[#This Row],[dzien]]=4,IF(lpg_3[[#This Row],[pb po trasie]]&lt;40,45-lpg_3[[#This Row],[pb po trasie]],0),0)</f>
        <v>0</v>
      </c>
      <c r="X165">
        <f>IF(lpg_3[[#This Row],[lpg po trasie]]&lt;5,30-lpg_3[[#This Row],[lpg po trasie]],0)</f>
        <v>0</v>
      </c>
      <c r="Y165">
        <f>WEEKDAY(lpg_3[[#This Row],[data]],2)</f>
        <v>5</v>
      </c>
    </row>
    <row r="166" spans="1:25" x14ac:dyDescent="0.25">
      <c r="A166" s="1">
        <v>41804</v>
      </c>
      <c r="B166">
        <v>96</v>
      </c>
      <c r="C166">
        <f>G165+I165</f>
        <v>45</v>
      </c>
      <c r="D166">
        <f>H165+J165</f>
        <v>26.85</v>
      </c>
      <c r="E166">
        <f>ROUND(IF(lpg[[#This Row],[zbiornik LPG]]&gt;15,0,(lpg[[#This Row],[km]]/2)*6/100),2)</f>
        <v>0</v>
      </c>
      <c r="F166">
        <f>ROUND(IF(lpg[[#This Row],[zbiornik LPG]]&gt;15,lpg[[#This Row],[km]]*9/100,(lpg[[#This Row],[km]]/2)*9/100),2)</f>
        <v>8.64</v>
      </c>
      <c r="G166">
        <f>lpg[[#This Row],[zbiornik PB95]]-lpg[[#This Row],[zuzycie PB95]]</f>
        <v>45</v>
      </c>
      <c r="H166">
        <f>lpg[[#This Row],[zbiornik LPG]]-lpg[[#This Row],[zyzucie lpg]]</f>
        <v>18.21</v>
      </c>
      <c r="I166">
        <f>IF(lpg[[#This Row],[dzien]]=4,IF(lpg[[#This Row],[pb po trasie]]&lt;40,45-lpg[[#This Row],[pb po trasie]],0),0)</f>
        <v>0</v>
      </c>
      <c r="J166">
        <f>IF(lpg[[#This Row],[lpg po trasie]]&lt;5,30-lpg[[#This Row],[lpg po trasie]],0)</f>
        <v>0</v>
      </c>
      <c r="K166">
        <f>WEEKDAY(lpg[[#This Row],[data]],2)</f>
        <v>6</v>
      </c>
      <c r="O166" s="1">
        <v>41804</v>
      </c>
      <c r="P166">
        <v>96</v>
      </c>
      <c r="Q166">
        <f>U165+W165</f>
        <v>45</v>
      </c>
      <c r="R166">
        <f>V165+X165</f>
        <v>26.85</v>
      </c>
      <c r="S166">
        <f>ROUND(IF(lpg_3[[#This Row],[zbiornik LPG]]&gt;15,0,(lpg_3[[#This Row],[km]]/2)*6/100),2)</f>
        <v>0</v>
      </c>
      <c r="T166">
        <f>ROUND(IF(lpg_3[[#This Row],[zbiornik LPG]]&gt;15,lpg_3[[#This Row],[km]]*9/100,(lpg_3[[#This Row],[km]]/2)*9/100),2)</f>
        <v>8.64</v>
      </c>
      <c r="U166">
        <f>lpg_3[[#This Row],[zbiornik PB95]]-lpg_3[[#This Row],[zuzycie PB95]]</f>
        <v>45</v>
      </c>
      <c r="V166">
        <f>lpg_3[[#This Row],[zbiornik LPG]]-lpg_3[[#This Row],[zyzucie lpg]]</f>
        <v>18.21</v>
      </c>
      <c r="W166">
        <f>IF(lpg_3[[#This Row],[dzien]]=4,IF(lpg_3[[#This Row],[pb po trasie]]&lt;40,45-lpg_3[[#This Row],[pb po trasie]],0),0)</f>
        <v>0</v>
      </c>
      <c r="X166">
        <f>IF(lpg_3[[#This Row],[lpg po trasie]]&lt;5,30-lpg_3[[#This Row],[lpg po trasie]],0)</f>
        <v>0</v>
      </c>
      <c r="Y166">
        <f>WEEKDAY(lpg_3[[#This Row],[data]],2)</f>
        <v>6</v>
      </c>
    </row>
    <row r="167" spans="1:25" x14ac:dyDescent="0.25">
      <c r="A167" s="1">
        <v>41805</v>
      </c>
      <c r="B167">
        <v>23</v>
      </c>
      <c r="C167">
        <f>G166+I166</f>
        <v>45</v>
      </c>
      <c r="D167">
        <f>H166+J166</f>
        <v>18.21</v>
      </c>
      <c r="E167">
        <f>ROUND(IF(lpg[[#This Row],[zbiornik LPG]]&gt;15,0,(lpg[[#This Row],[km]]/2)*6/100),2)</f>
        <v>0</v>
      </c>
      <c r="F167">
        <f>ROUND(IF(lpg[[#This Row],[zbiornik LPG]]&gt;15,lpg[[#This Row],[km]]*9/100,(lpg[[#This Row],[km]]/2)*9/100),2)</f>
        <v>2.0699999999999998</v>
      </c>
      <c r="G167">
        <f>lpg[[#This Row],[zbiornik PB95]]-lpg[[#This Row],[zuzycie PB95]]</f>
        <v>45</v>
      </c>
      <c r="H167">
        <f>lpg[[#This Row],[zbiornik LPG]]-lpg[[#This Row],[zyzucie lpg]]</f>
        <v>16.14</v>
      </c>
      <c r="I167">
        <f>IF(lpg[[#This Row],[dzien]]=4,IF(lpg[[#This Row],[pb po trasie]]&lt;40,45-lpg[[#This Row],[pb po trasie]],0),0)</f>
        <v>0</v>
      </c>
      <c r="J167">
        <f>IF(lpg[[#This Row],[lpg po trasie]]&lt;5,30-lpg[[#This Row],[lpg po trasie]],0)</f>
        <v>0</v>
      </c>
      <c r="K167">
        <f>WEEKDAY(lpg[[#This Row],[data]],2)</f>
        <v>7</v>
      </c>
      <c r="O167" s="1">
        <v>41805</v>
      </c>
      <c r="P167">
        <v>23</v>
      </c>
      <c r="Q167">
        <f>U166+W166</f>
        <v>45</v>
      </c>
      <c r="R167">
        <f>V166+X166</f>
        <v>18.21</v>
      </c>
      <c r="S167">
        <f>ROUND(IF(lpg_3[[#This Row],[zbiornik LPG]]&gt;15,0,(lpg_3[[#This Row],[km]]/2)*6/100),2)</f>
        <v>0</v>
      </c>
      <c r="T167">
        <f>ROUND(IF(lpg_3[[#This Row],[zbiornik LPG]]&gt;15,lpg_3[[#This Row],[km]]*9/100,(lpg_3[[#This Row],[km]]/2)*9/100),2)</f>
        <v>2.0699999999999998</v>
      </c>
      <c r="U167">
        <f>lpg_3[[#This Row],[zbiornik PB95]]-lpg_3[[#This Row],[zuzycie PB95]]</f>
        <v>45</v>
      </c>
      <c r="V167">
        <f>lpg_3[[#This Row],[zbiornik LPG]]-lpg_3[[#This Row],[zyzucie lpg]]</f>
        <v>16.14</v>
      </c>
      <c r="W167">
        <f>IF(lpg_3[[#This Row],[dzien]]=4,IF(lpg_3[[#This Row],[pb po trasie]]&lt;40,45-lpg_3[[#This Row],[pb po trasie]],0),0)</f>
        <v>0</v>
      </c>
      <c r="X167">
        <f>IF(lpg_3[[#This Row],[lpg po trasie]]&lt;5,30-lpg_3[[#This Row],[lpg po trasie]],0)</f>
        <v>0</v>
      </c>
      <c r="Y167">
        <f>WEEKDAY(lpg_3[[#This Row],[data]],2)</f>
        <v>7</v>
      </c>
    </row>
    <row r="168" spans="1:25" x14ac:dyDescent="0.25">
      <c r="A168" s="1">
        <v>41806</v>
      </c>
      <c r="B168">
        <v>109</v>
      </c>
      <c r="C168">
        <f>G167+I167</f>
        <v>45</v>
      </c>
      <c r="D168">
        <f>H167+J167</f>
        <v>16.14</v>
      </c>
      <c r="E168">
        <f>ROUND(IF(lpg[[#This Row],[zbiornik LPG]]&gt;15,0,(lpg[[#This Row],[km]]/2)*6/100),2)</f>
        <v>0</v>
      </c>
      <c r="F168">
        <f>ROUND(IF(lpg[[#This Row],[zbiornik LPG]]&gt;15,lpg[[#This Row],[km]]*9/100,(lpg[[#This Row],[km]]/2)*9/100),2)</f>
        <v>9.81</v>
      </c>
      <c r="G168">
        <f>lpg[[#This Row],[zbiornik PB95]]-lpg[[#This Row],[zuzycie PB95]]</f>
        <v>45</v>
      </c>
      <c r="H168">
        <f>lpg[[#This Row],[zbiornik LPG]]-lpg[[#This Row],[zyzucie lpg]]</f>
        <v>6.33</v>
      </c>
      <c r="I168">
        <f>IF(lpg[[#This Row],[dzien]]=4,IF(lpg[[#This Row],[pb po trasie]]&lt;40,45-lpg[[#This Row],[pb po trasie]],0),0)</f>
        <v>0</v>
      </c>
      <c r="J168">
        <f>IF(lpg[[#This Row],[lpg po trasie]]&lt;5,30-lpg[[#This Row],[lpg po trasie]],0)</f>
        <v>0</v>
      </c>
      <c r="K168">
        <f>WEEKDAY(lpg[[#This Row],[data]],2)</f>
        <v>1</v>
      </c>
      <c r="O168" s="1">
        <v>41806</v>
      </c>
      <c r="P168">
        <v>109</v>
      </c>
      <c r="Q168">
        <f>U167+W167</f>
        <v>45</v>
      </c>
      <c r="R168">
        <f>V167+X167</f>
        <v>16.14</v>
      </c>
      <c r="S168">
        <f>ROUND(IF(lpg_3[[#This Row],[zbiornik LPG]]&gt;15,0,(lpg_3[[#This Row],[km]]/2)*6/100),2)</f>
        <v>0</v>
      </c>
      <c r="T168">
        <f>ROUND(IF(lpg_3[[#This Row],[zbiornik LPG]]&gt;15,lpg_3[[#This Row],[km]]*9/100,(lpg_3[[#This Row],[km]]/2)*9/100),2)</f>
        <v>9.81</v>
      </c>
      <c r="U168">
        <f>lpg_3[[#This Row],[zbiornik PB95]]-lpg_3[[#This Row],[zuzycie PB95]]</f>
        <v>45</v>
      </c>
      <c r="V168">
        <f>lpg_3[[#This Row],[zbiornik LPG]]-lpg_3[[#This Row],[zyzucie lpg]]</f>
        <v>6.33</v>
      </c>
      <c r="W168">
        <f>IF(lpg_3[[#This Row],[dzien]]=4,IF(lpg_3[[#This Row],[pb po trasie]]&lt;40,45-lpg_3[[#This Row],[pb po trasie]],0),0)</f>
        <v>0</v>
      </c>
      <c r="X168">
        <f>IF(lpg_3[[#This Row],[lpg po trasie]]&lt;5,30-lpg_3[[#This Row],[lpg po trasie]],0)</f>
        <v>0</v>
      </c>
      <c r="Y168">
        <f>WEEKDAY(lpg_3[[#This Row],[data]],2)</f>
        <v>1</v>
      </c>
    </row>
    <row r="169" spans="1:25" x14ac:dyDescent="0.25">
      <c r="A169" s="1">
        <v>41807</v>
      </c>
      <c r="B169">
        <v>39</v>
      </c>
      <c r="C169">
        <f>G168+I168</f>
        <v>45</v>
      </c>
      <c r="D169">
        <f>H168+J168</f>
        <v>6.33</v>
      </c>
      <c r="E169">
        <f>ROUND(IF(lpg[[#This Row],[zbiornik LPG]]&gt;15,0,(lpg[[#This Row],[km]]/2)*6/100),2)</f>
        <v>1.17</v>
      </c>
      <c r="F169">
        <f>ROUND(IF(lpg[[#This Row],[zbiornik LPG]]&gt;15,lpg[[#This Row],[km]]*9/100,(lpg[[#This Row],[km]]/2)*9/100),2)</f>
        <v>1.76</v>
      </c>
      <c r="G169">
        <f>lpg[[#This Row],[zbiornik PB95]]-lpg[[#This Row],[zuzycie PB95]]</f>
        <v>43.83</v>
      </c>
      <c r="H169">
        <f>lpg[[#This Row],[zbiornik LPG]]-lpg[[#This Row],[zyzucie lpg]]</f>
        <v>4.57</v>
      </c>
      <c r="I169">
        <f>IF(lpg[[#This Row],[dzien]]=4,IF(lpg[[#This Row],[pb po trasie]]&lt;40,45-lpg[[#This Row],[pb po trasie]],0),0)</f>
        <v>0</v>
      </c>
      <c r="J169">
        <f>IF(lpg[[#This Row],[lpg po trasie]]&lt;5,30-lpg[[#This Row],[lpg po trasie]],0)</f>
        <v>25.43</v>
      </c>
      <c r="K169">
        <f>WEEKDAY(lpg[[#This Row],[data]],2)</f>
        <v>2</v>
      </c>
      <c r="O169" s="1">
        <v>41807</v>
      </c>
      <c r="P169">
        <v>39</v>
      </c>
      <c r="Q169">
        <f>U168+W168</f>
        <v>45</v>
      </c>
      <c r="R169">
        <f>V168+X168</f>
        <v>6.33</v>
      </c>
      <c r="S169">
        <f>ROUND(IF(lpg_3[[#This Row],[zbiornik LPG]]&gt;15,0,(lpg_3[[#This Row],[km]]/2)*6/100),2)</f>
        <v>1.17</v>
      </c>
      <c r="T169">
        <f>ROUND(IF(lpg_3[[#This Row],[zbiornik LPG]]&gt;15,lpg_3[[#This Row],[km]]*9/100,(lpg_3[[#This Row],[km]]/2)*9/100),2)</f>
        <v>1.76</v>
      </c>
      <c r="U169">
        <f>lpg_3[[#This Row],[zbiornik PB95]]-lpg_3[[#This Row],[zuzycie PB95]]</f>
        <v>43.83</v>
      </c>
      <c r="V169">
        <f>lpg_3[[#This Row],[zbiornik LPG]]-lpg_3[[#This Row],[zyzucie lpg]]</f>
        <v>4.57</v>
      </c>
      <c r="W169">
        <f>IF(lpg_3[[#This Row],[dzien]]=4,IF(lpg_3[[#This Row],[pb po trasie]]&lt;40,45-lpg_3[[#This Row],[pb po trasie]],0),0)</f>
        <v>0</v>
      </c>
      <c r="X169">
        <f>IF(lpg_3[[#This Row],[lpg po trasie]]&lt;5,30-lpg_3[[#This Row],[lpg po trasie]],0)</f>
        <v>25.43</v>
      </c>
      <c r="Y169">
        <f>WEEKDAY(lpg_3[[#This Row],[data]],2)</f>
        <v>2</v>
      </c>
    </row>
    <row r="170" spans="1:25" x14ac:dyDescent="0.25">
      <c r="A170" s="1">
        <v>41808</v>
      </c>
      <c r="B170">
        <v>136</v>
      </c>
      <c r="C170">
        <f>G169+I169</f>
        <v>43.83</v>
      </c>
      <c r="D170">
        <f>H169+J169</f>
        <v>30</v>
      </c>
      <c r="E170">
        <f>ROUND(IF(lpg[[#This Row],[zbiornik LPG]]&gt;15,0,(lpg[[#This Row],[km]]/2)*6/100),2)</f>
        <v>0</v>
      </c>
      <c r="F170">
        <f>ROUND(IF(lpg[[#This Row],[zbiornik LPG]]&gt;15,lpg[[#This Row],[km]]*9/100,(lpg[[#This Row],[km]]/2)*9/100),2)</f>
        <v>12.24</v>
      </c>
      <c r="G170">
        <f>lpg[[#This Row],[zbiornik PB95]]-lpg[[#This Row],[zuzycie PB95]]</f>
        <v>43.83</v>
      </c>
      <c r="H170">
        <f>lpg[[#This Row],[zbiornik LPG]]-lpg[[#This Row],[zyzucie lpg]]</f>
        <v>17.759999999999998</v>
      </c>
      <c r="I170">
        <f>IF(lpg[[#This Row],[dzien]]=4,IF(lpg[[#This Row],[pb po trasie]]&lt;40,45-lpg[[#This Row],[pb po trasie]],0),0)</f>
        <v>0</v>
      </c>
      <c r="J170">
        <f>IF(lpg[[#This Row],[lpg po trasie]]&lt;5,30-lpg[[#This Row],[lpg po trasie]],0)</f>
        <v>0</v>
      </c>
      <c r="K170">
        <f>WEEKDAY(lpg[[#This Row],[data]],2)</f>
        <v>3</v>
      </c>
      <c r="O170" s="1">
        <v>41808</v>
      </c>
      <c r="P170">
        <v>136</v>
      </c>
      <c r="Q170">
        <f>U169+W169</f>
        <v>43.83</v>
      </c>
      <c r="R170">
        <f>V169+X169</f>
        <v>30</v>
      </c>
      <c r="S170">
        <f>ROUND(IF(lpg_3[[#This Row],[zbiornik LPG]]&gt;15,0,(lpg_3[[#This Row],[km]]/2)*6/100),2)</f>
        <v>0</v>
      </c>
      <c r="T170">
        <f>ROUND(IF(lpg_3[[#This Row],[zbiornik LPG]]&gt;15,lpg_3[[#This Row],[km]]*9/100,(lpg_3[[#This Row],[km]]/2)*9/100),2)</f>
        <v>12.24</v>
      </c>
      <c r="U170">
        <f>lpg_3[[#This Row],[zbiornik PB95]]-lpg_3[[#This Row],[zuzycie PB95]]</f>
        <v>43.83</v>
      </c>
      <c r="V170">
        <f>lpg_3[[#This Row],[zbiornik LPG]]-lpg_3[[#This Row],[zyzucie lpg]]</f>
        <v>17.759999999999998</v>
      </c>
      <c r="W170">
        <f>IF(lpg_3[[#This Row],[dzien]]=4,IF(lpg_3[[#This Row],[pb po trasie]]&lt;40,45-lpg_3[[#This Row],[pb po trasie]],0),0)</f>
        <v>0</v>
      </c>
      <c r="X170">
        <f>IF(lpg_3[[#This Row],[lpg po trasie]]&lt;5,30-lpg_3[[#This Row],[lpg po trasie]],0)</f>
        <v>0</v>
      </c>
      <c r="Y170">
        <f>WEEKDAY(lpg_3[[#This Row],[data]],2)</f>
        <v>3</v>
      </c>
    </row>
    <row r="171" spans="1:25" x14ac:dyDescent="0.25">
      <c r="A171" s="1">
        <v>41809</v>
      </c>
      <c r="B171">
        <v>132</v>
      </c>
      <c r="C171">
        <f>G170+I170</f>
        <v>43.83</v>
      </c>
      <c r="D171">
        <f>H170+J170</f>
        <v>17.759999999999998</v>
      </c>
      <c r="E171">
        <f>ROUND(IF(lpg[[#This Row],[zbiornik LPG]]&gt;15,0,(lpg[[#This Row],[km]]/2)*6/100),2)</f>
        <v>0</v>
      </c>
      <c r="F171">
        <f>ROUND(IF(lpg[[#This Row],[zbiornik LPG]]&gt;15,lpg[[#This Row],[km]]*9/100,(lpg[[#This Row],[km]]/2)*9/100),2)</f>
        <v>11.88</v>
      </c>
      <c r="G171">
        <f>lpg[[#This Row],[zbiornik PB95]]-lpg[[#This Row],[zuzycie PB95]]</f>
        <v>43.83</v>
      </c>
      <c r="H171">
        <f>lpg[[#This Row],[zbiornik LPG]]-lpg[[#This Row],[zyzucie lpg]]</f>
        <v>5.8799999999999972</v>
      </c>
      <c r="I171">
        <f>IF(lpg[[#This Row],[dzien]]=4,IF(lpg[[#This Row],[pb po trasie]]&lt;40,45-lpg[[#This Row],[pb po trasie]],0),0)</f>
        <v>0</v>
      </c>
      <c r="J171">
        <f>IF(lpg[[#This Row],[lpg po trasie]]&lt;5,30-lpg[[#This Row],[lpg po trasie]],0)</f>
        <v>0</v>
      </c>
      <c r="K171">
        <f>WEEKDAY(lpg[[#This Row],[data]],2)</f>
        <v>4</v>
      </c>
      <c r="O171" s="1">
        <v>41809</v>
      </c>
      <c r="P171">
        <v>132</v>
      </c>
      <c r="Q171">
        <f>U170+W170</f>
        <v>43.83</v>
      </c>
      <c r="R171">
        <f>V170+X170</f>
        <v>17.759999999999998</v>
      </c>
      <c r="S171">
        <f>ROUND(IF(lpg_3[[#This Row],[zbiornik LPG]]&gt;15,0,(lpg_3[[#This Row],[km]]/2)*6/100),2)</f>
        <v>0</v>
      </c>
      <c r="T171">
        <f>ROUND(IF(lpg_3[[#This Row],[zbiornik LPG]]&gt;15,lpg_3[[#This Row],[km]]*9/100,(lpg_3[[#This Row],[km]]/2)*9/100),2)</f>
        <v>11.88</v>
      </c>
      <c r="U171">
        <f>lpg_3[[#This Row],[zbiornik PB95]]-lpg_3[[#This Row],[zuzycie PB95]]</f>
        <v>43.83</v>
      </c>
      <c r="V171">
        <f>lpg_3[[#This Row],[zbiornik LPG]]-lpg_3[[#This Row],[zyzucie lpg]]</f>
        <v>5.8799999999999972</v>
      </c>
      <c r="W171">
        <f>IF(lpg_3[[#This Row],[dzien]]=4,IF(lpg_3[[#This Row],[pb po trasie]]&lt;40,45-lpg_3[[#This Row],[pb po trasie]],0),0)</f>
        <v>0</v>
      </c>
      <c r="X171">
        <f>IF(lpg_3[[#This Row],[lpg po trasie]]&lt;5,30-lpg_3[[#This Row],[lpg po trasie]],0)</f>
        <v>0</v>
      </c>
      <c r="Y171">
        <f>WEEKDAY(lpg_3[[#This Row],[data]],2)</f>
        <v>4</v>
      </c>
    </row>
    <row r="172" spans="1:25" x14ac:dyDescent="0.25">
      <c r="A172" s="1">
        <v>41810</v>
      </c>
      <c r="B172">
        <v>92</v>
      </c>
      <c r="C172">
        <f>G171+I171</f>
        <v>43.83</v>
      </c>
      <c r="D172">
        <f>H171+J171</f>
        <v>5.8799999999999972</v>
      </c>
      <c r="E172">
        <f>ROUND(IF(lpg[[#This Row],[zbiornik LPG]]&gt;15,0,(lpg[[#This Row],[km]]/2)*6/100),2)</f>
        <v>2.76</v>
      </c>
      <c r="F172">
        <f>ROUND(IF(lpg[[#This Row],[zbiornik LPG]]&gt;15,lpg[[#This Row],[km]]*9/100,(lpg[[#This Row],[km]]/2)*9/100),2)</f>
        <v>4.1399999999999997</v>
      </c>
      <c r="G172">
        <f>lpg[[#This Row],[zbiornik PB95]]-lpg[[#This Row],[zuzycie PB95]]</f>
        <v>41.07</v>
      </c>
      <c r="H172">
        <f>lpg[[#This Row],[zbiornik LPG]]-lpg[[#This Row],[zyzucie lpg]]</f>
        <v>1.7399999999999975</v>
      </c>
      <c r="I172">
        <f>IF(lpg[[#This Row],[dzien]]=4,IF(lpg[[#This Row],[pb po trasie]]&lt;40,45-lpg[[#This Row],[pb po trasie]],0),0)</f>
        <v>0</v>
      </c>
      <c r="J172">
        <f>IF(lpg[[#This Row],[lpg po trasie]]&lt;5,30-lpg[[#This Row],[lpg po trasie]],0)</f>
        <v>28.26</v>
      </c>
      <c r="K172">
        <f>WEEKDAY(lpg[[#This Row],[data]],2)</f>
        <v>5</v>
      </c>
      <c r="O172" s="1">
        <v>41810</v>
      </c>
      <c r="P172">
        <v>92</v>
      </c>
      <c r="Q172">
        <f>U171+W171</f>
        <v>43.83</v>
      </c>
      <c r="R172">
        <f>V171+X171</f>
        <v>5.8799999999999972</v>
      </c>
      <c r="S172">
        <f>ROUND(IF(lpg_3[[#This Row],[zbiornik LPG]]&gt;15,0,(lpg_3[[#This Row],[km]]/2)*6/100),2)</f>
        <v>2.76</v>
      </c>
      <c r="T172">
        <f>ROUND(IF(lpg_3[[#This Row],[zbiornik LPG]]&gt;15,lpg_3[[#This Row],[km]]*9/100,(lpg_3[[#This Row],[km]]/2)*9/100),2)</f>
        <v>4.1399999999999997</v>
      </c>
      <c r="U172">
        <f>lpg_3[[#This Row],[zbiornik PB95]]-lpg_3[[#This Row],[zuzycie PB95]]</f>
        <v>41.07</v>
      </c>
      <c r="V172">
        <f>lpg_3[[#This Row],[zbiornik LPG]]-lpg_3[[#This Row],[zyzucie lpg]]</f>
        <v>1.7399999999999975</v>
      </c>
      <c r="W172">
        <f>IF(lpg_3[[#This Row],[dzien]]=4,IF(lpg_3[[#This Row],[pb po trasie]]&lt;40,45-lpg_3[[#This Row],[pb po trasie]],0),0)</f>
        <v>0</v>
      </c>
      <c r="X172">
        <f>IF(lpg_3[[#This Row],[lpg po trasie]]&lt;5,30-lpg_3[[#This Row],[lpg po trasie]],0)</f>
        <v>28.26</v>
      </c>
      <c r="Y172">
        <f>WEEKDAY(lpg_3[[#This Row],[data]],2)</f>
        <v>5</v>
      </c>
    </row>
    <row r="173" spans="1:25" x14ac:dyDescent="0.25">
      <c r="A173" s="1">
        <v>41811</v>
      </c>
      <c r="B173">
        <v>49</v>
      </c>
      <c r="C173">
        <f>G172+I172</f>
        <v>41.07</v>
      </c>
      <c r="D173">
        <f>H172+J172</f>
        <v>30</v>
      </c>
      <c r="E173">
        <f>ROUND(IF(lpg[[#This Row],[zbiornik LPG]]&gt;15,0,(lpg[[#This Row],[km]]/2)*6/100),2)</f>
        <v>0</v>
      </c>
      <c r="F173">
        <f>ROUND(IF(lpg[[#This Row],[zbiornik LPG]]&gt;15,lpg[[#This Row],[km]]*9/100,(lpg[[#This Row],[km]]/2)*9/100),2)</f>
        <v>4.41</v>
      </c>
      <c r="G173">
        <f>lpg[[#This Row],[zbiornik PB95]]-lpg[[#This Row],[zuzycie PB95]]</f>
        <v>41.07</v>
      </c>
      <c r="H173">
        <f>lpg[[#This Row],[zbiornik LPG]]-lpg[[#This Row],[zyzucie lpg]]</f>
        <v>25.59</v>
      </c>
      <c r="I173">
        <f>IF(lpg[[#This Row],[dzien]]=4,IF(lpg[[#This Row],[pb po trasie]]&lt;40,45-lpg[[#This Row],[pb po trasie]],0),0)</f>
        <v>0</v>
      </c>
      <c r="J173">
        <f>IF(lpg[[#This Row],[lpg po trasie]]&lt;5,30-lpg[[#This Row],[lpg po trasie]],0)</f>
        <v>0</v>
      </c>
      <c r="K173">
        <f>WEEKDAY(lpg[[#This Row],[data]],2)</f>
        <v>6</v>
      </c>
      <c r="O173" s="1">
        <v>41811</v>
      </c>
      <c r="P173">
        <v>49</v>
      </c>
      <c r="Q173">
        <f>U172+W172</f>
        <v>41.07</v>
      </c>
      <c r="R173">
        <f>V172+X172</f>
        <v>30</v>
      </c>
      <c r="S173">
        <f>ROUND(IF(lpg_3[[#This Row],[zbiornik LPG]]&gt;15,0,(lpg_3[[#This Row],[km]]/2)*6/100),2)</f>
        <v>0</v>
      </c>
      <c r="T173">
        <f>ROUND(IF(lpg_3[[#This Row],[zbiornik LPG]]&gt;15,lpg_3[[#This Row],[km]]*9/100,(lpg_3[[#This Row],[km]]/2)*9/100),2)</f>
        <v>4.41</v>
      </c>
      <c r="U173">
        <f>lpg_3[[#This Row],[zbiornik PB95]]-lpg_3[[#This Row],[zuzycie PB95]]</f>
        <v>41.07</v>
      </c>
      <c r="V173">
        <f>lpg_3[[#This Row],[zbiornik LPG]]-lpg_3[[#This Row],[zyzucie lpg]]</f>
        <v>25.59</v>
      </c>
      <c r="W173">
        <f>IF(lpg_3[[#This Row],[dzien]]=4,IF(lpg_3[[#This Row],[pb po trasie]]&lt;40,45-lpg_3[[#This Row],[pb po trasie]],0),0)</f>
        <v>0</v>
      </c>
      <c r="X173">
        <f>IF(lpg_3[[#This Row],[lpg po trasie]]&lt;5,30-lpg_3[[#This Row],[lpg po trasie]],0)</f>
        <v>0</v>
      </c>
      <c r="Y173">
        <f>WEEKDAY(lpg_3[[#This Row],[data]],2)</f>
        <v>6</v>
      </c>
    </row>
    <row r="174" spans="1:25" x14ac:dyDescent="0.25">
      <c r="A174" s="1">
        <v>41812</v>
      </c>
      <c r="B174">
        <v>146</v>
      </c>
      <c r="C174">
        <f>G173+I173</f>
        <v>41.07</v>
      </c>
      <c r="D174">
        <f>H173+J173</f>
        <v>25.59</v>
      </c>
      <c r="E174">
        <f>ROUND(IF(lpg[[#This Row],[zbiornik LPG]]&gt;15,0,(lpg[[#This Row],[km]]/2)*6/100),2)</f>
        <v>0</v>
      </c>
      <c r="F174">
        <f>ROUND(IF(lpg[[#This Row],[zbiornik LPG]]&gt;15,lpg[[#This Row],[km]]*9/100,(lpg[[#This Row],[km]]/2)*9/100),2)</f>
        <v>13.14</v>
      </c>
      <c r="G174">
        <f>lpg[[#This Row],[zbiornik PB95]]-lpg[[#This Row],[zuzycie PB95]]</f>
        <v>41.07</v>
      </c>
      <c r="H174">
        <f>lpg[[#This Row],[zbiornik LPG]]-lpg[[#This Row],[zyzucie lpg]]</f>
        <v>12.45</v>
      </c>
      <c r="I174">
        <f>IF(lpg[[#This Row],[dzien]]=4,IF(lpg[[#This Row],[pb po trasie]]&lt;40,45-lpg[[#This Row],[pb po trasie]],0),0)</f>
        <v>0</v>
      </c>
      <c r="J174">
        <f>IF(lpg[[#This Row],[lpg po trasie]]&lt;5,30-lpg[[#This Row],[lpg po trasie]],0)</f>
        <v>0</v>
      </c>
      <c r="K174">
        <f>WEEKDAY(lpg[[#This Row],[data]],2)</f>
        <v>7</v>
      </c>
      <c r="O174" s="1">
        <v>41812</v>
      </c>
      <c r="P174">
        <v>146</v>
      </c>
      <c r="Q174">
        <f>U173+W173</f>
        <v>41.07</v>
      </c>
      <c r="R174">
        <f>V173+X173</f>
        <v>25.59</v>
      </c>
      <c r="S174">
        <f>ROUND(IF(lpg_3[[#This Row],[zbiornik LPG]]&gt;15,0,(lpg_3[[#This Row],[km]]/2)*6/100),2)</f>
        <v>0</v>
      </c>
      <c r="T174">
        <f>ROUND(IF(lpg_3[[#This Row],[zbiornik LPG]]&gt;15,lpg_3[[#This Row],[km]]*9/100,(lpg_3[[#This Row],[km]]/2)*9/100),2)</f>
        <v>13.14</v>
      </c>
      <c r="U174">
        <f>lpg_3[[#This Row],[zbiornik PB95]]-lpg_3[[#This Row],[zuzycie PB95]]</f>
        <v>41.07</v>
      </c>
      <c r="V174">
        <f>lpg_3[[#This Row],[zbiornik LPG]]-lpg_3[[#This Row],[zyzucie lpg]]</f>
        <v>12.45</v>
      </c>
      <c r="W174">
        <f>IF(lpg_3[[#This Row],[dzien]]=4,IF(lpg_3[[#This Row],[pb po trasie]]&lt;40,45-lpg_3[[#This Row],[pb po trasie]],0),0)</f>
        <v>0</v>
      </c>
      <c r="X174">
        <f>IF(lpg_3[[#This Row],[lpg po trasie]]&lt;5,30-lpg_3[[#This Row],[lpg po trasie]],0)</f>
        <v>0</v>
      </c>
      <c r="Y174">
        <f>WEEKDAY(lpg_3[[#This Row],[data]],2)</f>
        <v>7</v>
      </c>
    </row>
    <row r="175" spans="1:25" x14ac:dyDescent="0.25">
      <c r="A175" s="1">
        <v>41813</v>
      </c>
      <c r="B175">
        <v>90</v>
      </c>
      <c r="C175">
        <f>G174+I174</f>
        <v>41.07</v>
      </c>
      <c r="D175">
        <f>H174+J174</f>
        <v>12.45</v>
      </c>
      <c r="E175">
        <f>ROUND(IF(lpg[[#This Row],[zbiornik LPG]]&gt;15,0,(lpg[[#This Row],[km]]/2)*6/100),2)</f>
        <v>2.7</v>
      </c>
      <c r="F175">
        <f>ROUND(IF(lpg[[#This Row],[zbiornik LPG]]&gt;15,lpg[[#This Row],[km]]*9/100,(lpg[[#This Row],[km]]/2)*9/100),2)</f>
        <v>4.05</v>
      </c>
      <c r="G175">
        <f>lpg[[#This Row],[zbiornik PB95]]-lpg[[#This Row],[zuzycie PB95]]</f>
        <v>38.369999999999997</v>
      </c>
      <c r="H175">
        <f>lpg[[#This Row],[zbiornik LPG]]-lpg[[#This Row],[zyzucie lpg]]</f>
        <v>8.3999999999999986</v>
      </c>
      <c r="I175">
        <f>IF(lpg[[#This Row],[dzien]]=4,IF(lpg[[#This Row],[pb po trasie]]&lt;40,45-lpg[[#This Row],[pb po trasie]],0),0)</f>
        <v>0</v>
      </c>
      <c r="J175">
        <f>IF(lpg[[#This Row],[lpg po trasie]]&lt;5,30-lpg[[#This Row],[lpg po trasie]],0)</f>
        <v>0</v>
      </c>
      <c r="K175">
        <f>WEEKDAY(lpg[[#This Row],[data]],2)</f>
        <v>1</v>
      </c>
      <c r="O175" s="1">
        <v>41813</v>
      </c>
      <c r="P175">
        <v>90</v>
      </c>
      <c r="Q175">
        <f>U174+W174</f>
        <v>41.07</v>
      </c>
      <c r="R175">
        <f>V174+X174</f>
        <v>12.45</v>
      </c>
      <c r="S175">
        <f>ROUND(IF(lpg_3[[#This Row],[zbiornik LPG]]&gt;15,0,(lpg_3[[#This Row],[km]]/2)*6/100),2)</f>
        <v>2.7</v>
      </c>
      <c r="T175">
        <f>ROUND(IF(lpg_3[[#This Row],[zbiornik LPG]]&gt;15,lpg_3[[#This Row],[km]]*9/100,(lpg_3[[#This Row],[km]]/2)*9/100),2)</f>
        <v>4.05</v>
      </c>
      <c r="U175">
        <f>lpg_3[[#This Row],[zbiornik PB95]]-lpg_3[[#This Row],[zuzycie PB95]]</f>
        <v>38.369999999999997</v>
      </c>
      <c r="V175">
        <f>lpg_3[[#This Row],[zbiornik LPG]]-lpg_3[[#This Row],[zyzucie lpg]]</f>
        <v>8.3999999999999986</v>
      </c>
      <c r="W175">
        <f>IF(lpg_3[[#This Row],[dzien]]=4,IF(lpg_3[[#This Row],[pb po trasie]]&lt;40,45-lpg_3[[#This Row],[pb po trasie]],0),0)</f>
        <v>0</v>
      </c>
      <c r="X175">
        <f>IF(lpg_3[[#This Row],[lpg po trasie]]&lt;5,30-lpg_3[[#This Row],[lpg po trasie]],0)</f>
        <v>0</v>
      </c>
      <c r="Y175">
        <f>WEEKDAY(lpg_3[[#This Row],[data]],2)</f>
        <v>1</v>
      </c>
    </row>
    <row r="176" spans="1:25" x14ac:dyDescent="0.25">
      <c r="A176" s="1">
        <v>41814</v>
      </c>
      <c r="B176">
        <v>74</v>
      </c>
      <c r="C176">
        <f>G175+I175</f>
        <v>38.369999999999997</v>
      </c>
      <c r="D176">
        <f>H175+J175</f>
        <v>8.3999999999999986</v>
      </c>
      <c r="E176">
        <f>ROUND(IF(lpg[[#This Row],[zbiornik LPG]]&gt;15,0,(lpg[[#This Row],[km]]/2)*6/100),2)</f>
        <v>2.2200000000000002</v>
      </c>
      <c r="F176">
        <f>ROUND(IF(lpg[[#This Row],[zbiornik LPG]]&gt;15,lpg[[#This Row],[km]]*9/100,(lpg[[#This Row],[km]]/2)*9/100),2)</f>
        <v>3.33</v>
      </c>
      <c r="G176">
        <f>lpg[[#This Row],[zbiornik PB95]]-lpg[[#This Row],[zuzycie PB95]]</f>
        <v>36.15</v>
      </c>
      <c r="H176">
        <f>lpg[[#This Row],[zbiornik LPG]]-lpg[[#This Row],[zyzucie lpg]]</f>
        <v>5.0699999999999985</v>
      </c>
      <c r="I176">
        <f>IF(lpg[[#This Row],[dzien]]=4,IF(lpg[[#This Row],[pb po trasie]]&lt;40,45-lpg[[#This Row],[pb po trasie]],0),0)</f>
        <v>0</v>
      </c>
      <c r="J176">
        <f>IF(lpg[[#This Row],[lpg po trasie]]&lt;5,30-lpg[[#This Row],[lpg po trasie]],0)</f>
        <v>0</v>
      </c>
      <c r="K176">
        <f>WEEKDAY(lpg[[#This Row],[data]],2)</f>
        <v>2</v>
      </c>
      <c r="O176" s="1">
        <v>41814</v>
      </c>
      <c r="P176">
        <v>74</v>
      </c>
      <c r="Q176">
        <f>U175+W175</f>
        <v>38.369999999999997</v>
      </c>
      <c r="R176">
        <f>V175+X175</f>
        <v>8.3999999999999986</v>
      </c>
      <c r="S176">
        <f>ROUND(IF(lpg_3[[#This Row],[zbiornik LPG]]&gt;15,0,(lpg_3[[#This Row],[km]]/2)*6/100),2)</f>
        <v>2.2200000000000002</v>
      </c>
      <c r="T176">
        <f>ROUND(IF(lpg_3[[#This Row],[zbiornik LPG]]&gt;15,lpg_3[[#This Row],[km]]*9/100,(lpg_3[[#This Row],[km]]/2)*9/100),2)</f>
        <v>3.33</v>
      </c>
      <c r="U176">
        <f>lpg_3[[#This Row],[zbiornik PB95]]-lpg_3[[#This Row],[zuzycie PB95]]</f>
        <v>36.15</v>
      </c>
      <c r="V176">
        <f>lpg_3[[#This Row],[zbiornik LPG]]-lpg_3[[#This Row],[zyzucie lpg]]</f>
        <v>5.0699999999999985</v>
      </c>
      <c r="W176">
        <f>IF(lpg_3[[#This Row],[dzien]]=4,IF(lpg_3[[#This Row],[pb po trasie]]&lt;40,45-lpg_3[[#This Row],[pb po trasie]],0),0)</f>
        <v>0</v>
      </c>
      <c r="X176">
        <f>IF(lpg_3[[#This Row],[lpg po trasie]]&lt;5,30-lpg_3[[#This Row],[lpg po trasie]],0)</f>
        <v>0</v>
      </c>
      <c r="Y176">
        <f>WEEKDAY(lpg_3[[#This Row],[data]],2)</f>
        <v>2</v>
      </c>
    </row>
    <row r="177" spans="1:25" x14ac:dyDescent="0.25">
      <c r="A177" s="1">
        <v>41815</v>
      </c>
      <c r="B177">
        <v>97</v>
      </c>
      <c r="C177">
        <f>G176+I176</f>
        <v>36.15</v>
      </c>
      <c r="D177">
        <f>H176+J176</f>
        <v>5.0699999999999985</v>
      </c>
      <c r="E177">
        <f>ROUND(IF(lpg[[#This Row],[zbiornik LPG]]&gt;15,0,(lpg[[#This Row],[km]]/2)*6/100),2)</f>
        <v>2.91</v>
      </c>
      <c r="F177">
        <f>ROUND(IF(lpg[[#This Row],[zbiornik LPG]]&gt;15,lpg[[#This Row],[km]]*9/100,(lpg[[#This Row],[km]]/2)*9/100),2)</f>
        <v>4.37</v>
      </c>
      <c r="G177">
        <f>lpg[[#This Row],[zbiornik PB95]]-lpg[[#This Row],[zuzycie PB95]]</f>
        <v>33.239999999999995</v>
      </c>
      <c r="H177">
        <f>lpg[[#This Row],[zbiornik LPG]]-lpg[[#This Row],[zyzucie lpg]]</f>
        <v>0.6999999999999984</v>
      </c>
      <c r="I177">
        <f>IF(lpg[[#This Row],[dzien]]=4,IF(lpg[[#This Row],[pb po trasie]]&lt;40,45-lpg[[#This Row],[pb po trasie]],0),0)</f>
        <v>0</v>
      </c>
      <c r="J177">
        <f>IF(lpg[[#This Row],[lpg po trasie]]&lt;5,30-lpg[[#This Row],[lpg po trasie]],0)</f>
        <v>29.3</v>
      </c>
      <c r="K177">
        <f>WEEKDAY(lpg[[#This Row],[data]],2)</f>
        <v>3</v>
      </c>
      <c r="O177" s="1">
        <v>41815</v>
      </c>
      <c r="P177">
        <v>97</v>
      </c>
      <c r="Q177">
        <f>U176+W176</f>
        <v>36.15</v>
      </c>
      <c r="R177">
        <f>V176+X176</f>
        <v>5.0699999999999985</v>
      </c>
      <c r="S177">
        <f>ROUND(IF(lpg_3[[#This Row],[zbiornik LPG]]&gt;15,0,(lpg_3[[#This Row],[km]]/2)*6/100),2)</f>
        <v>2.91</v>
      </c>
      <c r="T177">
        <f>ROUND(IF(lpg_3[[#This Row],[zbiornik LPG]]&gt;15,lpg_3[[#This Row],[km]]*9/100,(lpg_3[[#This Row],[km]]/2)*9/100),2)</f>
        <v>4.37</v>
      </c>
      <c r="U177">
        <f>lpg_3[[#This Row],[zbiornik PB95]]-lpg_3[[#This Row],[zuzycie PB95]]</f>
        <v>33.239999999999995</v>
      </c>
      <c r="V177">
        <f>lpg_3[[#This Row],[zbiornik LPG]]-lpg_3[[#This Row],[zyzucie lpg]]</f>
        <v>0.6999999999999984</v>
      </c>
      <c r="W177">
        <f>IF(lpg_3[[#This Row],[dzien]]=4,IF(lpg_3[[#This Row],[pb po trasie]]&lt;40,45-lpg_3[[#This Row],[pb po trasie]],0),0)</f>
        <v>0</v>
      </c>
      <c r="X177">
        <f>IF(lpg_3[[#This Row],[lpg po trasie]]&lt;5,30-lpg_3[[#This Row],[lpg po trasie]],0)</f>
        <v>29.3</v>
      </c>
      <c r="Y177">
        <f>WEEKDAY(lpg_3[[#This Row],[data]],2)</f>
        <v>3</v>
      </c>
    </row>
    <row r="178" spans="1:25" x14ac:dyDescent="0.25">
      <c r="A178" s="1">
        <v>41816</v>
      </c>
      <c r="B178">
        <v>148</v>
      </c>
      <c r="C178">
        <f>G177+I177</f>
        <v>33.239999999999995</v>
      </c>
      <c r="D178">
        <f>H177+J177</f>
        <v>30</v>
      </c>
      <c r="E178">
        <f>ROUND(IF(lpg[[#This Row],[zbiornik LPG]]&gt;15,0,(lpg[[#This Row],[km]]/2)*6/100),2)</f>
        <v>0</v>
      </c>
      <c r="F178">
        <f>ROUND(IF(lpg[[#This Row],[zbiornik LPG]]&gt;15,lpg[[#This Row],[km]]*9/100,(lpg[[#This Row],[km]]/2)*9/100),2)</f>
        <v>13.32</v>
      </c>
      <c r="G178">
        <f>lpg[[#This Row],[zbiornik PB95]]-lpg[[#This Row],[zuzycie PB95]]</f>
        <v>33.239999999999995</v>
      </c>
      <c r="H178">
        <f>lpg[[#This Row],[zbiornik LPG]]-lpg[[#This Row],[zyzucie lpg]]</f>
        <v>16.68</v>
      </c>
      <c r="I178">
        <f>IF(lpg[[#This Row],[dzien]]=4,IF(lpg[[#This Row],[pb po trasie]]&lt;40,45-lpg[[#This Row],[pb po trasie]],0),0)</f>
        <v>11.760000000000005</v>
      </c>
      <c r="J178">
        <f>IF(lpg[[#This Row],[lpg po trasie]]&lt;5,30-lpg[[#This Row],[lpg po trasie]],0)</f>
        <v>0</v>
      </c>
      <c r="K178">
        <f>WEEKDAY(lpg[[#This Row],[data]],2)</f>
        <v>4</v>
      </c>
      <c r="O178" s="1">
        <v>41816</v>
      </c>
      <c r="P178">
        <v>148</v>
      </c>
      <c r="Q178">
        <f>U177+W177</f>
        <v>33.239999999999995</v>
      </c>
      <c r="R178">
        <f>V177+X177</f>
        <v>30</v>
      </c>
      <c r="S178">
        <f>ROUND(IF(lpg_3[[#This Row],[zbiornik LPG]]&gt;15,0,(lpg_3[[#This Row],[km]]/2)*6/100),2)</f>
        <v>0</v>
      </c>
      <c r="T178">
        <f>ROUND(IF(lpg_3[[#This Row],[zbiornik LPG]]&gt;15,lpg_3[[#This Row],[km]]*9/100,(lpg_3[[#This Row],[km]]/2)*9/100),2)</f>
        <v>13.32</v>
      </c>
      <c r="U178">
        <f>lpg_3[[#This Row],[zbiornik PB95]]-lpg_3[[#This Row],[zuzycie PB95]]</f>
        <v>33.239999999999995</v>
      </c>
      <c r="V178">
        <f>lpg_3[[#This Row],[zbiornik LPG]]-lpg_3[[#This Row],[zyzucie lpg]]</f>
        <v>16.68</v>
      </c>
      <c r="W178">
        <f>IF(lpg_3[[#This Row],[dzien]]=4,IF(lpg_3[[#This Row],[pb po trasie]]&lt;40,45-lpg_3[[#This Row],[pb po trasie]],0),0)</f>
        <v>11.760000000000005</v>
      </c>
      <c r="X178">
        <f>IF(lpg_3[[#This Row],[lpg po trasie]]&lt;5,30-lpg_3[[#This Row],[lpg po trasie]],0)</f>
        <v>0</v>
      </c>
      <c r="Y178">
        <f>WEEKDAY(lpg_3[[#This Row],[data]],2)</f>
        <v>4</v>
      </c>
    </row>
    <row r="179" spans="1:25" x14ac:dyDescent="0.25">
      <c r="A179" s="1">
        <v>41817</v>
      </c>
      <c r="B179">
        <v>65</v>
      </c>
      <c r="C179">
        <f>G178+I178</f>
        <v>45</v>
      </c>
      <c r="D179">
        <f>H178+J178</f>
        <v>16.68</v>
      </c>
      <c r="E179">
        <f>ROUND(IF(lpg[[#This Row],[zbiornik LPG]]&gt;15,0,(lpg[[#This Row],[km]]/2)*6/100),2)</f>
        <v>0</v>
      </c>
      <c r="F179">
        <f>ROUND(IF(lpg[[#This Row],[zbiornik LPG]]&gt;15,lpg[[#This Row],[km]]*9/100,(lpg[[#This Row],[km]]/2)*9/100),2)</f>
        <v>5.85</v>
      </c>
      <c r="G179">
        <f>lpg[[#This Row],[zbiornik PB95]]-lpg[[#This Row],[zuzycie PB95]]</f>
        <v>45</v>
      </c>
      <c r="H179">
        <f>lpg[[#This Row],[zbiornik LPG]]-lpg[[#This Row],[zyzucie lpg]]</f>
        <v>10.83</v>
      </c>
      <c r="I179">
        <f>IF(lpg[[#This Row],[dzien]]=4,IF(lpg[[#This Row],[pb po trasie]]&lt;40,45-lpg[[#This Row],[pb po trasie]],0),0)</f>
        <v>0</v>
      </c>
      <c r="J179">
        <f>IF(lpg[[#This Row],[lpg po trasie]]&lt;5,30-lpg[[#This Row],[lpg po trasie]],0)</f>
        <v>0</v>
      </c>
      <c r="K179">
        <f>WEEKDAY(lpg[[#This Row],[data]],2)</f>
        <v>5</v>
      </c>
      <c r="O179" s="1">
        <v>41817</v>
      </c>
      <c r="P179">
        <v>65</v>
      </c>
      <c r="Q179">
        <f>U178+W178</f>
        <v>45</v>
      </c>
      <c r="R179">
        <f>V178+X178</f>
        <v>16.68</v>
      </c>
      <c r="S179">
        <f>ROUND(IF(lpg_3[[#This Row],[zbiornik LPG]]&gt;15,0,(lpg_3[[#This Row],[km]]/2)*6/100),2)</f>
        <v>0</v>
      </c>
      <c r="T179">
        <f>ROUND(IF(lpg_3[[#This Row],[zbiornik LPG]]&gt;15,lpg_3[[#This Row],[km]]*9/100,(lpg_3[[#This Row],[km]]/2)*9/100),2)</f>
        <v>5.85</v>
      </c>
      <c r="U179">
        <f>lpg_3[[#This Row],[zbiornik PB95]]-lpg_3[[#This Row],[zuzycie PB95]]</f>
        <v>45</v>
      </c>
      <c r="V179">
        <f>lpg_3[[#This Row],[zbiornik LPG]]-lpg_3[[#This Row],[zyzucie lpg]]</f>
        <v>10.83</v>
      </c>
      <c r="W179">
        <f>IF(lpg_3[[#This Row],[dzien]]=4,IF(lpg_3[[#This Row],[pb po trasie]]&lt;40,45-lpg_3[[#This Row],[pb po trasie]],0),0)</f>
        <v>0</v>
      </c>
      <c r="X179">
        <f>IF(lpg_3[[#This Row],[lpg po trasie]]&lt;5,30-lpg_3[[#This Row],[lpg po trasie]],0)</f>
        <v>0</v>
      </c>
      <c r="Y179">
        <f>WEEKDAY(lpg_3[[#This Row],[data]],2)</f>
        <v>5</v>
      </c>
    </row>
    <row r="180" spans="1:25" x14ac:dyDescent="0.25">
      <c r="A180" s="1">
        <v>41818</v>
      </c>
      <c r="B180">
        <v>62</v>
      </c>
      <c r="C180">
        <f>G179+I179</f>
        <v>45</v>
      </c>
      <c r="D180">
        <f>H179+J179</f>
        <v>10.83</v>
      </c>
      <c r="E180">
        <f>ROUND(IF(lpg[[#This Row],[zbiornik LPG]]&gt;15,0,(lpg[[#This Row],[km]]/2)*6/100),2)</f>
        <v>1.86</v>
      </c>
      <c r="F180">
        <f>ROUND(IF(lpg[[#This Row],[zbiornik LPG]]&gt;15,lpg[[#This Row],[km]]*9/100,(lpg[[#This Row],[km]]/2)*9/100),2)</f>
        <v>2.79</v>
      </c>
      <c r="G180">
        <f>lpg[[#This Row],[zbiornik PB95]]-lpg[[#This Row],[zuzycie PB95]]</f>
        <v>43.14</v>
      </c>
      <c r="H180">
        <f>lpg[[#This Row],[zbiornik LPG]]-lpg[[#This Row],[zyzucie lpg]]</f>
        <v>8.0399999999999991</v>
      </c>
      <c r="I180">
        <f>IF(lpg[[#This Row],[dzien]]=4,IF(lpg[[#This Row],[pb po trasie]]&lt;40,45-lpg[[#This Row],[pb po trasie]],0),0)</f>
        <v>0</v>
      </c>
      <c r="J180">
        <f>IF(lpg[[#This Row],[lpg po trasie]]&lt;5,30-lpg[[#This Row],[lpg po trasie]],0)</f>
        <v>0</v>
      </c>
      <c r="K180">
        <f>WEEKDAY(lpg[[#This Row],[data]],2)</f>
        <v>6</v>
      </c>
      <c r="O180" s="1">
        <v>41818</v>
      </c>
      <c r="P180">
        <v>62</v>
      </c>
      <c r="Q180">
        <f>U179+W179</f>
        <v>45</v>
      </c>
      <c r="R180">
        <f>V179+X179</f>
        <v>10.83</v>
      </c>
      <c r="S180">
        <f>ROUND(IF(lpg_3[[#This Row],[zbiornik LPG]]&gt;15,0,(lpg_3[[#This Row],[km]]/2)*6/100),2)</f>
        <v>1.86</v>
      </c>
      <c r="T180">
        <f>ROUND(IF(lpg_3[[#This Row],[zbiornik LPG]]&gt;15,lpg_3[[#This Row],[km]]*9/100,(lpg_3[[#This Row],[km]]/2)*9/100),2)</f>
        <v>2.79</v>
      </c>
      <c r="U180">
        <f>lpg_3[[#This Row],[zbiornik PB95]]-lpg_3[[#This Row],[zuzycie PB95]]</f>
        <v>43.14</v>
      </c>
      <c r="V180">
        <f>lpg_3[[#This Row],[zbiornik LPG]]-lpg_3[[#This Row],[zyzucie lpg]]</f>
        <v>8.0399999999999991</v>
      </c>
      <c r="W180">
        <f>IF(lpg_3[[#This Row],[dzien]]=4,IF(lpg_3[[#This Row],[pb po trasie]]&lt;40,45-lpg_3[[#This Row],[pb po trasie]],0),0)</f>
        <v>0</v>
      </c>
      <c r="X180">
        <f>IF(lpg_3[[#This Row],[lpg po trasie]]&lt;5,30-lpg_3[[#This Row],[lpg po trasie]],0)</f>
        <v>0</v>
      </c>
      <c r="Y180">
        <f>WEEKDAY(lpg_3[[#This Row],[data]],2)</f>
        <v>6</v>
      </c>
    </row>
    <row r="181" spans="1:25" x14ac:dyDescent="0.25">
      <c r="A181" s="1">
        <v>41819</v>
      </c>
      <c r="B181">
        <v>130</v>
      </c>
      <c r="C181">
        <f>G180+I180</f>
        <v>43.14</v>
      </c>
      <c r="D181">
        <f>H180+J180</f>
        <v>8.0399999999999991</v>
      </c>
      <c r="E181">
        <f>ROUND(IF(lpg[[#This Row],[zbiornik LPG]]&gt;15,0,(lpg[[#This Row],[km]]/2)*6/100),2)</f>
        <v>3.9</v>
      </c>
      <c r="F181">
        <f>ROUND(IF(lpg[[#This Row],[zbiornik LPG]]&gt;15,lpg[[#This Row],[km]]*9/100,(lpg[[#This Row],[km]]/2)*9/100),2)</f>
        <v>5.85</v>
      </c>
      <c r="G181">
        <f>lpg[[#This Row],[zbiornik PB95]]-lpg[[#This Row],[zuzycie PB95]]</f>
        <v>39.24</v>
      </c>
      <c r="H181">
        <f>lpg[[#This Row],[zbiornik LPG]]-lpg[[#This Row],[zyzucie lpg]]</f>
        <v>2.1899999999999995</v>
      </c>
      <c r="I181">
        <f>IF(lpg[[#This Row],[dzien]]=4,IF(lpg[[#This Row],[pb po trasie]]&lt;40,45-lpg[[#This Row],[pb po trasie]],0),0)</f>
        <v>0</v>
      </c>
      <c r="J181">
        <f>IF(lpg[[#This Row],[lpg po trasie]]&lt;5,30-lpg[[#This Row],[lpg po trasie]],0)</f>
        <v>27.810000000000002</v>
      </c>
      <c r="K181">
        <f>WEEKDAY(lpg[[#This Row],[data]],2)</f>
        <v>7</v>
      </c>
      <c r="O181" s="1">
        <v>41819</v>
      </c>
      <c r="P181">
        <v>130</v>
      </c>
      <c r="Q181">
        <f>U180+W180</f>
        <v>43.14</v>
      </c>
      <c r="R181">
        <f>V180+X180</f>
        <v>8.0399999999999991</v>
      </c>
      <c r="S181">
        <f>ROUND(IF(lpg_3[[#This Row],[zbiornik LPG]]&gt;15,0,(lpg_3[[#This Row],[km]]/2)*6/100),2)</f>
        <v>3.9</v>
      </c>
      <c r="T181">
        <f>ROUND(IF(lpg_3[[#This Row],[zbiornik LPG]]&gt;15,lpg_3[[#This Row],[km]]*9/100,(lpg_3[[#This Row],[km]]/2)*9/100),2)</f>
        <v>5.85</v>
      </c>
      <c r="U181">
        <f>lpg_3[[#This Row],[zbiornik PB95]]-lpg_3[[#This Row],[zuzycie PB95]]</f>
        <v>39.24</v>
      </c>
      <c r="V181">
        <f>lpg_3[[#This Row],[zbiornik LPG]]-lpg_3[[#This Row],[zyzucie lpg]]</f>
        <v>2.1899999999999995</v>
      </c>
      <c r="W181">
        <f>IF(lpg_3[[#This Row],[dzien]]=4,IF(lpg_3[[#This Row],[pb po trasie]]&lt;40,45-lpg_3[[#This Row],[pb po trasie]],0),0)</f>
        <v>0</v>
      </c>
      <c r="X181">
        <f>IF(lpg_3[[#This Row],[lpg po trasie]]&lt;5,30-lpg_3[[#This Row],[lpg po trasie]],0)</f>
        <v>27.810000000000002</v>
      </c>
      <c r="Y181">
        <f>WEEKDAY(lpg_3[[#This Row],[data]],2)</f>
        <v>7</v>
      </c>
    </row>
    <row r="182" spans="1:25" x14ac:dyDescent="0.25">
      <c r="A182" s="1">
        <v>41820</v>
      </c>
      <c r="B182">
        <v>39</v>
      </c>
      <c r="C182">
        <f>G181+I181</f>
        <v>39.24</v>
      </c>
      <c r="D182">
        <f>H181+J181</f>
        <v>30</v>
      </c>
      <c r="E182">
        <f>ROUND(IF(lpg[[#This Row],[zbiornik LPG]]&gt;15,0,(lpg[[#This Row],[km]]/2)*6/100),2)</f>
        <v>0</v>
      </c>
      <c r="F182">
        <f>ROUND(IF(lpg[[#This Row],[zbiornik LPG]]&gt;15,lpg[[#This Row],[km]]*9/100,(lpg[[#This Row],[km]]/2)*9/100),2)</f>
        <v>3.51</v>
      </c>
      <c r="G182">
        <f>lpg[[#This Row],[zbiornik PB95]]-lpg[[#This Row],[zuzycie PB95]]</f>
        <v>39.24</v>
      </c>
      <c r="H182">
        <f>lpg[[#This Row],[zbiornik LPG]]-lpg[[#This Row],[zyzucie lpg]]</f>
        <v>26.490000000000002</v>
      </c>
      <c r="I182">
        <f>IF(lpg[[#This Row],[dzien]]=4,IF(lpg[[#This Row],[pb po trasie]]&lt;40,45-lpg[[#This Row],[pb po trasie]],0),0)</f>
        <v>0</v>
      </c>
      <c r="J182">
        <f>IF(lpg[[#This Row],[lpg po trasie]]&lt;5,30-lpg[[#This Row],[lpg po trasie]],0)</f>
        <v>0</v>
      </c>
      <c r="K182">
        <f>WEEKDAY(lpg[[#This Row],[data]],2)</f>
        <v>1</v>
      </c>
      <c r="O182" s="1">
        <v>41820</v>
      </c>
      <c r="P182">
        <v>39</v>
      </c>
      <c r="Q182">
        <f>U181+W181</f>
        <v>39.24</v>
      </c>
      <c r="R182">
        <f>V181+X181</f>
        <v>30</v>
      </c>
      <c r="S182">
        <f>ROUND(IF(lpg_3[[#This Row],[zbiornik LPG]]&gt;15,0,(lpg_3[[#This Row],[km]]/2)*6/100),2)</f>
        <v>0</v>
      </c>
      <c r="T182">
        <f>ROUND(IF(lpg_3[[#This Row],[zbiornik LPG]]&gt;15,lpg_3[[#This Row],[km]]*9/100,(lpg_3[[#This Row],[km]]/2)*9/100),2)</f>
        <v>3.51</v>
      </c>
      <c r="U182">
        <f>lpg_3[[#This Row],[zbiornik PB95]]-lpg_3[[#This Row],[zuzycie PB95]]</f>
        <v>39.24</v>
      </c>
      <c r="V182">
        <f>lpg_3[[#This Row],[zbiornik LPG]]-lpg_3[[#This Row],[zyzucie lpg]]</f>
        <v>26.490000000000002</v>
      </c>
      <c r="W182">
        <f>IF(lpg_3[[#This Row],[dzien]]=4,IF(lpg_3[[#This Row],[pb po trasie]]&lt;40,45-lpg_3[[#This Row],[pb po trasie]],0),0)</f>
        <v>0</v>
      </c>
      <c r="X182">
        <f>IF(lpg_3[[#This Row],[lpg po trasie]]&lt;5,30-lpg_3[[#This Row],[lpg po trasie]],0)</f>
        <v>0</v>
      </c>
      <c r="Y182">
        <f>WEEKDAY(lpg_3[[#This Row],[data]],2)</f>
        <v>1</v>
      </c>
    </row>
    <row r="183" spans="1:25" x14ac:dyDescent="0.25">
      <c r="A183" s="1">
        <v>41821</v>
      </c>
      <c r="B183">
        <v>95</v>
      </c>
      <c r="C183">
        <f>G182+I182</f>
        <v>39.24</v>
      </c>
      <c r="D183">
        <f>H182+J182</f>
        <v>26.490000000000002</v>
      </c>
      <c r="E183">
        <f>ROUND(IF(lpg[[#This Row],[zbiornik LPG]]&gt;15,0,(lpg[[#This Row],[km]]/2)*6/100),2)</f>
        <v>0</v>
      </c>
      <c r="F183">
        <f>ROUND(IF(lpg[[#This Row],[zbiornik LPG]]&gt;15,lpg[[#This Row],[km]]*9/100,(lpg[[#This Row],[km]]/2)*9/100),2)</f>
        <v>8.5500000000000007</v>
      </c>
      <c r="G183">
        <f>lpg[[#This Row],[zbiornik PB95]]-lpg[[#This Row],[zuzycie PB95]]</f>
        <v>39.24</v>
      </c>
      <c r="H183">
        <f>lpg[[#This Row],[zbiornik LPG]]-lpg[[#This Row],[zyzucie lpg]]</f>
        <v>17.940000000000001</v>
      </c>
      <c r="I183">
        <f>IF(lpg[[#This Row],[dzien]]=4,IF(lpg[[#This Row],[pb po trasie]]&lt;40,45-lpg[[#This Row],[pb po trasie]],0),0)</f>
        <v>0</v>
      </c>
      <c r="J183">
        <f>IF(lpg[[#This Row],[lpg po trasie]]&lt;5,30-lpg[[#This Row],[lpg po trasie]],0)</f>
        <v>0</v>
      </c>
      <c r="K183">
        <f>WEEKDAY(lpg[[#This Row],[data]],2)</f>
        <v>2</v>
      </c>
      <c r="O183" s="1">
        <v>41821</v>
      </c>
      <c r="P183">
        <v>95</v>
      </c>
      <c r="Q183">
        <f>U182+W182</f>
        <v>39.24</v>
      </c>
      <c r="R183">
        <f>V182+X182</f>
        <v>26.490000000000002</v>
      </c>
      <c r="S183">
        <f>ROUND(IF(lpg_3[[#This Row],[zbiornik LPG]]&gt;15,0,(lpg_3[[#This Row],[km]]/2)*6/100),2)</f>
        <v>0</v>
      </c>
      <c r="T183">
        <f>ROUND(IF(lpg_3[[#This Row],[zbiornik LPG]]&gt;15,lpg_3[[#This Row],[km]]*9/100,(lpg_3[[#This Row],[km]]/2)*9/100),2)</f>
        <v>8.5500000000000007</v>
      </c>
      <c r="U183">
        <f>lpg_3[[#This Row],[zbiornik PB95]]-lpg_3[[#This Row],[zuzycie PB95]]</f>
        <v>39.24</v>
      </c>
      <c r="V183">
        <f>lpg_3[[#This Row],[zbiornik LPG]]-lpg_3[[#This Row],[zyzucie lpg]]</f>
        <v>17.940000000000001</v>
      </c>
      <c r="W183">
        <f>IF(lpg_3[[#This Row],[dzien]]=4,IF(lpg_3[[#This Row],[pb po trasie]]&lt;40,45-lpg_3[[#This Row],[pb po trasie]],0),0)</f>
        <v>0</v>
      </c>
      <c r="X183">
        <f>IF(lpg_3[[#This Row],[lpg po trasie]]&lt;5,30-lpg_3[[#This Row],[lpg po trasie]],0)</f>
        <v>0</v>
      </c>
      <c r="Y183">
        <f>WEEKDAY(lpg_3[[#This Row],[data]],2)</f>
        <v>2</v>
      </c>
    </row>
    <row r="184" spans="1:25" x14ac:dyDescent="0.25">
      <c r="A184" s="1">
        <v>41822</v>
      </c>
      <c r="B184">
        <v>100</v>
      </c>
      <c r="C184">
        <f>G183+I183</f>
        <v>39.24</v>
      </c>
      <c r="D184">
        <f>H183+J183</f>
        <v>17.940000000000001</v>
      </c>
      <c r="E184">
        <f>ROUND(IF(lpg[[#This Row],[zbiornik LPG]]&gt;15,0,(lpg[[#This Row],[km]]/2)*6/100),2)</f>
        <v>0</v>
      </c>
      <c r="F184">
        <f>ROUND(IF(lpg[[#This Row],[zbiornik LPG]]&gt;15,lpg[[#This Row],[km]]*9/100,(lpg[[#This Row],[km]]/2)*9/100),2)</f>
        <v>9</v>
      </c>
      <c r="G184">
        <f>lpg[[#This Row],[zbiornik PB95]]-lpg[[#This Row],[zuzycie PB95]]</f>
        <v>39.24</v>
      </c>
      <c r="H184">
        <f>lpg[[#This Row],[zbiornik LPG]]-lpg[[#This Row],[zyzucie lpg]]</f>
        <v>8.9400000000000013</v>
      </c>
      <c r="I184">
        <f>IF(lpg[[#This Row],[dzien]]=4,IF(lpg[[#This Row],[pb po trasie]]&lt;40,45-lpg[[#This Row],[pb po trasie]],0),0)</f>
        <v>0</v>
      </c>
      <c r="J184">
        <f>IF(lpg[[#This Row],[lpg po trasie]]&lt;5,30-lpg[[#This Row],[lpg po trasie]],0)</f>
        <v>0</v>
      </c>
      <c r="K184">
        <f>WEEKDAY(lpg[[#This Row],[data]],2)</f>
        <v>3</v>
      </c>
      <c r="O184" s="1">
        <v>41822</v>
      </c>
      <c r="P184">
        <v>100</v>
      </c>
      <c r="Q184">
        <f>U183+W183</f>
        <v>39.24</v>
      </c>
      <c r="R184">
        <f>V183+X183</f>
        <v>17.940000000000001</v>
      </c>
      <c r="S184">
        <f>ROUND(IF(lpg_3[[#This Row],[zbiornik LPG]]&gt;15,0,(lpg_3[[#This Row],[km]]/2)*6/100),2)</f>
        <v>0</v>
      </c>
      <c r="T184">
        <f>ROUND(IF(lpg_3[[#This Row],[zbiornik LPG]]&gt;15,lpg_3[[#This Row],[km]]*9/100,(lpg_3[[#This Row],[km]]/2)*9/100),2)</f>
        <v>9</v>
      </c>
      <c r="U184">
        <f>lpg_3[[#This Row],[zbiornik PB95]]-lpg_3[[#This Row],[zuzycie PB95]]</f>
        <v>39.24</v>
      </c>
      <c r="V184">
        <f>lpg_3[[#This Row],[zbiornik LPG]]-lpg_3[[#This Row],[zyzucie lpg]]</f>
        <v>8.9400000000000013</v>
      </c>
      <c r="W184">
        <f>IF(lpg_3[[#This Row],[dzien]]=4,IF(lpg_3[[#This Row],[pb po trasie]]&lt;40,45-lpg_3[[#This Row],[pb po trasie]],0),0)</f>
        <v>0</v>
      </c>
      <c r="X184">
        <f>IF(lpg_3[[#This Row],[lpg po trasie]]&lt;5,30-lpg_3[[#This Row],[lpg po trasie]],0)</f>
        <v>0</v>
      </c>
      <c r="Y184">
        <f>WEEKDAY(lpg_3[[#This Row],[data]],2)</f>
        <v>3</v>
      </c>
    </row>
    <row r="185" spans="1:25" x14ac:dyDescent="0.25">
      <c r="A185" s="1">
        <v>41823</v>
      </c>
      <c r="B185">
        <v>75</v>
      </c>
      <c r="C185">
        <f>G184+I184</f>
        <v>39.24</v>
      </c>
      <c r="D185">
        <f>H184+J184</f>
        <v>8.9400000000000013</v>
      </c>
      <c r="E185">
        <f>ROUND(IF(lpg[[#This Row],[zbiornik LPG]]&gt;15,0,(lpg[[#This Row],[km]]/2)*6/100),2)</f>
        <v>2.25</v>
      </c>
      <c r="F185">
        <f>ROUND(IF(lpg[[#This Row],[zbiornik LPG]]&gt;15,lpg[[#This Row],[km]]*9/100,(lpg[[#This Row],[km]]/2)*9/100),2)</f>
        <v>3.38</v>
      </c>
      <c r="G185">
        <f>lpg[[#This Row],[zbiornik PB95]]-lpg[[#This Row],[zuzycie PB95]]</f>
        <v>36.99</v>
      </c>
      <c r="H185">
        <f>lpg[[#This Row],[zbiornik LPG]]-lpg[[#This Row],[zyzucie lpg]]</f>
        <v>5.5600000000000014</v>
      </c>
      <c r="I185">
        <f>IF(lpg[[#This Row],[dzien]]=4,IF(lpg[[#This Row],[pb po trasie]]&lt;40,45-lpg[[#This Row],[pb po trasie]],0),0)</f>
        <v>8.009999999999998</v>
      </c>
      <c r="J185">
        <f>IF(lpg[[#This Row],[lpg po trasie]]&lt;5,30-lpg[[#This Row],[lpg po trasie]],0)</f>
        <v>0</v>
      </c>
      <c r="K185">
        <f>WEEKDAY(lpg[[#This Row],[data]],2)</f>
        <v>4</v>
      </c>
      <c r="O185" s="1">
        <v>41823</v>
      </c>
      <c r="P185">
        <v>75</v>
      </c>
      <c r="Q185">
        <f>U184+W184</f>
        <v>39.24</v>
      </c>
      <c r="R185">
        <f>V184+X184</f>
        <v>8.9400000000000013</v>
      </c>
      <c r="S185">
        <f>ROUND(IF(lpg_3[[#This Row],[zbiornik LPG]]&gt;15,0,(lpg_3[[#This Row],[km]]/2)*6/100),2)</f>
        <v>2.25</v>
      </c>
      <c r="T185">
        <f>ROUND(IF(lpg_3[[#This Row],[zbiornik LPG]]&gt;15,lpg_3[[#This Row],[km]]*9/100,(lpg_3[[#This Row],[km]]/2)*9/100),2)</f>
        <v>3.38</v>
      </c>
      <c r="U185">
        <f>lpg_3[[#This Row],[zbiornik PB95]]-lpg_3[[#This Row],[zuzycie PB95]]</f>
        <v>36.99</v>
      </c>
      <c r="V185">
        <f>lpg_3[[#This Row],[zbiornik LPG]]-lpg_3[[#This Row],[zyzucie lpg]]</f>
        <v>5.5600000000000014</v>
      </c>
      <c r="W185">
        <f>IF(lpg_3[[#This Row],[dzien]]=4,IF(lpg_3[[#This Row],[pb po trasie]]&lt;40,45-lpg_3[[#This Row],[pb po trasie]],0),0)</f>
        <v>8.009999999999998</v>
      </c>
      <c r="X185">
        <f>IF(lpg_3[[#This Row],[lpg po trasie]]&lt;5,30-lpg_3[[#This Row],[lpg po trasie]],0)</f>
        <v>0</v>
      </c>
      <c r="Y185">
        <f>WEEKDAY(lpg_3[[#This Row],[data]],2)</f>
        <v>4</v>
      </c>
    </row>
    <row r="186" spans="1:25" x14ac:dyDescent="0.25">
      <c r="A186" s="1">
        <v>41824</v>
      </c>
      <c r="B186">
        <v>27</v>
      </c>
      <c r="C186">
        <f>G185+I185</f>
        <v>45</v>
      </c>
      <c r="D186">
        <f>H185+J185</f>
        <v>5.5600000000000014</v>
      </c>
      <c r="E186">
        <f>ROUND(IF(lpg[[#This Row],[zbiornik LPG]]&gt;15,0,(lpg[[#This Row],[km]]/2)*6/100),2)</f>
        <v>0.81</v>
      </c>
      <c r="F186">
        <f>ROUND(IF(lpg[[#This Row],[zbiornik LPG]]&gt;15,lpg[[#This Row],[km]]*9/100,(lpg[[#This Row],[km]]/2)*9/100),2)</f>
        <v>1.22</v>
      </c>
      <c r="G186">
        <f>lpg[[#This Row],[zbiornik PB95]]-lpg[[#This Row],[zuzycie PB95]]</f>
        <v>44.19</v>
      </c>
      <c r="H186">
        <f>lpg[[#This Row],[zbiornik LPG]]-lpg[[#This Row],[zyzucie lpg]]</f>
        <v>4.3400000000000016</v>
      </c>
      <c r="I186">
        <f>IF(lpg[[#This Row],[dzien]]=4,IF(lpg[[#This Row],[pb po trasie]]&lt;40,45-lpg[[#This Row],[pb po trasie]],0),0)</f>
        <v>0</v>
      </c>
      <c r="J186">
        <f>IF(lpg[[#This Row],[lpg po trasie]]&lt;5,30-lpg[[#This Row],[lpg po trasie]],0)</f>
        <v>25.659999999999997</v>
      </c>
      <c r="K186">
        <f>WEEKDAY(lpg[[#This Row],[data]],2)</f>
        <v>5</v>
      </c>
      <c r="O186" s="1">
        <v>41824</v>
      </c>
      <c r="P186">
        <v>27</v>
      </c>
      <c r="Q186">
        <f>U185+W185</f>
        <v>45</v>
      </c>
      <c r="R186">
        <f>V185+X185</f>
        <v>5.5600000000000014</v>
      </c>
      <c r="S186">
        <f>ROUND(IF(lpg_3[[#This Row],[zbiornik LPG]]&gt;15,0,(lpg_3[[#This Row],[km]]/2)*6/100),2)</f>
        <v>0.81</v>
      </c>
      <c r="T186">
        <f>ROUND(IF(lpg_3[[#This Row],[zbiornik LPG]]&gt;15,lpg_3[[#This Row],[km]]*9/100,(lpg_3[[#This Row],[km]]/2)*9/100),2)</f>
        <v>1.22</v>
      </c>
      <c r="U186">
        <f>lpg_3[[#This Row],[zbiornik PB95]]-lpg_3[[#This Row],[zuzycie PB95]]</f>
        <v>44.19</v>
      </c>
      <c r="V186">
        <f>lpg_3[[#This Row],[zbiornik LPG]]-lpg_3[[#This Row],[zyzucie lpg]]</f>
        <v>4.3400000000000016</v>
      </c>
      <c r="W186">
        <f>IF(lpg_3[[#This Row],[dzien]]=4,IF(lpg_3[[#This Row],[pb po trasie]]&lt;40,45-lpg_3[[#This Row],[pb po trasie]],0),0)</f>
        <v>0</v>
      </c>
      <c r="X186">
        <f>IF(lpg_3[[#This Row],[lpg po trasie]]&lt;5,30-lpg_3[[#This Row],[lpg po trasie]],0)</f>
        <v>25.659999999999997</v>
      </c>
      <c r="Y186">
        <f>WEEKDAY(lpg_3[[#This Row],[data]],2)</f>
        <v>5</v>
      </c>
    </row>
    <row r="187" spans="1:25" x14ac:dyDescent="0.25">
      <c r="A187" s="1">
        <v>41825</v>
      </c>
      <c r="B187">
        <v>56</v>
      </c>
      <c r="C187">
        <f>G186+I186</f>
        <v>44.19</v>
      </c>
      <c r="D187">
        <f>H186+J186</f>
        <v>30</v>
      </c>
      <c r="E187">
        <f>ROUND(IF(lpg[[#This Row],[zbiornik LPG]]&gt;15,0,(lpg[[#This Row],[km]]/2)*6/100),2)</f>
        <v>0</v>
      </c>
      <c r="F187">
        <f>ROUND(IF(lpg[[#This Row],[zbiornik LPG]]&gt;15,lpg[[#This Row],[km]]*9/100,(lpg[[#This Row],[km]]/2)*9/100),2)</f>
        <v>5.04</v>
      </c>
      <c r="G187">
        <f>lpg[[#This Row],[zbiornik PB95]]-lpg[[#This Row],[zuzycie PB95]]</f>
        <v>44.19</v>
      </c>
      <c r="H187">
        <f>lpg[[#This Row],[zbiornik LPG]]-lpg[[#This Row],[zyzucie lpg]]</f>
        <v>24.96</v>
      </c>
      <c r="I187">
        <f>IF(lpg[[#This Row],[dzien]]=4,IF(lpg[[#This Row],[pb po trasie]]&lt;40,45-lpg[[#This Row],[pb po trasie]],0),0)</f>
        <v>0</v>
      </c>
      <c r="J187">
        <f>IF(lpg[[#This Row],[lpg po trasie]]&lt;5,30-lpg[[#This Row],[lpg po trasie]],0)</f>
        <v>0</v>
      </c>
      <c r="K187">
        <f>WEEKDAY(lpg[[#This Row],[data]],2)</f>
        <v>6</v>
      </c>
      <c r="O187" s="1">
        <v>41825</v>
      </c>
      <c r="P187">
        <v>56</v>
      </c>
      <c r="Q187">
        <f>U186+W186</f>
        <v>44.19</v>
      </c>
      <c r="R187">
        <f>V186+X186</f>
        <v>30</v>
      </c>
      <c r="S187">
        <f>ROUND(IF(lpg_3[[#This Row],[zbiornik LPG]]&gt;15,0,(lpg_3[[#This Row],[km]]/2)*6/100),2)</f>
        <v>0</v>
      </c>
      <c r="T187">
        <f>ROUND(IF(lpg_3[[#This Row],[zbiornik LPG]]&gt;15,lpg_3[[#This Row],[km]]*9/100,(lpg_3[[#This Row],[km]]/2)*9/100),2)</f>
        <v>5.04</v>
      </c>
      <c r="U187">
        <f>lpg_3[[#This Row],[zbiornik PB95]]-lpg_3[[#This Row],[zuzycie PB95]]</f>
        <v>44.19</v>
      </c>
      <c r="V187">
        <f>lpg_3[[#This Row],[zbiornik LPG]]-lpg_3[[#This Row],[zyzucie lpg]]</f>
        <v>24.96</v>
      </c>
      <c r="W187">
        <f>IF(lpg_3[[#This Row],[dzien]]=4,IF(lpg_3[[#This Row],[pb po trasie]]&lt;40,45-lpg_3[[#This Row],[pb po trasie]],0),0)</f>
        <v>0</v>
      </c>
      <c r="X187">
        <f>IF(lpg_3[[#This Row],[lpg po trasie]]&lt;5,30-lpg_3[[#This Row],[lpg po trasie]],0)</f>
        <v>0</v>
      </c>
      <c r="Y187">
        <f>WEEKDAY(lpg_3[[#This Row],[data]],2)</f>
        <v>6</v>
      </c>
    </row>
    <row r="188" spans="1:25" x14ac:dyDescent="0.25">
      <c r="A188" s="1">
        <v>41826</v>
      </c>
      <c r="B188">
        <v>141</v>
      </c>
      <c r="C188">
        <f>G187+I187</f>
        <v>44.19</v>
      </c>
      <c r="D188">
        <f>H187+J187</f>
        <v>24.96</v>
      </c>
      <c r="E188">
        <f>ROUND(IF(lpg[[#This Row],[zbiornik LPG]]&gt;15,0,(lpg[[#This Row],[km]]/2)*6/100),2)</f>
        <v>0</v>
      </c>
      <c r="F188">
        <f>ROUND(IF(lpg[[#This Row],[zbiornik LPG]]&gt;15,lpg[[#This Row],[km]]*9/100,(lpg[[#This Row],[km]]/2)*9/100),2)</f>
        <v>12.69</v>
      </c>
      <c r="G188">
        <f>lpg[[#This Row],[zbiornik PB95]]-lpg[[#This Row],[zuzycie PB95]]</f>
        <v>44.19</v>
      </c>
      <c r="H188">
        <f>lpg[[#This Row],[zbiornik LPG]]-lpg[[#This Row],[zyzucie lpg]]</f>
        <v>12.270000000000001</v>
      </c>
      <c r="I188">
        <f>IF(lpg[[#This Row],[dzien]]=4,IF(lpg[[#This Row],[pb po trasie]]&lt;40,45-lpg[[#This Row],[pb po trasie]],0),0)</f>
        <v>0</v>
      </c>
      <c r="J188">
        <f>IF(lpg[[#This Row],[lpg po trasie]]&lt;5,30-lpg[[#This Row],[lpg po trasie]],0)</f>
        <v>0</v>
      </c>
      <c r="K188">
        <f>WEEKDAY(lpg[[#This Row],[data]],2)</f>
        <v>7</v>
      </c>
      <c r="O188" s="1">
        <v>41826</v>
      </c>
      <c r="P188">
        <v>141</v>
      </c>
      <c r="Q188">
        <f>U187+W187</f>
        <v>44.19</v>
      </c>
      <c r="R188">
        <f>V187+X187</f>
        <v>24.96</v>
      </c>
      <c r="S188">
        <f>ROUND(IF(lpg_3[[#This Row],[zbiornik LPG]]&gt;15,0,(lpg_3[[#This Row],[km]]/2)*6/100),2)</f>
        <v>0</v>
      </c>
      <c r="T188">
        <f>ROUND(IF(lpg_3[[#This Row],[zbiornik LPG]]&gt;15,lpg_3[[#This Row],[km]]*9/100,(lpg_3[[#This Row],[km]]/2)*9/100),2)</f>
        <v>12.69</v>
      </c>
      <c r="U188">
        <f>lpg_3[[#This Row],[zbiornik PB95]]-lpg_3[[#This Row],[zuzycie PB95]]</f>
        <v>44.19</v>
      </c>
      <c r="V188">
        <f>lpg_3[[#This Row],[zbiornik LPG]]-lpg_3[[#This Row],[zyzucie lpg]]</f>
        <v>12.270000000000001</v>
      </c>
      <c r="W188">
        <f>IF(lpg_3[[#This Row],[dzien]]=4,IF(lpg_3[[#This Row],[pb po trasie]]&lt;40,45-lpg_3[[#This Row],[pb po trasie]],0),0)</f>
        <v>0</v>
      </c>
      <c r="X188">
        <f>IF(lpg_3[[#This Row],[lpg po trasie]]&lt;5,30-lpg_3[[#This Row],[lpg po trasie]],0)</f>
        <v>0</v>
      </c>
      <c r="Y188">
        <f>WEEKDAY(lpg_3[[#This Row],[data]],2)</f>
        <v>7</v>
      </c>
    </row>
    <row r="189" spans="1:25" x14ac:dyDescent="0.25">
      <c r="A189" s="1">
        <v>41827</v>
      </c>
      <c r="B189">
        <v>120</v>
      </c>
      <c r="C189">
        <f>G188+I188</f>
        <v>44.19</v>
      </c>
      <c r="D189">
        <f>H188+J188</f>
        <v>12.270000000000001</v>
      </c>
      <c r="E189">
        <f>ROUND(IF(lpg[[#This Row],[zbiornik LPG]]&gt;15,0,(lpg[[#This Row],[km]]/2)*6/100),2)</f>
        <v>3.6</v>
      </c>
      <c r="F189">
        <f>ROUND(IF(lpg[[#This Row],[zbiornik LPG]]&gt;15,lpg[[#This Row],[km]]*9/100,(lpg[[#This Row],[km]]/2)*9/100),2)</f>
        <v>5.4</v>
      </c>
      <c r="G189">
        <f>lpg[[#This Row],[zbiornik PB95]]-lpg[[#This Row],[zuzycie PB95]]</f>
        <v>40.589999999999996</v>
      </c>
      <c r="H189">
        <f>lpg[[#This Row],[zbiornik LPG]]-lpg[[#This Row],[zyzucie lpg]]</f>
        <v>6.870000000000001</v>
      </c>
      <c r="I189">
        <f>IF(lpg[[#This Row],[dzien]]=4,IF(lpg[[#This Row],[pb po trasie]]&lt;40,45-lpg[[#This Row],[pb po trasie]],0),0)</f>
        <v>0</v>
      </c>
      <c r="J189">
        <f>IF(lpg[[#This Row],[lpg po trasie]]&lt;5,30-lpg[[#This Row],[lpg po trasie]],0)</f>
        <v>0</v>
      </c>
      <c r="K189">
        <f>WEEKDAY(lpg[[#This Row],[data]],2)</f>
        <v>1</v>
      </c>
      <c r="O189" s="1">
        <v>41827</v>
      </c>
      <c r="P189">
        <v>120</v>
      </c>
      <c r="Q189">
        <f>U188+W188</f>
        <v>44.19</v>
      </c>
      <c r="R189">
        <f>V188+X188</f>
        <v>12.270000000000001</v>
      </c>
      <c r="S189">
        <f>ROUND(IF(lpg_3[[#This Row],[zbiornik LPG]]&gt;15,0,(lpg_3[[#This Row],[km]]/2)*6/100),2)</f>
        <v>3.6</v>
      </c>
      <c r="T189">
        <f>ROUND(IF(lpg_3[[#This Row],[zbiornik LPG]]&gt;15,lpg_3[[#This Row],[km]]*9/100,(lpg_3[[#This Row],[km]]/2)*9/100),2)</f>
        <v>5.4</v>
      </c>
      <c r="U189">
        <f>lpg_3[[#This Row],[zbiornik PB95]]-lpg_3[[#This Row],[zuzycie PB95]]</f>
        <v>40.589999999999996</v>
      </c>
      <c r="V189">
        <f>lpg_3[[#This Row],[zbiornik LPG]]-lpg_3[[#This Row],[zyzucie lpg]]</f>
        <v>6.870000000000001</v>
      </c>
      <c r="W189">
        <f>IF(lpg_3[[#This Row],[dzien]]=4,IF(lpg_3[[#This Row],[pb po trasie]]&lt;40,45-lpg_3[[#This Row],[pb po trasie]],0),0)</f>
        <v>0</v>
      </c>
      <c r="X189">
        <f>IF(lpg_3[[#This Row],[lpg po trasie]]&lt;5,30-lpg_3[[#This Row],[lpg po trasie]],0)</f>
        <v>0</v>
      </c>
      <c r="Y189">
        <f>WEEKDAY(lpg_3[[#This Row],[data]],2)</f>
        <v>1</v>
      </c>
    </row>
    <row r="190" spans="1:25" x14ac:dyDescent="0.25">
      <c r="A190" s="1">
        <v>41828</v>
      </c>
      <c r="B190">
        <v>95</v>
      </c>
      <c r="C190">
        <f>G189+I189</f>
        <v>40.589999999999996</v>
      </c>
      <c r="D190">
        <f>H189+J189</f>
        <v>6.870000000000001</v>
      </c>
      <c r="E190">
        <f>ROUND(IF(lpg[[#This Row],[zbiornik LPG]]&gt;15,0,(lpg[[#This Row],[km]]/2)*6/100),2)</f>
        <v>2.85</v>
      </c>
      <c r="F190">
        <f>ROUND(IF(lpg[[#This Row],[zbiornik LPG]]&gt;15,lpg[[#This Row],[km]]*9/100,(lpg[[#This Row],[km]]/2)*9/100),2)</f>
        <v>4.28</v>
      </c>
      <c r="G190">
        <f>lpg[[#This Row],[zbiornik PB95]]-lpg[[#This Row],[zuzycie PB95]]</f>
        <v>37.739999999999995</v>
      </c>
      <c r="H190">
        <f>lpg[[#This Row],[zbiornik LPG]]-lpg[[#This Row],[zyzucie lpg]]</f>
        <v>2.5900000000000007</v>
      </c>
      <c r="I190">
        <f>IF(lpg[[#This Row],[dzien]]=4,IF(lpg[[#This Row],[pb po trasie]]&lt;40,45-lpg[[#This Row],[pb po trasie]],0),0)</f>
        <v>0</v>
      </c>
      <c r="J190">
        <f>IF(lpg[[#This Row],[lpg po trasie]]&lt;5,30-lpg[[#This Row],[lpg po trasie]],0)</f>
        <v>27.41</v>
      </c>
      <c r="K190">
        <f>WEEKDAY(lpg[[#This Row],[data]],2)</f>
        <v>2</v>
      </c>
      <c r="O190" s="1">
        <v>41828</v>
      </c>
      <c r="P190">
        <v>95</v>
      </c>
      <c r="Q190">
        <f>U189+W189</f>
        <v>40.589999999999996</v>
      </c>
      <c r="R190">
        <f>V189+X189</f>
        <v>6.870000000000001</v>
      </c>
      <c r="S190">
        <f>ROUND(IF(lpg_3[[#This Row],[zbiornik LPG]]&gt;15,0,(lpg_3[[#This Row],[km]]/2)*6/100),2)</f>
        <v>2.85</v>
      </c>
      <c r="T190">
        <f>ROUND(IF(lpg_3[[#This Row],[zbiornik LPG]]&gt;15,lpg_3[[#This Row],[km]]*9/100,(lpg_3[[#This Row],[km]]/2)*9/100),2)</f>
        <v>4.28</v>
      </c>
      <c r="U190">
        <f>lpg_3[[#This Row],[zbiornik PB95]]-lpg_3[[#This Row],[zuzycie PB95]]</f>
        <v>37.739999999999995</v>
      </c>
      <c r="V190">
        <f>lpg_3[[#This Row],[zbiornik LPG]]-lpg_3[[#This Row],[zyzucie lpg]]</f>
        <v>2.5900000000000007</v>
      </c>
      <c r="W190">
        <f>IF(lpg_3[[#This Row],[dzien]]=4,IF(lpg_3[[#This Row],[pb po trasie]]&lt;40,45-lpg_3[[#This Row],[pb po trasie]],0),0)</f>
        <v>0</v>
      </c>
      <c r="X190">
        <f>IF(lpg_3[[#This Row],[lpg po trasie]]&lt;5,30-lpg_3[[#This Row],[lpg po trasie]],0)</f>
        <v>27.41</v>
      </c>
      <c r="Y190">
        <f>WEEKDAY(lpg_3[[#This Row],[data]],2)</f>
        <v>2</v>
      </c>
    </row>
    <row r="191" spans="1:25" x14ac:dyDescent="0.25">
      <c r="A191" s="1">
        <v>41829</v>
      </c>
      <c r="B191">
        <v>81</v>
      </c>
      <c r="C191">
        <f>G190+I190</f>
        <v>37.739999999999995</v>
      </c>
      <c r="D191">
        <f>H190+J190</f>
        <v>30</v>
      </c>
      <c r="E191">
        <f>ROUND(IF(lpg[[#This Row],[zbiornik LPG]]&gt;15,0,(lpg[[#This Row],[km]]/2)*6/100),2)</f>
        <v>0</v>
      </c>
      <c r="F191">
        <f>ROUND(IF(lpg[[#This Row],[zbiornik LPG]]&gt;15,lpg[[#This Row],[km]]*9/100,(lpg[[#This Row],[km]]/2)*9/100),2)</f>
        <v>7.29</v>
      </c>
      <c r="G191">
        <f>lpg[[#This Row],[zbiornik PB95]]-lpg[[#This Row],[zuzycie PB95]]</f>
        <v>37.739999999999995</v>
      </c>
      <c r="H191">
        <f>lpg[[#This Row],[zbiornik LPG]]-lpg[[#This Row],[zyzucie lpg]]</f>
        <v>22.71</v>
      </c>
      <c r="I191">
        <f>IF(lpg[[#This Row],[dzien]]=4,IF(lpg[[#This Row],[pb po trasie]]&lt;40,45-lpg[[#This Row],[pb po trasie]],0),0)</f>
        <v>0</v>
      </c>
      <c r="J191">
        <f>IF(lpg[[#This Row],[lpg po trasie]]&lt;5,30-lpg[[#This Row],[lpg po trasie]],0)</f>
        <v>0</v>
      </c>
      <c r="K191">
        <f>WEEKDAY(lpg[[#This Row],[data]],2)</f>
        <v>3</v>
      </c>
      <c r="O191" s="1">
        <v>41829</v>
      </c>
      <c r="P191">
        <v>81</v>
      </c>
      <c r="Q191">
        <f>U190+W190</f>
        <v>37.739999999999995</v>
      </c>
      <c r="R191">
        <f>V190+X190</f>
        <v>30</v>
      </c>
      <c r="S191">
        <f>ROUND(IF(lpg_3[[#This Row],[zbiornik LPG]]&gt;15,0,(lpg_3[[#This Row],[km]]/2)*6/100),2)</f>
        <v>0</v>
      </c>
      <c r="T191">
        <f>ROUND(IF(lpg_3[[#This Row],[zbiornik LPG]]&gt;15,lpg_3[[#This Row],[km]]*9/100,(lpg_3[[#This Row],[km]]/2)*9/100),2)</f>
        <v>7.29</v>
      </c>
      <c r="U191">
        <f>lpg_3[[#This Row],[zbiornik PB95]]-lpg_3[[#This Row],[zuzycie PB95]]</f>
        <v>37.739999999999995</v>
      </c>
      <c r="V191">
        <f>lpg_3[[#This Row],[zbiornik LPG]]-lpg_3[[#This Row],[zyzucie lpg]]</f>
        <v>22.71</v>
      </c>
      <c r="W191">
        <f>IF(lpg_3[[#This Row],[dzien]]=4,IF(lpg_3[[#This Row],[pb po trasie]]&lt;40,45-lpg_3[[#This Row],[pb po trasie]],0),0)</f>
        <v>0</v>
      </c>
      <c r="X191">
        <f>IF(lpg_3[[#This Row],[lpg po trasie]]&lt;5,30-lpg_3[[#This Row],[lpg po trasie]],0)</f>
        <v>0</v>
      </c>
      <c r="Y191">
        <f>WEEKDAY(lpg_3[[#This Row],[data]],2)</f>
        <v>3</v>
      </c>
    </row>
    <row r="192" spans="1:25" x14ac:dyDescent="0.25">
      <c r="A192" s="1">
        <v>41830</v>
      </c>
      <c r="B192">
        <v>30</v>
      </c>
      <c r="C192">
        <f>G191+I191</f>
        <v>37.739999999999995</v>
      </c>
      <c r="D192">
        <f>H191+J191</f>
        <v>22.71</v>
      </c>
      <c r="E192">
        <f>ROUND(IF(lpg[[#This Row],[zbiornik LPG]]&gt;15,0,(lpg[[#This Row],[km]]/2)*6/100),2)</f>
        <v>0</v>
      </c>
      <c r="F192">
        <f>ROUND(IF(lpg[[#This Row],[zbiornik LPG]]&gt;15,lpg[[#This Row],[km]]*9/100,(lpg[[#This Row],[km]]/2)*9/100),2)</f>
        <v>2.7</v>
      </c>
      <c r="G192">
        <f>lpg[[#This Row],[zbiornik PB95]]-lpg[[#This Row],[zuzycie PB95]]</f>
        <v>37.739999999999995</v>
      </c>
      <c r="H192">
        <f>lpg[[#This Row],[zbiornik LPG]]-lpg[[#This Row],[zyzucie lpg]]</f>
        <v>20.010000000000002</v>
      </c>
      <c r="I192">
        <f>IF(lpg[[#This Row],[dzien]]=4,IF(lpg[[#This Row],[pb po trasie]]&lt;40,45-lpg[[#This Row],[pb po trasie]],0),0)</f>
        <v>7.2600000000000051</v>
      </c>
      <c r="J192">
        <f>IF(lpg[[#This Row],[lpg po trasie]]&lt;5,30-lpg[[#This Row],[lpg po trasie]],0)</f>
        <v>0</v>
      </c>
      <c r="K192">
        <f>WEEKDAY(lpg[[#This Row],[data]],2)</f>
        <v>4</v>
      </c>
      <c r="O192" s="1">
        <v>41830</v>
      </c>
      <c r="P192">
        <v>30</v>
      </c>
      <c r="Q192">
        <f>U191+W191</f>
        <v>37.739999999999995</v>
      </c>
      <c r="R192">
        <f>V191+X191</f>
        <v>22.71</v>
      </c>
      <c r="S192">
        <f>ROUND(IF(lpg_3[[#This Row],[zbiornik LPG]]&gt;15,0,(lpg_3[[#This Row],[km]]/2)*6/100),2)</f>
        <v>0</v>
      </c>
      <c r="T192">
        <f>ROUND(IF(lpg_3[[#This Row],[zbiornik LPG]]&gt;15,lpg_3[[#This Row],[km]]*9/100,(lpg_3[[#This Row],[km]]/2)*9/100),2)</f>
        <v>2.7</v>
      </c>
      <c r="U192">
        <f>lpg_3[[#This Row],[zbiornik PB95]]-lpg_3[[#This Row],[zuzycie PB95]]</f>
        <v>37.739999999999995</v>
      </c>
      <c r="V192">
        <f>lpg_3[[#This Row],[zbiornik LPG]]-lpg_3[[#This Row],[zyzucie lpg]]</f>
        <v>20.010000000000002</v>
      </c>
      <c r="W192">
        <f>IF(lpg_3[[#This Row],[dzien]]=4,IF(lpg_3[[#This Row],[pb po trasie]]&lt;40,45-lpg_3[[#This Row],[pb po trasie]],0),0)</f>
        <v>7.2600000000000051</v>
      </c>
      <c r="X192">
        <f>IF(lpg_3[[#This Row],[lpg po trasie]]&lt;5,30-lpg_3[[#This Row],[lpg po trasie]],0)</f>
        <v>0</v>
      </c>
      <c r="Y192">
        <f>WEEKDAY(lpg_3[[#This Row],[data]],2)</f>
        <v>4</v>
      </c>
    </row>
    <row r="193" spans="1:25" x14ac:dyDescent="0.25">
      <c r="A193" s="1">
        <v>41831</v>
      </c>
      <c r="B193">
        <v>76</v>
      </c>
      <c r="C193">
        <f>G192+I192</f>
        <v>45</v>
      </c>
      <c r="D193">
        <f>H192+J192</f>
        <v>20.010000000000002</v>
      </c>
      <c r="E193">
        <f>ROUND(IF(lpg[[#This Row],[zbiornik LPG]]&gt;15,0,(lpg[[#This Row],[km]]/2)*6/100),2)</f>
        <v>0</v>
      </c>
      <c r="F193">
        <f>ROUND(IF(lpg[[#This Row],[zbiornik LPG]]&gt;15,lpg[[#This Row],[km]]*9/100,(lpg[[#This Row],[km]]/2)*9/100),2)</f>
        <v>6.84</v>
      </c>
      <c r="G193">
        <f>lpg[[#This Row],[zbiornik PB95]]-lpg[[#This Row],[zuzycie PB95]]</f>
        <v>45</v>
      </c>
      <c r="H193">
        <f>lpg[[#This Row],[zbiornik LPG]]-lpg[[#This Row],[zyzucie lpg]]</f>
        <v>13.170000000000002</v>
      </c>
      <c r="I193">
        <f>IF(lpg[[#This Row],[dzien]]=4,IF(lpg[[#This Row],[pb po trasie]]&lt;40,45-lpg[[#This Row],[pb po trasie]],0),0)</f>
        <v>0</v>
      </c>
      <c r="J193">
        <f>IF(lpg[[#This Row],[lpg po trasie]]&lt;5,30-lpg[[#This Row],[lpg po trasie]],0)</f>
        <v>0</v>
      </c>
      <c r="K193">
        <f>WEEKDAY(lpg[[#This Row],[data]],2)</f>
        <v>5</v>
      </c>
      <c r="O193" s="1">
        <v>41831</v>
      </c>
      <c r="P193">
        <v>76</v>
      </c>
      <c r="Q193">
        <f>U192+W192</f>
        <v>45</v>
      </c>
      <c r="R193">
        <f>V192+X192</f>
        <v>20.010000000000002</v>
      </c>
      <c r="S193">
        <f>ROUND(IF(lpg_3[[#This Row],[zbiornik LPG]]&gt;15,0,(lpg_3[[#This Row],[km]]/2)*6/100),2)</f>
        <v>0</v>
      </c>
      <c r="T193">
        <f>ROUND(IF(lpg_3[[#This Row],[zbiornik LPG]]&gt;15,lpg_3[[#This Row],[km]]*9/100,(lpg_3[[#This Row],[km]]/2)*9/100),2)</f>
        <v>6.84</v>
      </c>
      <c r="U193">
        <f>lpg_3[[#This Row],[zbiornik PB95]]-lpg_3[[#This Row],[zuzycie PB95]]</f>
        <v>45</v>
      </c>
      <c r="V193">
        <f>lpg_3[[#This Row],[zbiornik LPG]]-lpg_3[[#This Row],[zyzucie lpg]]</f>
        <v>13.170000000000002</v>
      </c>
      <c r="W193">
        <f>IF(lpg_3[[#This Row],[dzien]]=4,IF(lpg_3[[#This Row],[pb po trasie]]&lt;40,45-lpg_3[[#This Row],[pb po trasie]],0),0)</f>
        <v>0</v>
      </c>
      <c r="X193">
        <f>IF(lpg_3[[#This Row],[lpg po trasie]]&lt;5,30-lpg_3[[#This Row],[lpg po trasie]],0)</f>
        <v>0</v>
      </c>
      <c r="Y193">
        <f>WEEKDAY(lpg_3[[#This Row],[data]],2)</f>
        <v>5</v>
      </c>
    </row>
    <row r="194" spans="1:25" x14ac:dyDescent="0.25">
      <c r="A194" s="1">
        <v>41832</v>
      </c>
      <c r="B194">
        <v>67</v>
      </c>
      <c r="C194">
        <f>G193+I193</f>
        <v>45</v>
      </c>
      <c r="D194">
        <f>H193+J193</f>
        <v>13.170000000000002</v>
      </c>
      <c r="E194">
        <f>ROUND(IF(lpg[[#This Row],[zbiornik LPG]]&gt;15,0,(lpg[[#This Row],[km]]/2)*6/100),2)</f>
        <v>2.0099999999999998</v>
      </c>
      <c r="F194">
        <f>ROUND(IF(lpg[[#This Row],[zbiornik LPG]]&gt;15,lpg[[#This Row],[km]]*9/100,(lpg[[#This Row],[km]]/2)*9/100),2)</f>
        <v>3.02</v>
      </c>
      <c r="G194">
        <f>lpg[[#This Row],[zbiornik PB95]]-lpg[[#This Row],[zuzycie PB95]]</f>
        <v>42.99</v>
      </c>
      <c r="H194">
        <f>lpg[[#This Row],[zbiornik LPG]]-lpg[[#This Row],[zyzucie lpg]]</f>
        <v>10.150000000000002</v>
      </c>
      <c r="I194">
        <f>IF(lpg[[#This Row],[dzien]]=4,IF(lpg[[#This Row],[pb po trasie]]&lt;40,45-lpg[[#This Row],[pb po trasie]],0),0)</f>
        <v>0</v>
      </c>
      <c r="J194">
        <f>IF(lpg[[#This Row],[lpg po trasie]]&lt;5,30-lpg[[#This Row],[lpg po trasie]],0)</f>
        <v>0</v>
      </c>
      <c r="K194">
        <f>WEEKDAY(lpg[[#This Row],[data]],2)</f>
        <v>6</v>
      </c>
      <c r="O194" s="1">
        <v>41832</v>
      </c>
      <c r="P194">
        <v>67</v>
      </c>
      <c r="Q194">
        <f>U193+W193</f>
        <v>45</v>
      </c>
      <c r="R194">
        <f>V193+X193</f>
        <v>13.170000000000002</v>
      </c>
      <c r="S194">
        <f>ROUND(IF(lpg_3[[#This Row],[zbiornik LPG]]&gt;15,0,(lpg_3[[#This Row],[km]]/2)*6/100),2)</f>
        <v>2.0099999999999998</v>
      </c>
      <c r="T194">
        <f>ROUND(IF(lpg_3[[#This Row],[zbiornik LPG]]&gt;15,lpg_3[[#This Row],[km]]*9/100,(lpg_3[[#This Row],[km]]/2)*9/100),2)</f>
        <v>3.02</v>
      </c>
      <c r="U194">
        <f>lpg_3[[#This Row],[zbiornik PB95]]-lpg_3[[#This Row],[zuzycie PB95]]</f>
        <v>42.99</v>
      </c>
      <c r="V194">
        <f>lpg_3[[#This Row],[zbiornik LPG]]-lpg_3[[#This Row],[zyzucie lpg]]</f>
        <v>10.150000000000002</v>
      </c>
      <c r="W194">
        <f>IF(lpg_3[[#This Row],[dzien]]=4,IF(lpg_3[[#This Row],[pb po trasie]]&lt;40,45-lpg_3[[#This Row],[pb po trasie]],0),0)</f>
        <v>0</v>
      </c>
      <c r="X194">
        <f>IF(lpg_3[[#This Row],[lpg po trasie]]&lt;5,30-lpg_3[[#This Row],[lpg po trasie]],0)</f>
        <v>0</v>
      </c>
      <c r="Y194">
        <f>WEEKDAY(lpg_3[[#This Row],[data]],2)</f>
        <v>6</v>
      </c>
    </row>
    <row r="195" spans="1:25" x14ac:dyDescent="0.25">
      <c r="A195" s="1">
        <v>41833</v>
      </c>
      <c r="B195">
        <v>102</v>
      </c>
      <c r="C195">
        <f>G194+I194</f>
        <v>42.99</v>
      </c>
      <c r="D195">
        <f>H194+J194</f>
        <v>10.150000000000002</v>
      </c>
      <c r="E195">
        <f>ROUND(IF(lpg[[#This Row],[zbiornik LPG]]&gt;15,0,(lpg[[#This Row],[km]]/2)*6/100),2)</f>
        <v>3.06</v>
      </c>
      <c r="F195">
        <f>ROUND(IF(lpg[[#This Row],[zbiornik LPG]]&gt;15,lpg[[#This Row],[km]]*9/100,(lpg[[#This Row],[km]]/2)*9/100),2)</f>
        <v>4.59</v>
      </c>
      <c r="G195">
        <f>lpg[[#This Row],[zbiornik PB95]]-lpg[[#This Row],[zuzycie PB95]]</f>
        <v>39.93</v>
      </c>
      <c r="H195">
        <f>lpg[[#This Row],[zbiornik LPG]]-lpg[[#This Row],[zyzucie lpg]]</f>
        <v>5.5600000000000023</v>
      </c>
      <c r="I195">
        <f>IF(lpg[[#This Row],[dzien]]=4,IF(lpg[[#This Row],[pb po trasie]]&lt;40,45-lpg[[#This Row],[pb po trasie]],0),0)</f>
        <v>0</v>
      </c>
      <c r="J195">
        <f>IF(lpg[[#This Row],[lpg po trasie]]&lt;5,30-lpg[[#This Row],[lpg po trasie]],0)</f>
        <v>0</v>
      </c>
      <c r="K195">
        <f>WEEKDAY(lpg[[#This Row],[data]],2)</f>
        <v>7</v>
      </c>
      <c r="O195" s="1">
        <v>41833</v>
      </c>
      <c r="P195">
        <v>102</v>
      </c>
      <c r="Q195">
        <f>U194+W194</f>
        <v>42.99</v>
      </c>
      <c r="R195">
        <f>V194+X194</f>
        <v>10.150000000000002</v>
      </c>
      <c r="S195">
        <f>ROUND(IF(lpg_3[[#This Row],[zbiornik LPG]]&gt;15,0,(lpg_3[[#This Row],[km]]/2)*6/100),2)</f>
        <v>3.06</v>
      </c>
      <c r="T195">
        <f>ROUND(IF(lpg_3[[#This Row],[zbiornik LPG]]&gt;15,lpg_3[[#This Row],[km]]*9/100,(lpg_3[[#This Row],[km]]/2)*9/100),2)</f>
        <v>4.59</v>
      </c>
      <c r="U195">
        <f>lpg_3[[#This Row],[zbiornik PB95]]-lpg_3[[#This Row],[zuzycie PB95]]</f>
        <v>39.93</v>
      </c>
      <c r="V195">
        <f>lpg_3[[#This Row],[zbiornik LPG]]-lpg_3[[#This Row],[zyzucie lpg]]</f>
        <v>5.5600000000000023</v>
      </c>
      <c r="W195">
        <f>IF(lpg_3[[#This Row],[dzien]]=4,IF(lpg_3[[#This Row],[pb po trasie]]&lt;40,45-lpg_3[[#This Row],[pb po trasie]],0),0)</f>
        <v>0</v>
      </c>
      <c r="X195">
        <f>IF(lpg_3[[#This Row],[lpg po trasie]]&lt;5,30-lpg_3[[#This Row],[lpg po trasie]],0)</f>
        <v>0</v>
      </c>
      <c r="Y195">
        <f>WEEKDAY(lpg_3[[#This Row],[data]],2)</f>
        <v>7</v>
      </c>
    </row>
    <row r="196" spans="1:25" x14ac:dyDescent="0.25">
      <c r="A196" s="1">
        <v>41834</v>
      </c>
      <c r="B196">
        <v>67</v>
      </c>
      <c r="C196">
        <f>G195+I195</f>
        <v>39.93</v>
      </c>
      <c r="D196">
        <f>H195+J195</f>
        <v>5.5600000000000023</v>
      </c>
      <c r="E196">
        <f>ROUND(IF(lpg[[#This Row],[zbiornik LPG]]&gt;15,0,(lpg[[#This Row],[km]]/2)*6/100),2)</f>
        <v>2.0099999999999998</v>
      </c>
      <c r="F196">
        <f>ROUND(IF(lpg[[#This Row],[zbiornik LPG]]&gt;15,lpg[[#This Row],[km]]*9/100,(lpg[[#This Row],[km]]/2)*9/100),2)</f>
        <v>3.02</v>
      </c>
      <c r="G196">
        <f>lpg[[#This Row],[zbiornik PB95]]-lpg[[#This Row],[zuzycie PB95]]</f>
        <v>37.92</v>
      </c>
      <c r="H196">
        <f>lpg[[#This Row],[zbiornik LPG]]-lpg[[#This Row],[zyzucie lpg]]</f>
        <v>2.5400000000000023</v>
      </c>
      <c r="I196">
        <f>IF(lpg[[#This Row],[dzien]]=4,IF(lpg[[#This Row],[pb po trasie]]&lt;40,45-lpg[[#This Row],[pb po trasie]],0),0)</f>
        <v>0</v>
      </c>
      <c r="J196">
        <f>IF(lpg[[#This Row],[lpg po trasie]]&lt;5,30-lpg[[#This Row],[lpg po trasie]],0)</f>
        <v>27.459999999999997</v>
      </c>
      <c r="K196">
        <f>WEEKDAY(lpg[[#This Row],[data]],2)</f>
        <v>1</v>
      </c>
      <c r="O196" s="1">
        <v>41834</v>
      </c>
      <c r="P196">
        <v>67</v>
      </c>
      <c r="Q196">
        <f>U195+W195</f>
        <v>39.93</v>
      </c>
      <c r="R196">
        <f>V195+X195</f>
        <v>5.5600000000000023</v>
      </c>
      <c r="S196">
        <f>ROUND(IF(lpg_3[[#This Row],[zbiornik LPG]]&gt;15,0,(lpg_3[[#This Row],[km]]/2)*6/100),2)</f>
        <v>2.0099999999999998</v>
      </c>
      <c r="T196">
        <f>ROUND(IF(lpg_3[[#This Row],[zbiornik LPG]]&gt;15,lpg_3[[#This Row],[km]]*9/100,(lpg_3[[#This Row],[km]]/2)*9/100),2)</f>
        <v>3.02</v>
      </c>
      <c r="U196">
        <f>lpg_3[[#This Row],[zbiornik PB95]]-lpg_3[[#This Row],[zuzycie PB95]]</f>
        <v>37.92</v>
      </c>
      <c r="V196">
        <f>lpg_3[[#This Row],[zbiornik LPG]]-lpg_3[[#This Row],[zyzucie lpg]]</f>
        <v>2.5400000000000023</v>
      </c>
      <c r="W196">
        <f>IF(lpg_3[[#This Row],[dzien]]=4,IF(lpg_3[[#This Row],[pb po trasie]]&lt;40,45-lpg_3[[#This Row],[pb po trasie]],0),0)</f>
        <v>0</v>
      </c>
      <c r="X196">
        <f>IF(lpg_3[[#This Row],[lpg po trasie]]&lt;5,30-lpg_3[[#This Row],[lpg po trasie]],0)</f>
        <v>27.459999999999997</v>
      </c>
      <c r="Y196">
        <f>WEEKDAY(lpg_3[[#This Row],[data]],2)</f>
        <v>1</v>
      </c>
    </row>
    <row r="197" spans="1:25" x14ac:dyDescent="0.25">
      <c r="A197" s="1">
        <v>41835</v>
      </c>
      <c r="B197">
        <v>25</v>
      </c>
      <c r="C197">
        <f>G196+I196</f>
        <v>37.92</v>
      </c>
      <c r="D197">
        <f>H196+J196</f>
        <v>30</v>
      </c>
      <c r="E197">
        <f>ROUND(IF(lpg[[#This Row],[zbiornik LPG]]&gt;15,0,(lpg[[#This Row],[km]]/2)*6/100),2)</f>
        <v>0</v>
      </c>
      <c r="F197">
        <f>ROUND(IF(lpg[[#This Row],[zbiornik LPG]]&gt;15,lpg[[#This Row],[km]]*9/100,(lpg[[#This Row],[km]]/2)*9/100),2)</f>
        <v>2.25</v>
      </c>
      <c r="G197">
        <f>lpg[[#This Row],[zbiornik PB95]]-lpg[[#This Row],[zuzycie PB95]]</f>
        <v>37.92</v>
      </c>
      <c r="H197">
        <f>lpg[[#This Row],[zbiornik LPG]]-lpg[[#This Row],[zyzucie lpg]]</f>
        <v>27.75</v>
      </c>
      <c r="I197">
        <f>IF(lpg[[#This Row],[dzien]]=4,IF(lpg[[#This Row],[pb po trasie]]&lt;40,45-lpg[[#This Row],[pb po trasie]],0),0)</f>
        <v>0</v>
      </c>
      <c r="J197">
        <f>IF(lpg[[#This Row],[lpg po trasie]]&lt;5,30-lpg[[#This Row],[lpg po trasie]],0)</f>
        <v>0</v>
      </c>
      <c r="K197">
        <f>WEEKDAY(lpg[[#This Row],[data]],2)</f>
        <v>2</v>
      </c>
      <c r="O197" s="1">
        <v>41835</v>
      </c>
      <c r="P197">
        <v>25</v>
      </c>
      <c r="Q197">
        <f>U196+W196</f>
        <v>37.92</v>
      </c>
      <c r="R197">
        <f>V196+X196</f>
        <v>30</v>
      </c>
      <c r="S197">
        <f>ROUND(IF(lpg_3[[#This Row],[zbiornik LPG]]&gt;15,0,(lpg_3[[#This Row],[km]]/2)*6/100),2)</f>
        <v>0</v>
      </c>
      <c r="T197">
        <f>ROUND(IF(lpg_3[[#This Row],[zbiornik LPG]]&gt;15,lpg_3[[#This Row],[km]]*9/100,(lpg_3[[#This Row],[km]]/2)*9/100),2)</f>
        <v>2.25</v>
      </c>
      <c r="U197">
        <f>lpg_3[[#This Row],[zbiornik PB95]]-lpg_3[[#This Row],[zuzycie PB95]]</f>
        <v>37.92</v>
      </c>
      <c r="V197">
        <f>lpg_3[[#This Row],[zbiornik LPG]]-lpg_3[[#This Row],[zyzucie lpg]]</f>
        <v>27.75</v>
      </c>
      <c r="W197">
        <f>IF(lpg_3[[#This Row],[dzien]]=4,IF(lpg_3[[#This Row],[pb po trasie]]&lt;40,45-lpg_3[[#This Row],[pb po trasie]],0),0)</f>
        <v>0</v>
      </c>
      <c r="X197">
        <f>IF(lpg_3[[#This Row],[lpg po trasie]]&lt;5,30-lpg_3[[#This Row],[lpg po trasie]],0)</f>
        <v>0</v>
      </c>
      <c r="Y197">
        <f>WEEKDAY(lpg_3[[#This Row],[data]],2)</f>
        <v>2</v>
      </c>
    </row>
    <row r="198" spans="1:25" x14ac:dyDescent="0.25">
      <c r="A198" s="1">
        <v>41836</v>
      </c>
      <c r="B198">
        <v>69</v>
      </c>
      <c r="C198">
        <f>G197+I197</f>
        <v>37.92</v>
      </c>
      <c r="D198">
        <f>H197+J197</f>
        <v>27.75</v>
      </c>
      <c r="E198">
        <f>ROUND(IF(lpg[[#This Row],[zbiornik LPG]]&gt;15,0,(lpg[[#This Row],[km]]/2)*6/100),2)</f>
        <v>0</v>
      </c>
      <c r="F198">
        <f>ROUND(IF(lpg[[#This Row],[zbiornik LPG]]&gt;15,lpg[[#This Row],[km]]*9/100,(lpg[[#This Row],[km]]/2)*9/100),2)</f>
        <v>6.21</v>
      </c>
      <c r="G198">
        <f>lpg[[#This Row],[zbiornik PB95]]-lpg[[#This Row],[zuzycie PB95]]</f>
        <v>37.92</v>
      </c>
      <c r="H198">
        <f>lpg[[#This Row],[zbiornik LPG]]-lpg[[#This Row],[zyzucie lpg]]</f>
        <v>21.54</v>
      </c>
      <c r="I198">
        <f>IF(lpg[[#This Row],[dzien]]=4,IF(lpg[[#This Row],[pb po trasie]]&lt;40,45-lpg[[#This Row],[pb po trasie]],0),0)</f>
        <v>0</v>
      </c>
      <c r="J198">
        <f>IF(lpg[[#This Row],[lpg po trasie]]&lt;5,30-lpg[[#This Row],[lpg po trasie]],0)</f>
        <v>0</v>
      </c>
      <c r="K198">
        <f>WEEKDAY(lpg[[#This Row],[data]],2)</f>
        <v>3</v>
      </c>
      <c r="O198" s="1">
        <v>41836</v>
      </c>
      <c r="P198">
        <v>69</v>
      </c>
      <c r="Q198">
        <f>U197+W197</f>
        <v>37.92</v>
      </c>
      <c r="R198">
        <f>V197+X197</f>
        <v>27.75</v>
      </c>
      <c r="S198">
        <f>ROUND(IF(lpg_3[[#This Row],[zbiornik LPG]]&gt;15,0,(lpg_3[[#This Row],[km]]/2)*6/100),2)</f>
        <v>0</v>
      </c>
      <c r="T198">
        <f>ROUND(IF(lpg_3[[#This Row],[zbiornik LPG]]&gt;15,lpg_3[[#This Row],[km]]*9/100,(lpg_3[[#This Row],[km]]/2)*9/100),2)</f>
        <v>6.21</v>
      </c>
      <c r="U198">
        <f>lpg_3[[#This Row],[zbiornik PB95]]-lpg_3[[#This Row],[zuzycie PB95]]</f>
        <v>37.92</v>
      </c>
      <c r="V198">
        <f>lpg_3[[#This Row],[zbiornik LPG]]-lpg_3[[#This Row],[zyzucie lpg]]</f>
        <v>21.54</v>
      </c>
      <c r="W198">
        <f>IF(lpg_3[[#This Row],[dzien]]=4,IF(lpg_3[[#This Row],[pb po trasie]]&lt;40,45-lpg_3[[#This Row],[pb po trasie]],0),0)</f>
        <v>0</v>
      </c>
      <c r="X198">
        <f>IF(lpg_3[[#This Row],[lpg po trasie]]&lt;5,30-lpg_3[[#This Row],[lpg po trasie]],0)</f>
        <v>0</v>
      </c>
      <c r="Y198">
        <f>WEEKDAY(lpg_3[[#This Row],[data]],2)</f>
        <v>3</v>
      </c>
    </row>
    <row r="199" spans="1:25" x14ac:dyDescent="0.25">
      <c r="A199" s="1">
        <v>41837</v>
      </c>
      <c r="B199">
        <v>61</v>
      </c>
      <c r="C199">
        <f>G198+I198</f>
        <v>37.92</v>
      </c>
      <c r="D199">
        <f>H198+J198</f>
        <v>21.54</v>
      </c>
      <c r="E199">
        <f>ROUND(IF(lpg[[#This Row],[zbiornik LPG]]&gt;15,0,(lpg[[#This Row],[km]]/2)*6/100),2)</f>
        <v>0</v>
      </c>
      <c r="F199">
        <f>ROUND(IF(lpg[[#This Row],[zbiornik LPG]]&gt;15,lpg[[#This Row],[km]]*9/100,(lpg[[#This Row],[km]]/2)*9/100),2)</f>
        <v>5.49</v>
      </c>
      <c r="G199">
        <f>lpg[[#This Row],[zbiornik PB95]]-lpg[[#This Row],[zuzycie PB95]]</f>
        <v>37.92</v>
      </c>
      <c r="H199">
        <f>lpg[[#This Row],[zbiornik LPG]]-lpg[[#This Row],[zyzucie lpg]]</f>
        <v>16.049999999999997</v>
      </c>
      <c r="I199">
        <f>IF(lpg[[#This Row],[dzien]]=4,IF(lpg[[#This Row],[pb po trasie]]&lt;40,45-lpg[[#This Row],[pb po trasie]],0),0)</f>
        <v>7.0799999999999983</v>
      </c>
      <c r="J199">
        <f>IF(lpg[[#This Row],[lpg po trasie]]&lt;5,30-lpg[[#This Row],[lpg po trasie]],0)</f>
        <v>0</v>
      </c>
      <c r="K199">
        <f>WEEKDAY(lpg[[#This Row],[data]],2)</f>
        <v>4</v>
      </c>
      <c r="O199" s="1">
        <v>41837</v>
      </c>
      <c r="P199">
        <v>61</v>
      </c>
      <c r="Q199">
        <f>U198+W198</f>
        <v>37.92</v>
      </c>
      <c r="R199">
        <f>V198+X198</f>
        <v>21.54</v>
      </c>
      <c r="S199">
        <f>ROUND(IF(lpg_3[[#This Row],[zbiornik LPG]]&gt;15,0,(lpg_3[[#This Row],[km]]/2)*6/100),2)</f>
        <v>0</v>
      </c>
      <c r="T199">
        <f>ROUND(IF(lpg_3[[#This Row],[zbiornik LPG]]&gt;15,lpg_3[[#This Row],[km]]*9/100,(lpg_3[[#This Row],[km]]/2)*9/100),2)</f>
        <v>5.49</v>
      </c>
      <c r="U199">
        <f>lpg_3[[#This Row],[zbiornik PB95]]-lpg_3[[#This Row],[zuzycie PB95]]</f>
        <v>37.92</v>
      </c>
      <c r="V199">
        <f>lpg_3[[#This Row],[zbiornik LPG]]-lpg_3[[#This Row],[zyzucie lpg]]</f>
        <v>16.049999999999997</v>
      </c>
      <c r="W199">
        <f>IF(lpg_3[[#This Row],[dzien]]=4,IF(lpg_3[[#This Row],[pb po trasie]]&lt;40,45-lpg_3[[#This Row],[pb po trasie]],0),0)</f>
        <v>7.0799999999999983</v>
      </c>
      <c r="X199">
        <f>IF(lpg_3[[#This Row],[lpg po trasie]]&lt;5,30-lpg_3[[#This Row],[lpg po trasie]],0)</f>
        <v>0</v>
      </c>
      <c r="Y199">
        <f>WEEKDAY(lpg_3[[#This Row],[data]],2)</f>
        <v>4</v>
      </c>
    </row>
    <row r="200" spans="1:25" x14ac:dyDescent="0.25">
      <c r="A200" s="1">
        <v>41838</v>
      </c>
      <c r="B200">
        <v>99</v>
      </c>
      <c r="C200">
        <f>G199+I199</f>
        <v>45</v>
      </c>
      <c r="D200">
        <f>H199+J199</f>
        <v>16.049999999999997</v>
      </c>
      <c r="E200">
        <f>ROUND(IF(lpg[[#This Row],[zbiornik LPG]]&gt;15,0,(lpg[[#This Row],[km]]/2)*6/100),2)</f>
        <v>0</v>
      </c>
      <c r="F200">
        <f>ROUND(IF(lpg[[#This Row],[zbiornik LPG]]&gt;15,lpg[[#This Row],[km]]*9/100,(lpg[[#This Row],[km]]/2)*9/100),2)</f>
        <v>8.91</v>
      </c>
      <c r="G200">
        <f>lpg[[#This Row],[zbiornik PB95]]-lpg[[#This Row],[zuzycie PB95]]</f>
        <v>45</v>
      </c>
      <c r="H200">
        <f>lpg[[#This Row],[zbiornik LPG]]-lpg[[#This Row],[zyzucie lpg]]</f>
        <v>7.139999999999997</v>
      </c>
      <c r="I200">
        <f>IF(lpg[[#This Row],[dzien]]=4,IF(lpg[[#This Row],[pb po trasie]]&lt;40,45-lpg[[#This Row],[pb po trasie]],0),0)</f>
        <v>0</v>
      </c>
      <c r="J200">
        <f>IF(lpg[[#This Row],[lpg po trasie]]&lt;5,30-lpg[[#This Row],[lpg po trasie]],0)</f>
        <v>0</v>
      </c>
      <c r="K200">
        <f>WEEKDAY(lpg[[#This Row],[data]],2)</f>
        <v>5</v>
      </c>
      <c r="O200" s="1">
        <v>41838</v>
      </c>
      <c r="P200">
        <v>99</v>
      </c>
      <c r="Q200">
        <f>U199+W199</f>
        <v>45</v>
      </c>
      <c r="R200">
        <f>V199+X199</f>
        <v>16.049999999999997</v>
      </c>
      <c r="S200">
        <f>ROUND(IF(lpg_3[[#This Row],[zbiornik LPG]]&gt;15,0,(lpg_3[[#This Row],[km]]/2)*6/100),2)</f>
        <v>0</v>
      </c>
      <c r="T200">
        <f>ROUND(IF(lpg_3[[#This Row],[zbiornik LPG]]&gt;15,lpg_3[[#This Row],[km]]*9/100,(lpg_3[[#This Row],[km]]/2)*9/100),2)</f>
        <v>8.91</v>
      </c>
      <c r="U200">
        <f>lpg_3[[#This Row],[zbiornik PB95]]-lpg_3[[#This Row],[zuzycie PB95]]</f>
        <v>45</v>
      </c>
      <c r="V200">
        <f>lpg_3[[#This Row],[zbiornik LPG]]-lpg_3[[#This Row],[zyzucie lpg]]</f>
        <v>7.139999999999997</v>
      </c>
      <c r="W200">
        <f>IF(lpg_3[[#This Row],[dzien]]=4,IF(lpg_3[[#This Row],[pb po trasie]]&lt;40,45-lpg_3[[#This Row],[pb po trasie]],0),0)</f>
        <v>0</v>
      </c>
      <c r="X200">
        <f>IF(lpg_3[[#This Row],[lpg po trasie]]&lt;5,30-lpg_3[[#This Row],[lpg po trasie]],0)</f>
        <v>0</v>
      </c>
      <c r="Y200">
        <f>WEEKDAY(lpg_3[[#This Row],[data]],2)</f>
        <v>5</v>
      </c>
    </row>
    <row r="201" spans="1:25" x14ac:dyDescent="0.25">
      <c r="A201" s="1">
        <v>41839</v>
      </c>
      <c r="B201">
        <v>16</v>
      </c>
      <c r="C201">
        <f>G200+I200</f>
        <v>45</v>
      </c>
      <c r="D201">
        <f>H200+J200</f>
        <v>7.139999999999997</v>
      </c>
      <c r="E201">
        <f>ROUND(IF(lpg[[#This Row],[zbiornik LPG]]&gt;15,0,(lpg[[#This Row],[km]]/2)*6/100),2)</f>
        <v>0.48</v>
      </c>
      <c r="F201">
        <f>ROUND(IF(lpg[[#This Row],[zbiornik LPG]]&gt;15,lpg[[#This Row],[km]]*9/100,(lpg[[#This Row],[km]]/2)*9/100),2)</f>
        <v>0.72</v>
      </c>
      <c r="G201">
        <f>lpg[[#This Row],[zbiornik PB95]]-lpg[[#This Row],[zuzycie PB95]]</f>
        <v>44.52</v>
      </c>
      <c r="H201">
        <f>lpg[[#This Row],[zbiornik LPG]]-lpg[[#This Row],[zyzucie lpg]]</f>
        <v>6.4199999999999973</v>
      </c>
      <c r="I201">
        <f>IF(lpg[[#This Row],[dzien]]=4,IF(lpg[[#This Row],[pb po trasie]]&lt;40,45-lpg[[#This Row],[pb po trasie]],0),0)</f>
        <v>0</v>
      </c>
      <c r="J201">
        <f>IF(lpg[[#This Row],[lpg po trasie]]&lt;5,30-lpg[[#This Row],[lpg po trasie]],0)</f>
        <v>0</v>
      </c>
      <c r="K201">
        <f>WEEKDAY(lpg[[#This Row],[data]],2)</f>
        <v>6</v>
      </c>
      <c r="O201" s="1">
        <v>41839</v>
      </c>
      <c r="P201">
        <v>16</v>
      </c>
      <c r="Q201">
        <f>U200+W200</f>
        <v>45</v>
      </c>
      <c r="R201">
        <f>V200+X200</f>
        <v>7.139999999999997</v>
      </c>
      <c r="S201">
        <f>ROUND(IF(lpg_3[[#This Row],[zbiornik LPG]]&gt;15,0,(lpg_3[[#This Row],[km]]/2)*6/100),2)</f>
        <v>0.48</v>
      </c>
      <c r="T201">
        <f>ROUND(IF(lpg_3[[#This Row],[zbiornik LPG]]&gt;15,lpg_3[[#This Row],[km]]*9/100,(lpg_3[[#This Row],[km]]/2)*9/100),2)</f>
        <v>0.72</v>
      </c>
      <c r="U201">
        <f>lpg_3[[#This Row],[zbiornik PB95]]-lpg_3[[#This Row],[zuzycie PB95]]</f>
        <v>44.52</v>
      </c>
      <c r="V201">
        <f>lpg_3[[#This Row],[zbiornik LPG]]-lpg_3[[#This Row],[zyzucie lpg]]</f>
        <v>6.4199999999999973</v>
      </c>
      <c r="W201">
        <f>IF(lpg_3[[#This Row],[dzien]]=4,IF(lpg_3[[#This Row],[pb po trasie]]&lt;40,45-lpg_3[[#This Row],[pb po trasie]],0),0)</f>
        <v>0</v>
      </c>
      <c r="X201">
        <f>IF(lpg_3[[#This Row],[lpg po trasie]]&lt;5,30-lpg_3[[#This Row],[lpg po trasie]],0)</f>
        <v>0</v>
      </c>
      <c r="Y201">
        <f>WEEKDAY(lpg_3[[#This Row],[data]],2)</f>
        <v>6</v>
      </c>
    </row>
    <row r="202" spans="1:25" x14ac:dyDescent="0.25">
      <c r="A202" s="1">
        <v>41840</v>
      </c>
      <c r="B202">
        <v>102</v>
      </c>
      <c r="C202">
        <f>G201+I201</f>
        <v>44.52</v>
      </c>
      <c r="D202">
        <f>H201+J201</f>
        <v>6.4199999999999973</v>
      </c>
      <c r="E202">
        <f>ROUND(IF(lpg[[#This Row],[zbiornik LPG]]&gt;15,0,(lpg[[#This Row],[km]]/2)*6/100),2)</f>
        <v>3.06</v>
      </c>
      <c r="F202">
        <f>ROUND(IF(lpg[[#This Row],[zbiornik LPG]]&gt;15,lpg[[#This Row],[km]]*9/100,(lpg[[#This Row],[km]]/2)*9/100),2)</f>
        <v>4.59</v>
      </c>
      <c r="G202">
        <f>lpg[[#This Row],[zbiornik PB95]]-lpg[[#This Row],[zuzycie PB95]]</f>
        <v>41.46</v>
      </c>
      <c r="H202">
        <f>lpg[[#This Row],[zbiornik LPG]]-lpg[[#This Row],[zyzucie lpg]]</f>
        <v>1.8299999999999974</v>
      </c>
      <c r="I202">
        <f>IF(lpg[[#This Row],[dzien]]=4,IF(lpg[[#This Row],[pb po trasie]]&lt;40,45-lpg[[#This Row],[pb po trasie]],0),0)</f>
        <v>0</v>
      </c>
      <c r="J202">
        <f>IF(lpg[[#This Row],[lpg po trasie]]&lt;5,30-lpg[[#This Row],[lpg po trasie]],0)</f>
        <v>28.17</v>
      </c>
      <c r="K202">
        <f>WEEKDAY(lpg[[#This Row],[data]],2)</f>
        <v>7</v>
      </c>
      <c r="O202" s="1">
        <v>41840</v>
      </c>
      <c r="P202">
        <v>102</v>
      </c>
      <c r="Q202">
        <f>U201+W201</f>
        <v>44.52</v>
      </c>
      <c r="R202">
        <f>V201+X201</f>
        <v>6.4199999999999973</v>
      </c>
      <c r="S202">
        <f>ROUND(IF(lpg_3[[#This Row],[zbiornik LPG]]&gt;15,0,(lpg_3[[#This Row],[km]]/2)*6/100),2)</f>
        <v>3.06</v>
      </c>
      <c r="T202">
        <f>ROUND(IF(lpg_3[[#This Row],[zbiornik LPG]]&gt;15,lpg_3[[#This Row],[km]]*9/100,(lpg_3[[#This Row],[km]]/2)*9/100),2)</f>
        <v>4.59</v>
      </c>
      <c r="U202">
        <f>lpg_3[[#This Row],[zbiornik PB95]]-lpg_3[[#This Row],[zuzycie PB95]]</f>
        <v>41.46</v>
      </c>
      <c r="V202">
        <f>lpg_3[[#This Row],[zbiornik LPG]]-lpg_3[[#This Row],[zyzucie lpg]]</f>
        <v>1.8299999999999974</v>
      </c>
      <c r="W202">
        <f>IF(lpg_3[[#This Row],[dzien]]=4,IF(lpg_3[[#This Row],[pb po trasie]]&lt;40,45-lpg_3[[#This Row],[pb po trasie]],0),0)</f>
        <v>0</v>
      </c>
      <c r="X202">
        <f>IF(lpg_3[[#This Row],[lpg po trasie]]&lt;5,30-lpg_3[[#This Row],[lpg po trasie]],0)</f>
        <v>28.17</v>
      </c>
      <c r="Y202">
        <f>WEEKDAY(lpg_3[[#This Row],[data]],2)</f>
        <v>7</v>
      </c>
    </row>
    <row r="203" spans="1:25" x14ac:dyDescent="0.25">
      <c r="A203" s="1">
        <v>41841</v>
      </c>
      <c r="B203">
        <v>67</v>
      </c>
      <c r="C203">
        <f>G202+I202</f>
        <v>41.46</v>
      </c>
      <c r="D203">
        <f>H202+J202</f>
        <v>30</v>
      </c>
      <c r="E203">
        <f>ROUND(IF(lpg[[#This Row],[zbiornik LPG]]&gt;15,0,(lpg[[#This Row],[km]]/2)*6/100),2)</f>
        <v>0</v>
      </c>
      <c r="F203">
        <f>ROUND(IF(lpg[[#This Row],[zbiornik LPG]]&gt;15,lpg[[#This Row],[km]]*9/100,(lpg[[#This Row],[km]]/2)*9/100),2)</f>
        <v>6.03</v>
      </c>
      <c r="G203">
        <f>lpg[[#This Row],[zbiornik PB95]]-lpg[[#This Row],[zuzycie PB95]]</f>
        <v>41.46</v>
      </c>
      <c r="H203">
        <f>lpg[[#This Row],[zbiornik LPG]]-lpg[[#This Row],[zyzucie lpg]]</f>
        <v>23.97</v>
      </c>
      <c r="I203">
        <f>IF(lpg[[#This Row],[dzien]]=4,IF(lpg[[#This Row],[pb po trasie]]&lt;40,45-lpg[[#This Row],[pb po trasie]],0),0)</f>
        <v>0</v>
      </c>
      <c r="J203">
        <f>IF(lpg[[#This Row],[lpg po trasie]]&lt;5,30-lpg[[#This Row],[lpg po trasie]],0)</f>
        <v>0</v>
      </c>
      <c r="K203">
        <f>WEEKDAY(lpg[[#This Row],[data]],2)</f>
        <v>1</v>
      </c>
      <c r="O203" s="1">
        <v>41841</v>
      </c>
      <c r="P203">
        <v>67</v>
      </c>
      <c r="Q203">
        <f>U202+W202</f>
        <v>41.46</v>
      </c>
      <c r="R203">
        <f>V202+X202</f>
        <v>30</v>
      </c>
      <c r="S203">
        <f>ROUND(IF(lpg_3[[#This Row],[zbiornik LPG]]&gt;15,0,(lpg_3[[#This Row],[km]]/2)*6/100),2)</f>
        <v>0</v>
      </c>
      <c r="T203">
        <f>ROUND(IF(lpg_3[[#This Row],[zbiornik LPG]]&gt;15,lpg_3[[#This Row],[km]]*9/100,(lpg_3[[#This Row],[km]]/2)*9/100),2)</f>
        <v>6.03</v>
      </c>
      <c r="U203">
        <f>lpg_3[[#This Row],[zbiornik PB95]]-lpg_3[[#This Row],[zuzycie PB95]]</f>
        <v>41.46</v>
      </c>
      <c r="V203">
        <f>lpg_3[[#This Row],[zbiornik LPG]]-lpg_3[[#This Row],[zyzucie lpg]]</f>
        <v>23.97</v>
      </c>
      <c r="W203">
        <f>IF(lpg_3[[#This Row],[dzien]]=4,IF(lpg_3[[#This Row],[pb po trasie]]&lt;40,45-lpg_3[[#This Row],[pb po trasie]],0),0)</f>
        <v>0</v>
      </c>
      <c r="X203">
        <f>IF(lpg_3[[#This Row],[lpg po trasie]]&lt;5,30-lpg_3[[#This Row],[lpg po trasie]],0)</f>
        <v>0</v>
      </c>
      <c r="Y203">
        <f>WEEKDAY(lpg_3[[#This Row],[data]],2)</f>
        <v>1</v>
      </c>
    </row>
    <row r="204" spans="1:25" x14ac:dyDescent="0.25">
      <c r="A204" s="1">
        <v>41842</v>
      </c>
      <c r="B204">
        <v>51</v>
      </c>
      <c r="C204">
        <f>G203+I203</f>
        <v>41.46</v>
      </c>
      <c r="D204">
        <f>H203+J203</f>
        <v>23.97</v>
      </c>
      <c r="E204">
        <f>ROUND(IF(lpg[[#This Row],[zbiornik LPG]]&gt;15,0,(lpg[[#This Row],[km]]/2)*6/100),2)</f>
        <v>0</v>
      </c>
      <c r="F204">
        <f>ROUND(IF(lpg[[#This Row],[zbiornik LPG]]&gt;15,lpg[[#This Row],[km]]*9/100,(lpg[[#This Row],[km]]/2)*9/100),2)</f>
        <v>4.59</v>
      </c>
      <c r="G204">
        <f>lpg[[#This Row],[zbiornik PB95]]-lpg[[#This Row],[zuzycie PB95]]</f>
        <v>41.46</v>
      </c>
      <c r="H204">
        <f>lpg[[#This Row],[zbiornik LPG]]-lpg[[#This Row],[zyzucie lpg]]</f>
        <v>19.38</v>
      </c>
      <c r="I204">
        <f>IF(lpg[[#This Row],[dzien]]=4,IF(lpg[[#This Row],[pb po trasie]]&lt;40,45-lpg[[#This Row],[pb po trasie]],0),0)</f>
        <v>0</v>
      </c>
      <c r="J204">
        <f>IF(lpg[[#This Row],[lpg po trasie]]&lt;5,30-lpg[[#This Row],[lpg po trasie]],0)</f>
        <v>0</v>
      </c>
      <c r="K204">
        <f>WEEKDAY(lpg[[#This Row],[data]],2)</f>
        <v>2</v>
      </c>
      <c r="O204" s="1">
        <v>41842</v>
      </c>
      <c r="P204">
        <v>51</v>
      </c>
      <c r="Q204">
        <f>U203+W203</f>
        <v>41.46</v>
      </c>
      <c r="R204">
        <f>V203+X203</f>
        <v>23.97</v>
      </c>
      <c r="S204">
        <f>ROUND(IF(lpg_3[[#This Row],[zbiornik LPG]]&gt;15,0,(lpg_3[[#This Row],[km]]/2)*6/100),2)</f>
        <v>0</v>
      </c>
      <c r="T204">
        <f>ROUND(IF(lpg_3[[#This Row],[zbiornik LPG]]&gt;15,lpg_3[[#This Row],[km]]*9/100,(lpg_3[[#This Row],[km]]/2)*9/100),2)</f>
        <v>4.59</v>
      </c>
      <c r="U204">
        <f>lpg_3[[#This Row],[zbiornik PB95]]-lpg_3[[#This Row],[zuzycie PB95]]</f>
        <v>41.46</v>
      </c>
      <c r="V204">
        <f>lpg_3[[#This Row],[zbiornik LPG]]-lpg_3[[#This Row],[zyzucie lpg]]</f>
        <v>19.38</v>
      </c>
      <c r="W204">
        <f>IF(lpg_3[[#This Row],[dzien]]=4,IF(lpg_3[[#This Row],[pb po trasie]]&lt;40,45-lpg_3[[#This Row],[pb po trasie]],0),0)</f>
        <v>0</v>
      </c>
      <c r="X204">
        <f>IF(lpg_3[[#This Row],[lpg po trasie]]&lt;5,30-lpg_3[[#This Row],[lpg po trasie]],0)</f>
        <v>0</v>
      </c>
      <c r="Y204">
        <f>WEEKDAY(lpg_3[[#This Row],[data]],2)</f>
        <v>2</v>
      </c>
    </row>
    <row r="205" spans="1:25" x14ac:dyDescent="0.25">
      <c r="A205" s="1">
        <v>41843</v>
      </c>
      <c r="B205">
        <v>34</v>
      </c>
      <c r="C205">
        <f>G204+I204</f>
        <v>41.46</v>
      </c>
      <c r="D205">
        <f>H204+J204</f>
        <v>19.38</v>
      </c>
      <c r="E205">
        <f>ROUND(IF(lpg[[#This Row],[zbiornik LPG]]&gt;15,0,(lpg[[#This Row],[km]]/2)*6/100),2)</f>
        <v>0</v>
      </c>
      <c r="F205">
        <f>ROUND(IF(lpg[[#This Row],[zbiornik LPG]]&gt;15,lpg[[#This Row],[km]]*9/100,(lpg[[#This Row],[km]]/2)*9/100),2)</f>
        <v>3.06</v>
      </c>
      <c r="G205">
        <f>lpg[[#This Row],[zbiornik PB95]]-lpg[[#This Row],[zuzycie PB95]]</f>
        <v>41.46</v>
      </c>
      <c r="H205">
        <f>lpg[[#This Row],[zbiornik LPG]]-lpg[[#This Row],[zyzucie lpg]]</f>
        <v>16.32</v>
      </c>
      <c r="I205">
        <f>IF(lpg[[#This Row],[dzien]]=4,IF(lpg[[#This Row],[pb po trasie]]&lt;40,45-lpg[[#This Row],[pb po trasie]],0),0)</f>
        <v>0</v>
      </c>
      <c r="J205">
        <f>IF(lpg[[#This Row],[lpg po trasie]]&lt;5,30-lpg[[#This Row],[lpg po trasie]],0)</f>
        <v>0</v>
      </c>
      <c r="K205">
        <f>WEEKDAY(lpg[[#This Row],[data]],2)</f>
        <v>3</v>
      </c>
      <c r="O205" s="1">
        <v>41843</v>
      </c>
      <c r="P205">
        <v>34</v>
      </c>
      <c r="Q205">
        <f>U204+W204</f>
        <v>41.46</v>
      </c>
      <c r="R205">
        <f>V204+X204</f>
        <v>19.38</v>
      </c>
      <c r="S205">
        <f>ROUND(IF(lpg_3[[#This Row],[zbiornik LPG]]&gt;15,0,(lpg_3[[#This Row],[km]]/2)*6/100),2)</f>
        <v>0</v>
      </c>
      <c r="T205">
        <f>ROUND(IF(lpg_3[[#This Row],[zbiornik LPG]]&gt;15,lpg_3[[#This Row],[km]]*9/100,(lpg_3[[#This Row],[km]]/2)*9/100),2)</f>
        <v>3.06</v>
      </c>
      <c r="U205">
        <f>lpg_3[[#This Row],[zbiornik PB95]]-lpg_3[[#This Row],[zuzycie PB95]]</f>
        <v>41.46</v>
      </c>
      <c r="V205">
        <f>lpg_3[[#This Row],[zbiornik LPG]]-lpg_3[[#This Row],[zyzucie lpg]]</f>
        <v>16.32</v>
      </c>
      <c r="W205">
        <f>IF(lpg_3[[#This Row],[dzien]]=4,IF(lpg_3[[#This Row],[pb po trasie]]&lt;40,45-lpg_3[[#This Row],[pb po trasie]],0),0)</f>
        <v>0</v>
      </c>
      <c r="X205">
        <f>IF(lpg_3[[#This Row],[lpg po trasie]]&lt;5,30-lpg_3[[#This Row],[lpg po trasie]],0)</f>
        <v>0</v>
      </c>
      <c r="Y205">
        <f>WEEKDAY(lpg_3[[#This Row],[data]],2)</f>
        <v>3</v>
      </c>
    </row>
    <row r="206" spans="1:25" x14ac:dyDescent="0.25">
      <c r="A206" s="1">
        <v>41844</v>
      </c>
      <c r="B206">
        <v>108</v>
      </c>
      <c r="C206">
        <f>G205+I205</f>
        <v>41.46</v>
      </c>
      <c r="D206">
        <f>H205+J205</f>
        <v>16.32</v>
      </c>
      <c r="E206">
        <f>ROUND(IF(lpg[[#This Row],[zbiornik LPG]]&gt;15,0,(lpg[[#This Row],[km]]/2)*6/100),2)</f>
        <v>0</v>
      </c>
      <c r="F206">
        <f>ROUND(IF(lpg[[#This Row],[zbiornik LPG]]&gt;15,lpg[[#This Row],[km]]*9/100,(lpg[[#This Row],[km]]/2)*9/100),2)</f>
        <v>9.7200000000000006</v>
      </c>
      <c r="G206">
        <f>lpg[[#This Row],[zbiornik PB95]]-lpg[[#This Row],[zuzycie PB95]]</f>
        <v>41.46</v>
      </c>
      <c r="H206">
        <f>lpg[[#This Row],[zbiornik LPG]]-lpg[[#This Row],[zyzucie lpg]]</f>
        <v>6.6</v>
      </c>
      <c r="I206">
        <f>IF(lpg[[#This Row],[dzien]]=4,IF(lpg[[#This Row],[pb po trasie]]&lt;40,45-lpg[[#This Row],[pb po trasie]],0),0)</f>
        <v>0</v>
      </c>
      <c r="J206">
        <f>IF(lpg[[#This Row],[lpg po trasie]]&lt;5,30-lpg[[#This Row],[lpg po trasie]],0)</f>
        <v>0</v>
      </c>
      <c r="K206">
        <f>WEEKDAY(lpg[[#This Row],[data]],2)</f>
        <v>4</v>
      </c>
      <c r="O206" s="1">
        <v>41844</v>
      </c>
      <c r="P206">
        <v>108</v>
      </c>
      <c r="Q206">
        <f>U205+W205</f>
        <v>41.46</v>
      </c>
      <c r="R206">
        <f>V205+X205</f>
        <v>16.32</v>
      </c>
      <c r="S206">
        <f>ROUND(IF(lpg_3[[#This Row],[zbiornik LPG]]&gt;15,0,(lpg_3[[#This Row],[km]]/2)*6/100),2)</f>
        <v>0</v>
      </c>
      <c r="T206">
        <f>ROUND(IF(lpg_3[[#This Row],[zbiornik LPG]]&gt;15,lpg_3[[#This Row],[km]]*9/100,(lpg_3[[#This Row],[km]]/2)*9/100),2)</f>
        <v>9.7200000000000006</v>
      </c>
      <c r="U206">
        <f>lpg_3[[#This Row],[zbiornik PB95]]-lpg_3[[#This Row],[zuzycie PB95]]</f>
        <v>41.46</v>
      </c>
      <c r="V206">
        <f>lpg_3[[#This Row],[zbiornik LPG]]-lpg_3[[#This Row],[zyzucie lpg]]</f>
        <v>6.6</v>
      </c>
      <c r="W206">
        <f>IF(lpg_3[[#This Row],[dzien]]=4,IF(lpg_3[[#This Row],[pb po trasie]]&lt;40,45-lpg_3[[#This Row],[pb po trasie]],0),0)</f>
        <v>0</v>
      </c>
      <c r="X206">
        <f>IF(lpg_3[[#This Row],[lpg po trasie]]&lt;5,30-lpg_3[[#This Row],[lpg po trasie]],0)</f>
        <v>0</v>
      </c>
      <c r="Y206">
        <f>WEEKDAY(lpg_3[[#This Row],[data]],2)</f>
        <v>4</v>
      </c>
    </row>
    <row r="207" spans="1:25" x14ac:dyDescent="0.25">
      <c r="A207" s="1">
        <v>41845</v>
      </c>
      <c r="B207">
        <v>64</v>
      </c>
      <c r="C207">
        <f>G206+I206</f>
        <v>41.46</v>
      </c>
      <c r="D207">
        <f>H206+J206</f>
        <v>6.6</v>
      </c>
      <c r="E207">
        <f>ROUND(IF(lpg[[#This Row],[zbiornik LPG]]&gt;15,0,(lpg[[#This Row],[km]]/2)*6/100),2)</f>
        <v>1.92</v>
      </c>
      <c r="F207">
        <f>ROUND(IF(lpg[[#This Row],[zbiornik LPG]]&gt;15,lpg[[#This Row],[km]]*9/100,(lpg[[#This Row],[km]]/2)*9/100),2)</f>
        <v>2.88</v>
      </c>
      <c r="G207">
        <f>lpg[[#This Row],[zbiornik PB95]]-lpg[[#This Row],[zuzycie PB95]]</f>
        <v>39.54</v>
      </c>
      <c r="H207">
        <f>lpg[[#This Row],[zbiornik LPG]]-lpg[[#This Row],[zyzucie lpg]]</f>
        <v>3.7199999999999998</v>
      </c>
      <c r="I207">
        <f>IF(lpg[[#This Row],[dzien]]=4,IF(lpg[[#This Row],[pb po trasie]]&lt;40,45-lpg[[#This Row],[pb po trasie]],0),0)</f>
        <v>0</v>
      </c>
      <c r="J207">
        <f>IF(lpg[[#This Row],[lpg po trasie]]&lt;5,30-lpg[[#This Row],[lpg po trasie]],0)</f>
        <v>26.28</v>
      </c>
      <c r="K207">
        <f>WEEKDAY(lpg[[#This Row],[data]],2)</f>
        <v>5</v>
      </c>
      <c r="O207" s="1">
        <v>41845</v>
      </c>
      <c r="P207">
        <v>64</v>
      </c>
      <c r="Q207">
        <f>U206+W206</f>
        <v>41.46</v>
      </c>
      <c r="R207">
        <f>V206+X206</f>
        <v>6.6</v>
      </c>
      <c r="S207">
        <f>ROUND(IF(lpg_3[[#This Row],[zbiornik LPG]]&gt;15,0,(lpg_3[[#This Row],[km]]/2)*6/100),2)</f>
        <v>1.92</v>
      </c>
      <c r="T207">
        <f>ROUND(IF(lpg_3[[#This Row],[zbiornik LPG]]&gt;15,lpg_3[[#This Row],[km]]*9/100,(lpg_3[[#This Row],[km]]/2)*9/100),2)</f>
        <v>2.88</v>
      </c>
      <c r="U207">
        <f>lpg_3[[#This Row],[zbiornik PB95]]-lpg_3[[#This Row],[zuzycie PB95]]</f>
        <v>39.54</v>
      </c>
      <c r="V207">
        <f>lpg_3[[#This Row],[zbiornik LPG]]-lpg_3[[#This Row],[zyzucie lpg]]</f>
        <v>3.7199999999999998</v>
      </c>
      <c r="W207">
        <f>IF(lpg_3[[#This Row],[dzien]]=4,IF(lpg_3[[#This Row],[pb po trasie]]&lt;40,45-lpg_3[[#This Row],[pb po trasie]],0),0)</f>
        <v>0</v>
      </c>
      <c r="X207">
        <f>IF(lpg_3[[#This Row],[lpg po trasie]]&lt;5,30-lpg_3[[#This Row],[lpg po trasie]],0)</f>
        <v>26.28</v>
      </c>
      <c r="Y207">
        <f>WEEKDAY(lpg_3[[#This Row],[data]],2)</f>
        <v>5</v>
      </c>
    </row>
    <row r="208" spans="1:25" x14ac:dyDescent="0.25">
      <c r="A208" s="1">
        <v>41846</v>
      </c>
      <c r="B208">
        <v>53</v>
      </c>
      <c r="C208">
        <f>G207+I207</f>
        <v>39.54</v>
      </c>
      <c r="D208">
        <f>H207+J207</f>
        <v>30</v>
      </c>
      <c r="E208">
        <f>ROUND(IF(lpg[[#This Row],[zbiornik LPG]]&gt;15,0,(lpg[[#This Row],[km]]/2)*6/100),2)</f>
        <v>0</v>
      </c>
      <c r="F208">
        <f>ROUND(IF(lpg[[#This Row],[zbiornik LPG]]&gt;15,lpg[[#This Row],[km]]*9/100,(lpg[[#This Row],[km]]/2)*9/100),2)</f>
        <v>4.7699999999999996</v>
      </c>
      <c r="G208">
        <f>lpg[[#This Row],[zbiornik PB95]]-lpg[[#This Row],[zuzycie PB95]]</f>
        <v>39.54</v>
      </c>
      <c r="H208">
        <f>lpg[[#This Row],[zbiornik LPG]]-lpg[[#This Row],[zyzucie lpg]]</f>
        <v>25.23</v>
      </c>
      <c r="I208">
        <f>IF(lpg[[#This Row],[dzien]]=4,IF(lpg[[#This Row],[pb po trasie]]&lt;40,45-lpg[[#This Row],[pb po trasie]],0),0)</f>
        <v>0</v>
      </c>
      <c r="J208">
        <f>IF(lpg[[#This Row],[lpg po trasie]]&lt;5,30-lpg[[#This Row],[lpg po trasie]],0)</f>
        <v>0</v>
      </c>
      <c r="K208">
        <f>WEEKDAY(lpg[[#This Row],[data]],2)</f>
        <v>6</v>
      </c>
      <c r="O208" s="1">
        <v>41846</v>
      </c>
      <c r="P208">
        <v>53</v>
      </c>
      <c r="Q208">
        <f>U207+W207</f>
        <v>39.54</v>
      </c>
      <c r="R208">
        <f>V207+X207</f>
        <v>30</v>
      </c>
      <c r="S208">
        <f>ROUND(IF(lpg_3[[#This Row],[zbiornik LPG]]&gt;15,0,(lpg_3[[#This Row],[km]]/2)*6/100),2)</f>
        <v>0</v>
      </c>
      <c r="T208">
        <f>ROUND(IF(lpg_3[[#This Row],[zbiornik LPG]]&gt;15,lpg_3[[#This Row],[km]]*9/100,(lpg_3[[#This Row],[km]]/2)*9/100),2)</f>
        <v>4.7699999999999996</v>
      </c>
      <c r="U208">
        <f>lpg_3[[#This Row],[zbiornik PB95]]-lpg_3[[#This Row],[zuzycie PB95]]</f>
        <v>39.54</v>
      </c>
      <c r="V208">
        <f>lpg_3[[#This Row],[zbiornik LPG]]-lpg_3[[#This Row],[zyzucie lpg]]</f>
        <v>25.23</v>
      </c>
      <c r="W208">
        <f>IF(lpg_3[[#This Row],[dzien]]=4,IF(lpg_3[[#This Row],[pb po trasie]]&lt;40,45-lpg_3[[#This Row],[pb po trasie]],0),0)</f>
        <v>0</v>
      </c>
      <c r="X208">
        <f>IF(lpg_3[[#This Row],[lpg po trasie]]&lt;5,30-lpg_3[[#This Row],[lpg po trasie]],0)</f>
        <v>0</v>
      </c>
      <c r="Y208">
        <f>WEEKDAY(lpg_3[[#This Row],[data]],2)</f>
        <v>6</v>
      </c>
    </row>
    <row r="209" spans="1:25" x14ac:dyDescent="0.25">
      <c r="A209" s="1">
        <v>41847</v>
      </c>
      <c r="B209">
        <v>66</v>
      </c>
      <c r="C209">
        <f>G208+I208</f>
        <v>39.54</v>
      </c>
      <c r="D209">
        <f>H208+J208</f>
        <v>25.23</v>
      </c>
      <c r="E209">
        <f>ROUND(IF(lpg[[#This Row],[zbiornik LPG]]&gt;15,0,(lpg[[#This Row],[km]]/2)*6/100),2)</f>
        <v>0</v>
      </c>
      <c r="F209">
        <f>ROUND(IF(lpg[[#This Row],[zbiornik LPG]]&gt;15,lpg[[#This Row],[km]]*9/100,(lpg[[#This Row],[km]]/2)*9/100),2)</f>
        <v>5.94</v>
      </c>
      <c r="G209">
        <f>lpg[[#This Row],[zbiornik PB95]]-lpg[[#This Row],[zuzycie PB95]]</f>
        <v>39.54</v>
      </c>
      <c r="H209">
        <f>lpg[[#This Row],[zbiornik LPG]]-lpg[[#This Row],[zyzucie lpg]]</f>
        <v>19.29</v>
      </c>
      <c r="I209">
        <f>IF(lpg[[#This Row],[dzien]]=4,IF(lpg[[#This Row],[pb po trasie]]&lt;40,45-lpg[[#This Row],[pb po trasie]],0),0)</f>
        <v>0</v>
      </c>
      <c r="J209">
        <f>IF(lpg[[#This Row],[lpg po trasie]]&lt;5,30-lpg[[#This Row],[lpg po trasie]],0)</f>
        <v>0</v>
      </c>
      <c r="K209">
        <f>WEEKDAY(lpg[[#This Row],[data]],2)</f>
        <v>7</v>
      </c>
      <c r="O209" s="1">
        <v>41847</v>
      </c>
      <c r="P209">
        <v>66</v>
      </c>
      <c r="Q209">
        <f>U208+W208</f>
        <v>39.54</v>
      </c>
      <c r="R209">
        <f>V208+X208</f>
        <v>25.23</v>
      </c>
      <c r="S209">
        <f>ROUND(IF(lpg_3[[#This Row],[zbiornik LPG]]&gt;15,0,(lpg_3[[#This Row],[km]]/2)*6/100),2)</f>
        <v>0</v>
      </c>
      <c r="T209">
        <f>ROUND(IF(lpg_3[[#This Row],[zbiornik LPG]]&gt;15,lpg_3[[#This Row],[km]]*9/100,(lpg_3[[#This Row],[km]]/2)*9/100),2)</f>
        <v>5.94</v>
      </c>
      <c r="U209">
        <f>lpg_3[[#This Row],[zbiornik PB95]]-lpg_3[[#This Row],[zuzycie PB95]]</f>
        <v>39.54</v>
      </c>
      <c r="V209">
        <f>lpg_3[[#This Row],[zbiornik LPG]]-lpg_3[[#This Row],[zyzucie lpg]]</f>
        <v>19.29</v>
      </c>
      <c r="W209">
        <f>IF(lpg_3[[#This Row],[dzien]]=4,IF(lpg_3[[#This Row],[pb po trasie]]&lt;40,45-lpg_3[[#This Row],[pb po trasie]],0),0)</f>
        <v>0</v>
      </c>
      <c r="X209">
        <f>IF(lpg_3[[#This Row],[lpg po trasie]]&lt;5,30-lpg_3[[#This Row],[lpg po trasie]],0)</f>
        <v>0</v>
      </c>
      <c r="Y209">
        <f>WEEKDAY(lpg_3[[#This Row],[data]],2)</f>
        <v>7</v>
      </c>
    </row>
    <row r="210" spans="1:25" x14ac:dyDescent="0.25">
      <c r="A210" s="1">
        <v>41848</v>
      </c>
      <c r="B210">
        <v>109</v>
      </c>
      <c r="C210">
        <f>G209+I209</f>
        <v>39.54</v>
      </c>
      <c r="D210">
        <f>H209+J209</f>
        <v>19.29</v>
      </c>
      <c r="E210">
        <f>ROUND(IF(lpg[[#This Row],[zbiornik LPG]]&gt;15,0,(lpg[[#This Row],[km]]/2)*6/100),2)</f>
        <v>0</v>
      </c>
      <c r="F210">
        <f>ROUND(IF(lpg[[#This Row],[zbiornik LPG]]&gt;15,lpg[[#This Row],[km]]*9/100,(lpg[[#This Row],[km]]/2)*9/100),2)</f>
        <v>9.81</v>
      </c>
      <c r="G210">
        <f>lpg[[#This Row],[zbiornik PB95]]-lpg[[#This Row],[zuzycie PB95]]</f>
        <v>39.54</v>
      </c>
      <c r="H210">
        <f>lpg[[#This Row],[zbiornik LPG]]-lpg[[#This Row],[zyzucie lpg]]</f>
        <v>9.4799999999999986</v>
      </c>
      <c r="I210">
        <f>IF(lpg[[#This Row],[dzien]]=4,IF(lpg[[#This Row],[pb po trasie]]&lt;40,45-lpg[[#This Row],[pb po trasie]],0),0)</f>
        <v>0</v>
      </c>
      <c r="J210">
        <f>IF(lpg[[#This Row],[lpg po trasie]]&lt;5,30-lpg[[#This Row],[lpg po trasie]],0)</f>
        <v>0</v>
      </c>
      <c r="K210">
        <f>WEEKDAY(lpg[[#This Row],[data]],2)</f>
        <v>1</v>
      </c>
      <c r="O210" s="1">
        <v>41848</v>
      </c>
      <c r="P210">
        <v>109</v>
      </c>
      <c r="Q210">
        <f>U209+W209</f>
        <v>39.54</v>
      </c>
      <c r="R210">
        <f>V209+X209</f>
        <v>19.29</v>
      </c>
      <c r="S210">
        <f>ROUND(IF(lpg_3[[#This Row],[zbiornik LPG]]&gt;15,0,(lpg_3[[#This Row],[km]]/2)*6/100),2)</f>
        <v>0</v>
      </c>
      <c r="T210">
        <f>ROUND(IF(lpg_3[[#This Row],[zbiornik LPG]]&gt;15,lpg_3[[#This Row],[km]]*9/100,(lpg_3[[#This Row],[km]]/2)*9/100),2)</f>
        <v>9.81</v>
      </c>
      <c r="U210">
        <f>lpg_3[[#This Row],[zbiornik PB95]]-lpg_3[[#This Row],[zuzycie PB95]]</f>
        <v>39.54</v>
      </c>
      <c r="V210">
        <f>lpg_3[[#This Row],[zbiornik LPG]]-lpg_3[[#This Row],[zyzucie lpg]]</f>
        <v>9.4799999999999986</v>
      </c>
      <c r="W210">
        <f>IF(lpg_3[[#This Row],[dzien]]=4,IF(lpg_3[[#This Row],[pb po trasie]]&lt;40,45-lpg_3[[#This Row],[pb po trasie]],0),0)</f>
        <v>0</v>
      </c>
      <c r="X210">
        <f>IF(lpg_3[[#This Row],[lpg po trasie]]&lt;5,30-lpg_3[[#This Row],[lpg po trasie]],0)</f>
        <v>0</v>
      </c>
      <c r="Y210">
        <f>WEEKDAY(lpg_3[[#This Row],[data]],2)</f>
        <v>1</v>
      </c>
    </row>
    <row r="211" spans="1:25" x14ac:dyDescent="0.25">
      <c r="A211" s="1">
        <v>41849</v>
      </c>
      <c r="B211">
        <v>70</v>
      </c>
      <c r="C211">
        <f>G210+I210</f>
        <v>39.54</v>
      </c>
      <c r="D211">
        <f>H210+J210</f>
        <v>9.4799999999999986</v>
      </c>
      <c r="E211">
        <f>ROUND(IF(lpg[[#This Row],[zbiornik LPG]]&gt;15,0,(lpg[[#This Row],[km]]/2)*6/100),2)</f>
        <v>2.1</v>
      </c>
      <c r="F211">
        <f>ROUND(IF(lpg[[#This Row],[zbiornik LPG]]&gt;15,lpg[[#This Row],[km]]*9/100,(lpg[[#This Row],[km]]/2)*9/100),2)</f>
        <v>3.15</v>
      </c>
      <c r="G211">
        <f>lpg[[#This Row],[zbiornik PB95]]-lpg[[#This Row],[zuzycie PB95]]</f>
        <v>37.44</v>
      </c>
      <c r="H211">
        <f>lpg[[#This Row],[zbiornik LPG]]-lpg[[#This Row],[zyzucie lpg]]</f>
        <v>6.3299999999999983</v>
      </c>
      <c r="I211">
        <f>IF(lpg[[#This Row],[dzien]]=4,IF(lpg[[#This Row],[pb po trasie]]&lt;40,45-lpg[[#This Row],[pb po trasie]],0),0)</f>
        <v>0</v>
      </c>
      <c r="J211">
        <f>IF(lpg[[#This Row],[lpg po trasie]]&lt;5,30-lpg[[#This Row],[lpg po trasie]],0)</f>
        <v>0</v>
      </c>
      <c r="K211">
        <f>WEEKDAY(lpg[[#This Row],[data]],2)</f>
        <v>2</v>
      </c>
      <c r="O211" s="1">
        <v>41849</v>
      </c>
      <c r="P211">
        <v>70</v>
      </c>
      <c r="Q211">
        <f>U210+W210</f>
        <v>39.54</v>
      </c>
      <c r="R211">
        <f>V210+X210</f>
        <v>9.4799999999999986</v>
      </c>
      <c r="S211">
        <f>ROUND(IF(lpg_3[[#This Row],[zbiornik LPG]]&gt;15,0,(lpg_3[[#This Row],[km]]/2)*6/100),2)</f>
        <v>2.1</v>
      </c>
      <c r="T211">
        <f>ROUND(IF(lpg_3[[#This Row],[zbiornik LPG]]&gt;15,lpg_3[[#This Row],[km]]*9/100,(lpg_3[[#This Row],[km]]/2)*9/100),2)</f>
        <v>3.15</v>
      </c>
      <c r="U211">
        <f>lpg_3[[#This Row],[zbiornik PB95]]-lpg_3[[#This Row],[zuzycie PB95]]</f>
        <v>37.44</v>
      </c>
      <c r="V211">
        <f>lpg_3[[#This Row],[zbiornik LPG]]-lpg_3[[#This Row],[zyzucie lpg]]</f>
        <v>6.3299999999999983</v>
      </c>
      <c r="W211">
        <f>IF(lpg_3[[#This Row],[dzien]]=4,IF(lpg_3[[#This Row],[pb po trasie]]&lt;40,45-lpg_3[[#This Row],[pb po trasie]],0),0)</f>
        <v>0</v>
      </c>
      <c r="X211">
        <f>IF(lpg_3[[#This Row],[lpg po trasie]]&lt;5,30-lpg_3[[#This Row],[lpg po trasie]],0)</f>
        <v>0</v>
      </c>
      <c r="Y211">
        <f>WEEKDAY(lpg_3[[#This Row],[data]],2)</f>
        <v>2</v>
      </c>
    </row>
    <row r="212" spans="1:25" x14ac:dyDescent="0.25">
      <c r="A212" s="1">
        <v>41850</v>
      </c>
      <c r="B212">
        <v>29</v>
      </c>
      <c r="C212">
        <f>G211+I211</f>
        <v>37.44</v>
      </c>
      <c r="D212">
        <f>H211+J211</f>
        <v>6.3299999999999983</v>
      </c>
      <c r="E212">
        <f>ROUND(IF(lpg[[#This Row],[zbiornik LPG]]&gt;15,0,(lpg[[#This Row],[km]]/2)*6/100),2)</f>
        <v>0.87</v>
      </c>
      <c r="F212">
        <f>ROUND(IF(lpg[[#This Row],[zbiornik LPG]]&gt;15,lpg[[#This Row],[km]]*9/100,(lpg[[#This Row],[km]]/2)*9/100),2)</f>
        <v>1.31</v>
      </c>
      <c r="G212">
        <f>lpg[[#This Row],[zbiornik PB95]]-lpg[[#This Row],[zuzycie PB95]]</f>
        <v>36.57</v>
      </c>
      <c r="H212">
        <f>lpg[[#This Row],[zbiornik LPG]]-lpg[[#This Row],[zyzucie lpg]]</f>
        <v>5.0199999999999978</v>
      </c>
      <c r="I212">
        <f>IF(lpg[[#This Row],[dzien]]=4,IF(lpg[[#This Row],[pb po trasie]]&lt;40,45-lpg[[#This Row],[pb po trasie]],0),0)</f>
        <v>0</v>
      </c>
      <c r="J212">
        <f>IF(lpg[[#This Row],[lpg po trasie]]&lt;5,30-lpg[[#This Row],[lpg po trasie]],0)</f>
        <v>0</v>
      </c>
      <c r="K212">
        <f>WEEKDAY(lpg[[#This Row],[data]],2)</f>
        <v>3</v>
      </c>
      <c r="O212" s="1">
        <v>41850</v>
      </c>
      <c r="P212">
        <v>29</v>
      </c>
      <c r="Q212">
        <f>U211+W211</f>
        <v>37.44</v>
      </c>
      <c r="R212">
        <f>V211+X211</f>
        <v>6.3299999999999983</v>
      </c>
      <c r="S212">
        <f>ROUND(IF(lpg_3[[#This Row],[zbiornik LPG]]&gt;15,0,(lpg_3[[#This Row],[km]]/2)*6/100),2)</f>
        <v>0.87</v>
      </c>
      <c r="T212">
        <f>ROUND(IF(lpg_3[[#This Row],[zbiornik LPG]]&gt;15,lpg_3[[#This Row],[km]]*9/100,(lpg_3[[#This Row],[km]]/2)*9/100),2)</f>
        <v>1.31</v>
      </c>
      <c r="U212">
        <f>lpg_3[[#This Row],[zbiornik PB95]]-lpg_3[[#This Row],[zuzycie PB95]]</f>
        <v>36.57</v>
      </c>
      <c r="V212">
        <f>lpg_3[[#This Row],[zbiornik LPG]]-lpg_3[[#This Row],[zyzucie lpg]]</f>
        <v>5.0199999999999978</v>
      </c>
      <c r="W212">
        <f>IF(lpg_3[[#This Row],[dzien]]=4,IF(lpg_3[[#This Row],[pb po trasie]]&lt;40,45-lpg_3[[#This Row],[pb po trasie]],0),0)</f>
        <v>0</v>
      </c>
      <c r="X212">
        <f>IF(lpg_3[[#This Row],[lpg po trasie]]&lt;5,30-lpg_3[[#This Row],[lpg po trasie]],0)</f>
        <v>0</v>
      </c>
      <c r="Y212">
        <f>WEEKDAY(lpg_3[[#This Row],[data]],2)</f>
        <v>3</v>
      </c>
    </row>
    <row r="213" spans="1:25" x14ac:dyDescent="0.25">
      <c r="A213" s="1">
        <v>41851</v>
      </c>
      <c r="B213">
        <v>41</v>
      </c>
      <c r="C213">
        <f>G212+I212</f>
        <v>36.57</v>
      </c>
      <c r="D213">
        <f>H212+J212</f>
        <v>5.0199999999999978</v>
      </c>
      <c r="E213">
        <f>ROUND(IF(lpg[[#This Row],[zbiornik LPG]]&gt;15,0,(lpg[[#This Row],[km]]/2)*6/100),2)</f>
        <v>1.23</v>
      </c>
      <c r="F213">
        <f>ROUND(IF(lpg[[#This Row],[zbiornik LPG]]&gt;15,lpg[[#This Row],[km]]*9/100,(lpg[[#This Row],[km]]/2)*9/100),2)</f>
        <v>1.85</v>
      </c>
      <c r="G213">
        <f>lpg[[#This Row],[zbiornik PB95]]-lpg[[#This Row],[zuzycie PB95]]</f>
        <v>35.340000000000003</v>
      </c>
      <c r="H213">
        <f>lpg[[#This Row],[zbiornik LPG]]-lpg[[#This Row],[zyzucie lpg]]</f>
        <v>3.1699999999999977</v>
      </c>
      <c r="I213">
        <f>IF(lpg[[#This Row],[dzien]]=4,IF(lpg[[#This Row],[pb po trasie]]&lt;40,45-lpg[[#This Row],[pb po trasie]],0),0)</f>
        <v>9.6599999999999966</v>
      </c>
      <c r="J213">
        <f>IF(lpg[[#This Row],[lpg po trasie]]&lt;5,30-lpg[[#This Row],[lpg po trasie]],0)</f>
        <v>26.830000000000002</v>
      </c>
      <c r="K213">
        <f>WEEKDAY(lpg[[#This Row],[data]],2)</f>
        <v>4</v>
      </c>
      <c r="O213" s="1">
        <v>41851</v>
      </c>
      <c r="P213">
        <v>41</v>
      </c>
      <c r="Q213">
        <f>U212+W212</f>
        <v>36.57</v>
      </c>
      <c r="R213">
        <f>V212+X212</f>
        <v>5.0199999999999978</v>
      </c>
      <c r="S213">
        <f>ROUND(IF(lpg_3[[#This Row],[zbiornik LPG]]&gt;15,0,(lpg_3[[#This Row],[km]]/2)*6/100),2)</f>
        <v>1.23</v>
      </c>
      <c r="T213">
        <f>ROUND(IF(lpg_3[[#This Row],[zbiornik LPG]]&gt;15,lpg_3[[#This Row],[km]]*9/100,(lpg_3[[#This Row],[km]]/2)*9/100),2)</f>
        <v>1.85</v>
      </c>
      <c r="U213">
        <f>lpg_3[[#This Row],[zbiornik PB95]]-lpg_3[[#This Row],[zuzycie PB95]]</f>
        <v>35.340000000000003</v>
      </c>
      <c r="V213">
        <f>lpg_3[[#This Row],[zbiornik LPG]]-lpg_3[[#This Row],[zyzucie lpg]]</f>
        <v>3.1699999999999977</v>
      </c>
      <c r="W213">
        <f>IF(lpg_3[[#This Row],[dzien]]=4,IF(lpg_3[[#This Row],[pb po trasie]]&lt;40,45-lpg_3[[#This Row],[pb po trasie]],0),0)</f>
        <v>9.6599999999999966</v>
      </c>
      <c r="X213">
        <f>IF(lpg_3[[#This Row],[lpg po trasie]]&lt;5,30-lpg_3[[#This Row],[lpg po trasie]],0)</f>
        <v>26.830000000000002</v>
      </c>
      <c r="Y213">
        <f>WEEKDAY(lpg_3[[#This Row],[data]],2)</f>
        <v>4</v>
      </c>
    </row>
    <row r="214" spans="1:25" x14ac:dyDescent="0.25">
      <c r="A214" s="1">
        <v>41852</v>
      </c>
      <c r="B214">
        <v>41</v>
      </c>
      <c r="C214">
        <f>G213+I213</f>
        <v>45</v>
      </c>
      <c r="D214">
        <f>H213+J213</f>
        <v>30</v>
      </c>
      <c r="E214">
        <f>ROUND(IF(lpg[[#This Row],[zbiornik LPG]]&gt;15,0,(lpg[[#This Row],[km]]/2)*6/100),2)</f>
        <v>0</v>
      </c>
      <c r="F214">
        <f>ROUND(IF(lpg[[#This Row],[zbiornik LPG]]&gt;15,lpg[[#This Row],[km]]*9/100,(lpg[[#This Row],[km]]/2)*9/100),2)</f>
        <v>3.69</v>
      </c>
      <c r="G214">
        <f>lpg[[#This Row],[zbiornik PB95]]-lpg[[#This Row],[zuzycie PB95]]</f>
        <v>45</v>
      </c>
      <c r="H214">
        <f>lpg[[#This Row],[zbiornik LPG]]-lpg[[#This Row],[zyzucie lpg]]</f>
        <v>26.31</v>
      </c>
      <c r="I214">
        <f>IF(lpg[[#This Row],[dzien]]=4,IF(lpg[[#This Row],[pb po trasie]]&lt;40,45-lpg[[#This Row],[pb po trasie]],0),0)</f>
        <v>0</v>
      </c>
      <c r="J214">
        <f>IF(lpg[[#This Row],[lpg po trasie]]&lt;5,30-lpg[[#This Row],[lpg po trasie]],0)</f>
        <v>0</v>
      </c>
      <c r="K214">
        <f>WEEKDAY(lpg[[#This Row],[data]],2)</f>
        <v>5</v>
      </c>
      <c r="O214" s="1">
        <v>41852</v>
      </c>
      <c r="P214">
        <v>41</v>
      </c>
      <c r="Q214">
        <f>U213+W213</f>
        <v>45</v>
      </c>
      <c r="R214">
        <f>V213+X213</f>
        <v>30</v>
      </c>
      <c r="S214">
        <f>ROUND(IF(lpg_3[[#This Row],[zbiornik LPG]]&gt;15,0,(lpg_3[[#This Row],[km]]/2)*6/100),2)</f>
        <v>0</v>
      </c>
      <c r="T214">
        <f>ROUND(IF(lpg_3[[#This Row],[zbiornik LPG]]&gt;15,lpg_3[[#This Row],[km]]*9/100,(lpg_3[[#This Row],[km]]/2)*9/100),2)</f>
        <v>3.69</v>
      </c>
      <c r="U214">
        <f>lpg_3[[#This Row],[zbiornik PB95]]-lpg_3[[#This Row],[zuzycie PB95]]</f>
        <v>45</v>
      </c>
      <c r="V214">
        <f>lpg_3[[#This Row],[zbiornik LPG]]-lpg_3[[#This Row],[zyzucie lpg]]</f>
        <v>26.31</v>
      </c>
      <c r="W214">
        <f>IF(lpg_3[[#This Row],[dzien]]=4,IF(lpg_3[[#This Row],[pb po trasie]]&lt;40,45-lpg_3[[#This Row],[pb po trasie]],0),0)</f>
        <v>0</v>
      </c>
      <c r="X214">
        <f>IF(lpg_3[[#This Row],[lpg po trasie]]&lt;5,30-lpg_3[[#This Row],[lpg po trasie]],0)</f>
        <v>0</v>
      </c>
      <c r="Y214">
        <f>WEEKDAY(lpg_3[[#This Row],[data]],2)</f>
        <v>5</v>
      </c>
    </row>
    <row r="215" spans="1:25" x14ac:dyDescent="0.25">
      <c r="A215" s="1">
        <v>41853</v>
      </c>
      <c r="B215">
        <v>116</v>
      </c>
      <c r="C215">
        <f>G214+I214</f>
        <v>45</v>
      </c>
      <c r="D215">
        <f>H214+J214</f>
        <v>26.31</v>
      </c>
      <c r="E215">
        <f>ROUND(IF(lpg[[#This Row],[zbiornik LPG]]&gt;15,0,(lpg[[#This Row],[km]]/2)*6/100),2)</f>
        <v>0</v>
      </c>
      <c r="F215">
        <f>ROUND(IF(lpg[[#This Row],[zbiornik LPG]]&gt;15,lpg[[#This Row],[km]]*9/100,(lpg[[#This Row],[km]]/2)*9/100),2)</f>
        <v>10.44</v>
      </c>
      <c r="G215">
        <f>lpg[[#This Row],[zbiornik PB95]]-lpg[[#This Row],[zuzycie PB95]]</f>
        <v>45</v>
      </c>
      <c r="H215">
        <f>lpg[[#This Row],[zbiornik LPG]]-lpg[[#This Row],[zyzucie lpg]]</f>
        <v>15.87</v>
      </c>
      <c r="I215">
        <f>IF(lpg[[#This Row],[dzien]]=4,IF(lpg[[#This Row],[pb po trasie]]&lt;40,45-lpg[[#This Row],[pb po trasie]],0),0)</f>
        <v>0</v>
      </c>
      <c r="J215">
        <f>IF(lpg[[#This Row],[lpg po trasie]]&lt;5,30-lpg[[#This Row],[lpg po trasie]],0)</f>
        <v>0</v>
      </c>
      <c r="K215">
        <f>WEEKDAY(lpg[[#This Row],[data]],2)</f>
        <v>6</v>
      </c>
      <c r="O215" s="1">
        <v>41853</v>
      </c>
      <c r="P215">
        <v>116</v>
      </c>
      <c r="Q215">
        <f>U214+W214</f>
        <v>45</v>
      </c>
      <c r="R215">
        <f>V214+X214</f>
        <v>26.31</v>
      </c>
      <c r="S215">
        <f>ROUND(IF(lpg_3[[#This Row],[zbiornik LPG]]&gt;15,0,(lpg_3[[#This Row],[km]]/2)*6/100),2)</f>
        <v>0</v>
      </c>
      <c r="T215">
        <f>ROUND(IF(lpg_3[[#This Row],[zbiornik LPG]]&gt;15,lpg_3[[#This Row],[km]]*9/100,(lpg_3[[#This Row],[km]]/2)*9/100),2)</f>
        <v>10.44</v>
      </c>
      <c r="U215">
        <f>lpg_3[[#This Row],[zbiornik PB95]]-lpg_3[[#This Row],[zuzycie PB95]]</f>
        <v>45</v>
      </c>
      <c r="V215">
        <f>lpg_3[[#This Row],[zbiornik LPG]]-lpg_3[[#This Row],[zyzucie lpg]]</f>
        <v>15.87</v>
      </c>
      <c r="W215">
        <f>IF(lpg_3[[#This Row],[dzien]]=4,IF(lpg_3[[#This Row],[pb po trasie]]&lt;40,45-lpg_3[[#This Row],[pb po trasie]],0),0)</f>
        <v>0</v>
      </c>
      <c r="X215">
        <f>IF(lpg_3[[#This Row],[lpg po trasie]]&lt;5,30-lpg_3[[#This Row],[lpg po trasie]],0)</f>
        <v>0</v>
      </c>
      <c r="Y215">
        <f>WEEKDAY(lpg_3[[#This Row],[data]],2)</f>
        <v>6</v>
      </c>
    </row>
    <row r="216" spans="1:25" x14ac:dyDescent="0.25">
      <c r="A216" s="1">
        <v>41854</v>
      </c>
      <c r="B216">
        <v>128</v>
      </c>
      <c r="C216">
        <f>G215+I215</f>
        <v>45</v>
      </c>
      <c r="D216">
        <f>H215+J215</f>
        <v>15.87</v>
      </c>
      <c r="E216">
        <f>ROUND(IF(lpg[[#This Row],[zbiornik LPG]]&gt;15,0,(lpg[[#This Row],[km]]/2)*6/100),2)</f>
        <v>0</v>
      </c>
      <c r="F216">
        <f>ROUND(IF(lpg[[#This Row],[zbiornik LPG]]&gt;15,lpg[[#This Row],[km]]*9/100,(lpg[[#This Row],[km]]/2)*9/100),2)</f>
        <v>11.52</v>
      </c>
      <c r="G216">
        <f>lpg[[#This Row],[zbiornik PB95]]-lpg[[#This Row],[zuzycie PB95]]</f>
        <v>45</v>
      </c>
      <c r="H216">
        <f>lpg[[#This Row],[zbiornik LPG]]-lpg[[#This Row],[zyzucie lpg]]</f>
        <v>4.3499999999999996</v>
      </c>
      <c r="I216">
        <f>IF(lpg[[#This Row],[dzien]]=4,IF(lpg[[#This Row],[pb po trasie]]&lt;40,45-lpg[[#This Row],[pb po trasie]],0),0)</f>
        <v>0</v>
      </c>
      <c r="J216">
        <f>IF(lpg[[#This Row],[lpg po trasie]]&lt;5,30-lpg[[#This Row],[lpg po trasie]],0)</f>
        <v>25.65</v>
      </c>
      <c r="K216">
        <f>WEEKDAY(lpg[[#This Row],[data]],2)</f>
        <v>7</v>
      </c>
      <c r="O216" s="1">
        <v>41854</v>
      </c>
      <c r="P216">
        <v>128</v>
      </c>
      <c r="Q216">
        <f>U215+W215</f>
        <v>45</v>
      </c>
      <c r="R216">
        <f>V215+X215</f>
        <v>15.87</v>
      </c>
      <c r="S216">
        <f>ROUND(IF(lpg_3[[#This Row],[zbiornik LPG]]&gt;15,0,(lpg_3[[#This Row],[km]]/2)*6/100),2)</f>
        <v>0</v>
      </c>
      <c r="T216">
        <f>ROUND(IF(lpg_3[[#This Row],[zbiornik LPG]]&gt;15,lpg_3[[#This Row],[km]]*9/100,(lpg_3[[#This Row],[km]]/2)*9/100),2)</f>
        <v>11.52</v>
      </c>
      <c r="U216">
        <f>lpg_3[[#This Row],[zbiornik PB95]]-lpg_3[[#This Row],[zuzycie PB95]]</f>
        <v>45</v>
      </c>
      <c r="V216">
        <f>lpg_3[[#This Row],[zbiornik LPG]]-lpg_3[[#This Row],[zyzucie lpg]]</f>
        <v>4.3499999999999996</v>
      </c>
      <c r="W216">
        <f>IF(lpg_3[[#This Row],[dzien]]=4,IF(lpg_3[[#This Row],[pb po trasie]]&lt;40,45-lpg_3[[#This Row],[pb po trasie]],0),0)</f>
        <v>0</v>
      </c>
      <c r="X216">
        <f>IF(lpg_3[[#This Row],[lpg po trasie]]&lt;5,30-lpg_3[[#This Row],[lpg po trasie]],0)</f>
        <v>25.65</v>
      </c>
      <c r="Y216">
        <f>WEEKDAY(lpg_3[[#This Row],[data]],2)</f>
        <v>7</v>
      </c>
    </row>
    <row r="217" spans="1:25" x14ac:dyDescent="0.25">
      <c r="A217" s="1">
        <v>41855</v>
      </c>
      <c r="B217">
        <v>66</v>
      </c>
      <c r="C217">
        <f>G216+I216</f>
        <v>45</v>
      </c>
      <c r="D217">
        <f>H216+J216</f>
        <v>30</v>
      </c>
      <c r="E217">
        <f>ROUND(IF(lpg[[#This Row],[zbiornik LPG]]&gt;15,0,(lpg[[#This Row],[km]]/2)*6/100),2)</f>
        <v>0</v>
      </c>
      <c r="F217">
        <f>ROUND(IF(lpg[[#This Row],[zbiornik LPG]]&gt;15,lpg[[#This Row],[km]]*9/100,(lpg[[#This Row],[km]]/2)*9/100),2)</f>
        <v>5.94</v>
      </c>
      <c r="G217">
        <f>lpg[[#This Row],[zbiornik PB95]]-lpg[[#This Row],[zuzycie PB95]]</f>
        <v>45</v>
      </c>
      <c r="H217">
        <f>lpg[[#This Row],[zbiornik LPG]]-lpg[[#This Row],[zyzucie lpg]]</f>
        <v>24.06</v>
      </c>
      <c r="I217">
        <f>IF(lpg[[#This Row],[dzien]]=4,IF(lpg[[#This Row],[pb po trasie]]&lt;40,45-lpg[[#This Row],[pb po trasie]],0),0)</f>
        <v>0</v>
      </c>
      <c r="J217">
        <f>IF(lpg[[#This Row],[lpg po trasie]]&lt;5,30-lpg[[#This Row],[lpg po trasie]],0)</f>
        <v>0</v>
      </c>
      <c r="K217">
        <f>WEEKDAY(lpg[[#This Row],[data]],2)</f>
        <v>1</v>
      </c>
      <c r="O217" s="1">
        <v>41855</v>
      </c>
      <c r="P217">
        <v>66</v>
      </c>
      <c r="Q217">
        <f>U216+W216</f>
        <v>45</v>
      </c>
      <c r="R217">
        <f>V216+X216</f>
        <v>30</v>
      </c>
      <c r="S217">
        <f>ROUND(IF(lpg_3[[#This Row],[zbiornik LPG]]&gt;15,0,(lpg_3[[#This Row],[km]]/2)*6/100),2)</f>
        <v>0</v>
      </c>
      <c r="T217">
        <f>ROUND(IF(lpg_3[[#This Row],[zbiornik LPG]]&gt;15,lpg_3[[#This Row],[km]]*9/100,(lpg_3[[#This Row],[km]]/2)*9/100),2)</f>
        <v>5.94</v>
      </c>
      <c r="U217">
        <f>lpg_3[[#This Row],[zbiornik PB95]]-lpg_3[[#This Row],[zuzycie PB95]]</f>
        <v>45</v>
      </c>
      <c r="V217">
        <f>lpg_3[[#This Row],[zbiornik LPG]]-lpg_3[[#This Row],[zyzucie lpg]]</f>
        <v>24.06</v>
      </c>
      <c r="W217">
        <f>IF(lpg_3[[#This Row],[dzien]]=4,IF(lpg_3[[#This Row],[pb po trasie]]&lt;40,45-lpg_3[[#This Row],[pb po trasie]],0),0)</f>
        <v>0</v>
      </c>
      <c r="X217">
        <f>IF(lpg_3[[#This Row],[lpg po trasie]]&lt;5,30-lpg_3[[#This Row],[lpg po trasie]],0)</f>
        <v>0</v>
      </c>
      <c r="Y217">
        <f>WEEKDAY(lpg_3[[#This Row],[data]],2)</f>
        <v>1</v>
      </c>
    </row>
    <row r="218" spans="1:25" x14ac:dyDescent="0.25">
      <c r="A218" s="1">
        <v>41856</v>
      </c>
      <c r="B218">
        <v>129</v>
      </c>
      <c r="C218">
        <f>G217+I217</f>
        <v>45</v>
      </c>
      <c r="D218">
        <f>H217+J217</f>
        <v>24.06</v>
      </c>
      <c r="E218">
        <f>ROUND(IF(lpg[[#This Row],[zbiornik LPG]]&gt;15,0,(lpg[[#This Row],[km]]/2)*6/100),2)</f>
        <v>0</v>
      </c>
      <c r="F218">
        <f>ROUND(IF(lpg[[#This Row],[zbiornik LPG]]&gt;15,lpg[[#This Row],[km]]*9/100,(lpg[[#This Row],[km]]/2)*9/100),2)</f>
        <v>11.61</v>
      </c>
      <c r="G218">
        <f>lpg[[#This Row],[zbiornik PB95]]-lpg[[#This Row],[zuzycie PB95]]</f>
        <v>45</v>
      </c>
      <c r="H218">
        <f>lpg[[#This Row],[zbiornik LPG]]-lpg[[#This Row],[zyzucie lpg]]</f>
        <v>12.45</v>
      </c>
      <c r="I218">
        <f>IF(lpg[[#This Row],[dzien]]=4,IF(lpg[[#This Row],[pb po trasie]]&lt;40,45-lpg[[#This Row],[pb po trasie]],0),0)</f>
        <v>0</v>
      </c>
      <c r="J218">
        <f>IF(lpg[[#This Row],[lpg po trasie]]&lt;5,30-lpg[[#This Row],[lpg po trasie]],0)</f>
        <v>0</v>
      </c>
      <c r="K218">
        <f>WEEKDAY(lpg[[#This Row],[data]],2)</f>
        <v>2</v>
      </c>
      <c r="O218" s="1">
        <v>41856</v>
      </c>
      <c r="P218">
        <v>129</v>
      </c>
      <c r="Q218">
        <f>U217+W217</f>
        <v>45</v>
      </c>
      <c r="R218">
        <f>V217+X217</f>
        <v>24.06</v>
      </c>
      <c r="S218">
        <f>ROUND(IF(lpg_3[[#This Row],[zbiornik LPG]]&gt;15,0,(lpg_3[[#This Row],[km]]/2)*6/100),2)</f>
        <v>0</v>
      </c>
      <c r="T218">
        <f>ROUND(IF(lpg_3[[#This Row],[zbiornik LPG]]&gt;15,lpg_3[[#This Row],[km]]*9/100,(lpg_3[[#This Row],[km]]/2)*9/100),2)</f>
        <v>11.61</v>
      </c>
      <c r="U218">
        <f>lpg_3[[#This Row],[zbiornik PB95]]-lpg_3[[#This Row],[zuzycie PB95]]</f>
        <v>45</v>
      </c>
      <c r="V218">
        <f>lpg_3[[#This Row],[zbiornik LPG]]-lpg_3[[#This Row],[zyzucie lpg]]</f>
        <v>12.45</v>
      </c>
      <c r="W218">
        <f>IF(lpg_3[[#This Row],[dzien]]=4,IF(lpg_3[[#This Row],[pb po trasie]]&lt;40,45-lpg_3[[#This Row],[pb po trasie]],0),0)</f>
        <v>0</v>
      </c>
      <c r="X218">
        <f>IF(lpg_3[[#This Row],[lpg po trasie]]&lt;5,30-lpg_3[[#This Row],[lpg po trasie]],0)</f>
        <v>0</v>
      </c>
      <c r="Y218">
        <f>WEEKDAY(lpg_3[[#This Row],[data]],2)</f>
        <v>2</v>
      </c>
    </row>
    <row r="219" spans="1:25" x14ac:dyDescent="0.25">
      <c r="A219" s="1">
        <v>41857</v>
      </c>
      <c r="B219">
        <v>41</v>
      </c>
      <c r="C219">
        <f>G218+I218</f>
        <v>45</v>
      </c>
      <c r="D219">
        <f>H218+J218</f>
        <v>12.45</v>
      </c>
      <c r="E219">
        <f>ROUND(IF(lpg[[#This Row],[zbiornik LPG]]&gt;15,0,(lpg[[#This Row],[km]]/2)*6/100),2)</f>
        <v>1.23</v>
      </c>
      <c r="F219">
        <f>ROUND(IF(lpg[[#This Row],[zbiornik LPG]]&gt;15,lpg[[#This Row],[km]]*9/100,(lpg[[#This Row],[km]]/2)*9/100),2)</f>
        <v>1.85</v>
      </c>
      <c r="G219">
        <f>lpg[[#This Row],[zbiornik PB95]]-lpg[[#This Row],[zuzycie PB95]]</f>
        <v>43.77</v>
      </c>
      <c r="H219">
        <f>lpg[[#This Row],[zbiornik LPG]]-lpg[[#This Row],[zyzucie lpg]]</f>
        <v>10.6</v>
      </c>
      <c r="I219">
        <f>IF(lpg[[#This Row],[dzien]]=4,IF(lpg[[#This Row],[pb po trasie]]&lt;40,45-lpg[[#This Row],[pb po trasie]],0),0)</f>
        <v>0</v>
      </c>
      <c r="J219">
        <f>IF(lpg[[#This Row],[lpg po trasie]]&lt;5,30-lpg[[#This Row],[lpg po trasie]],0)</f>
        <v>0</v>
      </c>
      <c r="K219">
        <f>WEEKDAY(lpg[[#This Row],[data]],2)</f>
        <v>3</v>
      </c>
      <c r="O219" s="1">
        <v>41857</v>
      </c>
      <c r="P219">
        <v>41</v>
      </c>
      <c r="Q219">
        <f>U218+W218</f>
        <v>45</v>
      </c>
      <c r="R219">
        <f>V218+X218</f>
        <v>12.45</v>
      </c>
      <c r="S219">
        <f>ROUND(IF(lpg_3[[#This Row],[zbiornik LPG]]&gt;15,0,(lpg_3[[#This Row],[km]]/2)*6/100),2)</f>
        <v>1.23</v>
      </c>
      <c r="T219">
        <f>ROUND(IF(lpg_3[[#This Row],[zbiornik LPG]]&gt;15,lpg_3[[#This Row],[km]]*9/100,(lpg_3[[#This Row],[km]]/2)*9/100),2)</f>
        <v>1.85</v>
      </c>
      <c r="U219">
        <f>lpg_3[[#This Row],[zbiornik PB95]]-lpg_3[[#This Row],[zuzycie PB95]]</f>
        <v>43.77</v>
      </c>
      <c r="V219">
        <f>lpg_3[[#This Row],[zbiornik LPG]]-lpg_3[[#This Row],[zyzucie lpg]]</f>
        <v>10.6</v>
      </c>
      <c r="W219">
        <f>IF(lpg_3[[#This Row],[dzien]]=4,IF(lpg_3[[#This Row],[pb po trasie]]&lt;40,45-lpg_3[[#This Row],[pb po trasie]],0),0)</f>
        <v>0</v>
      </c>
      <c r="X219">
        <f>IF(lpg_3[[#This Row],[lpg po trasie]]&lt;5,30-lpg_3[[#This Row],[lpg po trasie]],0)</f>
        <v>0</v>
      </c>
      <c r="Y219">
        <f>WEEKDAY(lpg_3[[#This Row],[data]],2)</f>
        <v>3</v>
      </c>
    </row>
    <row r="220" spans="1:25" x14ac:dyDescent="0.25">
      <c r="A220" s="1">
        <v>41858</v>
      </c>
      <c r="B220">
        <v>51</v>
      </c>
      <c r="C220">
        <f>G219+I219</f>
        <v>43.77</v>
      </c>
      <c r="D220">
        <f>H219+J219</f>
        <v>10.6</v>
      </c>
      <c r="E220">
        <f>ROUND(IF(lpg[[#This Row],[zbiornik LPG]]&gt;15,0,(lpg[[#This Row],[km]]/2)*6/100),2)</f>
        <v>1.53</v>
      </c>
      <c r="F220">
        <f>ROUND(IF(lpg[[#This Row],[zbiornik LPG]]&gt;15,lpg[[#This Row],[km]]*9/100,(lpg[[#This Row],[km]]/2)*9/100),2)</f>
        <v>2.2999999999999998</v>
      </c>
      <c r="G220">
        <f>lpg[[#This Row],[zbiornik PB95]]-lpg[[#This Row],[zuzycie PB95]]</f>
        <v>42.24</v>
      </c>
      <c r="H220">
        <f>lpg[[#This Row],[zbiornik LPG]]-lpg[[#This Row],[zyzucie lpg]]</f>
        <v>8.3000000000000007</v>
      </c>
      <c r="I220">
        <f>IF(lpg[[#This Row],[dzien]]=4,IF(lpg[[#This Row],[pb po trasie]]&lt;40,45-lpg[[#This Row],[pb po trasie]],0),0)</f>
        <v>0</v>
      </c>
      <c r="J220">
        <f>IF(lpg[[#This Row],[lpg po trasie]]&lt;5,30-lpg[[#This Row],[lpg po trasie]],0)</f>
        <v>0</v>
      </c>
      <c r="K220">
        <f>WEEKDAY(lpg[[#This Row],[data]],2)</f>
        <v>4</v>
      </c>
      <c r="O220" s="1">
        <v>41858</v>
      </c>
      <c r="P220">
        <v>51</v>
      </c>
      <c r="Q220">
        <f>U219+W219</f>
        <v>43.77</v>
      </c>
      <c r="R220">
        <f>V219+X219</f>
        <v>10.6</v>
      </c>
      <c r="S220">
        <f>ROUND(IF(lpg_3[[#This Row],[zbiornik LPG]]&gt;15,0,(lpg_3[[#This Row],[km]]/2)*6/100),2)</f>
        <v>1.53</v>
      </c>
      <c r="T220">
        <f>ROUND(IF(lpg_3[[#This Row],[zbiornik LPG]]&gt;15,lpg_3[[#This Row],[km]]*9/100,(lpg_3[[#This Row],[km]]/2)*9/100),2)</f>
        <v>2.2999999999999998</v>
      </c>
      <c r="U220">
        <f>lpg_3[[#This Row],[zbiornik PB95]]-lpg_3[[#This Row],[zuzycie PB95]]</f>
        <v>42.24</v>
      </c>
      <c r="V220">
        <f>lpg_3[[#This Row],[zbiornik LPG]]-lpg_3[[#This Row],[zyzucie lpg]]</f>
        <v>8.3000000000000007</v>
      </c>
      <c r="W220">
        <f>IF(lpg_3[[#This Row],[dzien]]=4,IF(lpg_3[[#This Row],[pb po trasie]]&lt;40,45-lpg_3[[#This Row],[pb po trasie]],0),0)</f>
        <v>0</v>
      </c>
      <c r="X220">
        <f>IF(lpg_3[[#This Row],[lpg po trasie]]&lt;5,30-lpg_3[[#This Row],[lpg po trasie]],0)</f>
        <v>0</v>
      </c>
      <c r="Y220">
        <f>WEEKDAY(lpg_3[[#This Row],[data]],2)</f>
        <v>4</v>
      </c>
    </row>
    <row r="221" spans="1:25" x14ac:dyDescent="0.25">
      <c r="A221" s="1">
        <v>41859</v>
      </c>
      <c r="B221">
        <v>72</v>
      </c>
      <c r="C221">
        <f>G220+I220</f>
        <v>42.24</v>
      </c>
      <c r="D221">
        <f>H220+J220</f>
        <v>8.3000000000000007</v>
      </c>
      <c r="E221">
        <f>ROUND(IF(lpg[[#This Row],[zbiornik LPG]]&gt;15,0,(lpg[[#This Row],[km]]/2)*6/100),2)</f>
        <v>2.16</v>
      </c>
      <c r="F221">
        <f>ROUND(IF(lpg[[#This Row],[zbiornik LPG]]&gt;15,lpg[[#This Row],[km]]*9/100,(lpg[[#This Row],[km]]/2)*9/100),2)</f>
        <v>3.24</v>
      </c>
      <c r="G221">
        <f>lpg[[#This Row],[zbiornik PB95]]-lpg[[#This Row],[zuzycie PB95]]</f>
        <v>40.08</v>
      </c>
      <c r="H221">
        <f>lpg[[#This Row],[zbiornik LPG]]-lpg[[#This Row],[zyzucie lpg]]</f>
        <v>5.0600000000000005</v>
      </c>
      <c r="I221">
        <f>IF(lpg[[#This Row],[dzien]]=4,IF(lpg[[#This Row],[pb po trasie]]&lt;40,45-lpg[[#This Row],[pb po trasie]],0),0)</f>
        <v>0</v>
      </c>
      <c r="J221">
        <f>IF(lpg[[#This Row],[lpg po trasie]]&lt;5,30-lpg[[#This Row],[lpg po trasie]],0)</f>
        <v>0</v>
      </c>
      <c r="K221">
        <f>WEEKDAY(lpg[[#This Row],[data]],2)</f>
        <v>5</v>
      </c>
      <c r="O221" s="1">
        <v>41859</v>
      </c>
      <c r="P221">
        <v>72</v>
      </c>
      <c r="Q221">
        <f>U220+W220</f>
        <v>42.24</v>
      </c>
      <c r="R221">
        <f>V220+X220</f>
        <v>8.3000000000000007</v>
      </c>
      <c r="S221">
        <f>ROUND(IF(lpg_3[[#This Row],[zbiornik LPG]]&gt;15,0,(lpg_3[[#This Row],[km]]/2)*6/100),2)</f>
        <v>2.16</v>
      </c>
      <c r="T221">
        <f>ROUND(IF(lpg_3[[#This Row],[zbiornik LPG]]&gt;15,lpg_3[[#This Row],[km]]*9/100,(lpg_3[[#This Row],[km]]/2)*9/100),2)</f>
        <v>3.24</v>
      </c>
      <c r="U221">
        <f>lpg_3[[#This Row],[zbiornik PB95]]-lpg_3[[#This Row],[zuzycie PB95]]</f>
        <v>40.08</v>
      </c>
      <c r="V221">
        <f>lpg_3[[#This Row],[zbiornik LPG]]-lpg_3[[#This Row],[zyzucie lpg]]</f>
        <v>5.0600000000000005</v>
      </c>
      <c r="W221">
        <f>IF(lpg_3[[#This Row],[dzien]]=4,IF(lpg_3[[#This Row],[pb po trasie]]&lt;40,45-lpg_3[[#This Row],[pb po trasie]],0),0)</f>
        <v>0</v>
      </c>
      <c r="X221">
        <f>IF(lpg_3[[#This Row],[lpg po trasie]]&lt;5,30-lpg_3[[#This Row],[lpg po trasie]],0)</f>
        <v>0</v>
      </c>
      <c r="Y221">
        <f>WEEKDAY(lpg_3[[#This Row],[data]],2)</f>
        <v>5</v>
      </c>
    </row>
    <row r="222" spans="1:25" x14ac:dyDescent="0.25">
      <c r="A222" s="1">
        <v>41860</v>
      </c>
      <c r="B222">
        <v>30</v>
      </c>
      <c r="C222">
        <f>G221+I221</f>
        <v>40.08</v>
      </c>
      <c r="D222">
        <f>H221+J221</f>
        <v>5.0600000000000005</v>
      </c>
      <c r="E222">
        <f>ROUND(IF(lpg[[#This Row],[zbiornik LPG]]&gt;15,0,(lpg[[#This Row],[km]]/2)*6/100),2)</f>
        <v>0.9</v>
      </c>
      <c r="F222">
        <f>ROUND(IF(lpg[[#This Row],[zbiornik LPG]]&gt;15,lpg[[#This Row],[km]]*9/100,(lpg[[#This Row],[km]]/2)*9/100),2)</f>
        <v>1.35</v>
      </c>
      <c r="G222">
        <f>lpg[[#This Row],[zbiornik PB95]]-lpg[[#This Row],[zuzycie PB95]]</f>
        <v>39.18</v>
      </c>
      <c r="H222">
        <f>lpg[[#This Row],[zbiornik LPG]]-lpg[[#This Row],[zyzucie lpg]]</f>
        <v>3.7100000000000004</v>
      </c>
      <c r="I222">
        <f>IF(lpg[[#This Row],[dzien]]=4,IF(lpg[[#This Row],[pb po trasie]]&lt;40,45-lpg[[#This Row],[pb po trasie]],0),0)</f>
        <v>0</v>
      </c>
      <c r="J222">
        <f>IF(lpg[[#This Row],[lpg po trasie]]&lt;5,30-lpg[[#This Row],[lpg po trasie]],0)</f>
        <v>26.29</v>
      </c>
      <c r="K222">
        <f>WEEKDAY(lpg[[#This Row],[data]],2)</f>
        <v>6</v>
      </c>
      <c r="O222" s="1">
        <v>41860</v>
      </c>
      <c r="P222">
        <v>30</v>
      </c>
      <c r="Q222">
        <f>U221+W221</f>
        <v>40.08</v>
      </c>
      <c r="R222">
        <f>V221+X221</f>
        <v>5.0600000000000005</v>
      </c>
      <c r="S222">
        <f>ROUND(IF(lpg_3[[#This Row],[zbiornik LPG]]&gt;15,0,(lpg_3[[#This Row],[km]]/2)*6/100),2)</f>
        <v>0.9</v>
      </c>
      <c r="T222">
        <f>ROUND(IF(lpg_3[[#This Row],[zbiornik LPG]]&gt;15,lpg_3[[#This Row],[km]]*9/100,(lpg_3[[#This Row],[km]]/2)*9/100),2)</f>
        <v>1.35</v>
      </c>
      <c r="U222">
        <f>lpg_3[[#This Row],[zbiornik PB95]]-lpg_3[[#This Row],[zuzycie PB95]]</f>
        <v>39.18</v>
      </c>
      <c r="V222">
        <f>lpg_3[[#This Row],[zbiornik LPG]]-lpg_3[[#This Row],[zyzucie lpg]]</f>
        <v>3.7100000000000004</v>
      </c>
      <c r="W222">
        <f>IF(lpg_3[[#This Row],[dzien]]=4,IF(lpg_3[[#This Row],[pb po trasie]]&lt;40,45-lpg_3[[#This Row],[pb po trasie]],0),0)</f>
        <v>0</v>
      </c>
      <c r="X222">
        <f>IF(lpg_3[[#This Row],[lpg po trasie]]&lt;5,30-lpg_3[[#This Row],[lpg po trasie]],0)</f>
        <v>26.29</v>
      </c>
      <c r="Y222">
        <f>WEEKDAY(lpg_3[[#This Row],[data]],2)</f>
        <v>6</v>
      </c>
    </row>
    <row r="223" spans="1:25" x14ac:dyDescent="0.25">
      <c r="A223" s="1">
        <v>41861</v>
      </c>
      <c r="B223">
        <v>95</v>
      </c>
      <c r="C223">
        <f>G222+I222</f>
        <v>39.18</v>
      </c>
      <c r="D223">
        <f>H222+J222</f>
        <v>30</v>
      </c>
      <c r="E223">
        <f>ROUND(IF(lpg[[#This Row],[zbiornik LPG]]&gt;15,0,(lpg[[#This Row],[km]]/2)*6/100),2)</f>
        <v>0</v>
      </c>
      <c r="F223">
        <f>ROUND(IF(lpg[[#This Row],[zbiornik LPG]]&gt;15,lpg[[#This Row],[km]]*9/100,(lpg[[#This Row],[km]]/2)*9/100),2)</f>
        <v>8.5500000000000007</v>
      </c>
      <c r="G223">
        <f>lpg[[#This Row],[zbiornik PB95]]-lpg[[#This Row],[zuzycie PB95]]</f>
        <v>39.18</v>
      </c>
      <c r="H223">
        <f>lpg[[#This Row],[zbiornik LPG]]-lpg[[#This Row],[zyzucie lpg]]</f>
        <v>21.45</v>
      </c>
      <c r="I223">
        <f>IF(lpg[[#This Row],[dzien]]=4,IF(lpg[[#This Row],[pb po trasie]]&lt;40,45-lpg[[#This Row],[pb po trasie]],0),0)</f>
        <v>0</v>
      </c>
      <c r="J223">
        <f>IF(lpg[[#This Row],[lpg po trasie]]&lt;5,30-lpg[[#This Row],[lpg po trasie]],0)</f>
        <v>0</v>
      </c>
      <c r="K223">
        <f>WEEKDAY(lpg[[#This Row],[data]],2)</f>
        <v>7</v>
      </c>
      <c r="O223" s="1">
        <v>41861</v>
      </c>
      <c r="P223">
        <v>95</v>
      </c>
      <c r="Q223">
        <f>U222+W222</f>
        <v>39.18</v>
      </c>
      <c r="R223">
        <f>V222+X222</f>
        <v>30</v>
      </c>
      <c r="S223">
        <f>ROUND(IF(lpg_3[[#This Row],[zbiornik LPG]]&gt;15,0,(lpg_3[[#This Row],[km]]/2)*6/100),2)</f>
        <v>0</v>
      </c>
      <c r="T223">
        <f>ROUND(IF(lpg_3[[#This Row],[zbiornik LPG]]&gt;15,lpg_3[[#This Row],[km]]*9/100,(lpg_3[[#This Row],[km]]/2)*9/100),2)</f>
        <v>8.5500000000000007</v>
      </c>
      <c r="U223">
        <f>lpg_3[[#This Row],[zbiornik PB95]]-lpg_3[[#This Row],[zuzycie PB95]]</f>
        <v>39.18</v>
      </c>
      <c r="V223">
        <f>lpg_3[[#This Row],[zbiornik LPG]]-lpg_3[[#This Row],[zyzucie lpg]]</f>
        <v>21.45</v>
      </c>
      <c r="W223">
        <f>IF(lpg_3[[#This Row],[dzien]]=4,IF(lpg_3[[#This Row],[pb po trasie]]&lt;40,45-lpg_3[[#This Row],[pb po trasie]],0),0)</f>
        <v>0</v>
      </c>
      <c r="X223">
        <f>IF(lpg_3[[#This Row],[lpg po trasie]]&lt;5,30-lpg_3[[#This Row],[lpg po trasie]],0)</f>
        <v>0</v>
      </c>
      <c r="Y223">
        <f>WEEKDAY(lpg_3[[#This Row],[data]],2)</f>
        <v>7</v>
      </c>
    </row>
    <row r="224" spans="1:25" x14ac:dyDescent="0.25">
      <c r="A224" s="1">
        <v>41862</v>
      </c>
      <c r="B224">
        <v>104</v>
      </c>
      <c r="C224">
        <f>G223+I223</f>
        <v>39.18</v>
      </c>
      <c r="D224">
        <f>H223+J223</f>
        <v>21.45</v>
      </c>
      <c r="E224">
        <f>ROUND(IF(lpg[[#This Row],[zbiornik LPG]]&gt;15,0,(lpg[[#This Row],[km]]/2)*6/100),2)</f>
        <v>0</v>
      </c>
      <c r="F224">
        <f>ROUND(IF(lpg[[#This Row],[zbiornik LPG]]&gt;15,lpg[[#This Row],[km]]*9/100,(lpg[[#This Row],[km]]/2)*9/100),2)</f>
        <v>9.36</v>
      </c>
      <c r="G224">
        <f>lpg[[#This Row],[zbiornik PB95]]-lpg[[#This Row],[zuzycie PB95]]</f>
        <v>39.18</v>
      </c>
      <c r="H224">
        <f>lpg[[#This Row],[zbiornik LPG]]-lpg[[#This Row],[zyzucie lpg]]</f>
        <v>12.09</v>
      </c>
      <c r="I224">
        <f>IF(lpg[[#This Row],[dzien]]=4,IF(lpg[[#This Row],[pb po trasie]]&lt;40,45-lpg[[#This Row],[pb po trasie]],0),0)</f>
        <v>0</v>
      </c>
      <c r="J224">
        <f>IF(lpg[[#This Row],[lpg po trasie]]&lt;5,30-lpg[[#This Row],[lpg po trasie]],0)</f>
        <v>0</v>
      </c>
      <c r="K224">
        <f>WEEKDAY(lpg[[#This Row],[data]],2)</f>
        <v>1</v>
      </c>
      <c r="O224" s="1">
        <v>41862</v>
      </c>
      <c r="P224">
        <v>104</v>
      </c>
      <c r="Q224">
        <f>U223+W223</f>
        <v>39.18</v>
      </c>
      <c r="R224">
        <f>V223+X223</f>
        <v>21.45</v>
      </c>
      <c r="S224">
        <f>ROUND(IF(lpg_3[[#This Row],[zbiornik LPG]]&gt;15,0,(lpg_3[[#This Row],[km]]/2)*6/100),2)</f>
        <v>0</v>
      </c>
      <c r="T224">
        <f>ROUND(IF(lpg_3[[#This Row],[zbiornik LPG]]&gt;15,lpg_3[[#This Row],[km]]*9/100,(lpg_3[[#This Row],[km]]/2)*9/100),2)</f>
        <v>9.36</v>
      </c>
      <c r="U224">
        <f>lpg_3[[#This Row],[zbiornik PB95]]-lpg_3[[#This Row],[zuzycie PB95]]</f>
        <v>39.18</v>
      </c>
      <c r="V224">
        <f>lpg_3[[#This Row],[zbiornik LPG]]-lpg_3[[#This Row],[zyzucie lpg]]</f>
        <v>12.09</v>
      </c>
      <c r="W224">
        <f>IF(lpg_3[[#This Row],[dzien]]=4,IF(lpg_3[[#This Row],[pb po trasie]]&lt;40,45-lpg_3[[#This Row],[pb po trasie]],0),0)</f>
        <v>0</v>
      </c>
      <c r="X224">
        <f>IF(lpg_3[[#This Row],[lpg po trasie]]&lt;5,30-lpg_3[[#This Row],[lpg po trasie]],0)</f>
        <v>0</v>
      </c>
      <c r="Y224">
        <f>WEEKDAY(lpg_3[[#This Row],[data]],2)</f>
        <v>1</v>
      </c>
    </row>
    <row r="225" spans="1:25" x14ac:dyDescent="0.25">
      <c r="A225" s="1">
        <v>41863</v>
      </c>
      <c r="B225">
        <v>16</v>
      </c>
      <c r="C225">
        <f>G224+I224</f>
        <v>39.18</v>
      </c>
      <c r="D225">
        <f>H224+J224</f>
        <v>12.09</v>
      </c>
      <c r="E225">
        <f>ROUND(IF(lpg[[#This Row],[zbiornik LPG]]&gt;15,0,(lpg[[#This Row],[km]]/2)*6/100),2)</f>
        <v>0.48</v>
      </c>
      <c r="F225">
        <f>ROUND(IF(lpg[[#This Row],[zbiornik LPG]]&gt;15,lpg[[#This Row],[km]]*9/100,(lpg[[#This Row],[km]]/2)*9/100),2)</f>
        <v>0.72</v>
      </c>
      <c r="G225">
        <f>lpg[[#This Row],[zbiornik PB95]]-lpg[[#This Row],[zuzycie PB95]]</f>
        <v>38.700000000000003</v>
      </c>
      <c r="H225">
        <f>lpg[[#This Row],[zbiornik LPG]]-lpg[[#This Row],[zyzucie lpg]]</f>
        <v>11.37</v>
      </c>
      <c r="I225">
        <f>IF(lpg[[#This Row],[dzien]]=4,IF(lpg[[#This Row],[pb po trasie]]&lt;40,45-lpg[[#This Row],[pb po trasie]],0),0)</f>
        <v>0</v>
      </c>
      <c r="J225">
        <f>IF(lpg[[#This Row],[lpg po trasie]]&lt;5,30-lpg[[#This Row],[lpg po trasie]],0)</f>
        <v>0</v>
      </c>
      <c r="K225">
        <f>WEEKDAY(lpg[[#This Row],[data]],2)</f>
        <v>2</v>
      </c>
      <c r="O225" s="1">
        <v>41863</v>
      </c>
      <c r="P225">
        <v>16</v>
      </c>
      <c r="Q225">
        <f>U224+W224</f>
        <v>39.18</v>
      </c>
      <c r="R225">
        <f>V224+X224</f>
        <v>12.09</v>
      </c>
      <c r="S225">
        <f>ROUND(IF(lpg_3[[#This Row],[zbiornik LPG]]&gt;15,0,(lpg_3[[#This Row],[km]]/2)*6/100),2)</f>
        <v>0.48</v>
      </c>
      <c r="T225">
        <f>ROUND(IF(lpg_3[[#This Row],[zbiornik LPG]]&gt;15,lpg_3[[#This Row],[km]]*9/100,(lpg_3[[#This Row],[km]]/2)*9/100),2)</f>
        <v>0.72</v>
      </c>
      <c r="U225">
        <f>lpg_3[[#This Row],[zbiornik PB95]]-lpg_3[[#This Row],[zuzycie PB95]]</f>
        <v>38.700000000000003</v>
      </c>
      <c r="V225">
        <f>lpg_3[[#This Row],[zbiornik LPG]]-lpg_3[[#This Row],[zyzucie lpg]]</f>
        <v>11.37</v>
      </c>
      <c r="W225">
        <f>IF(lpg_3[[#This Row],[dzien]]=4,IF(lpg_3[[#This Row],[pb po trasie]]&lt;40,45-lpg_3[[#This Row],[pb po trasie]],0),0)</f>
        <v>0</v>
      </c>
      <c r="X225">
        <f>IF(lpg_3[[#This Row],[lpg po trasie]]&lt;5,30-lpg_3[[#This Row],[lpg po trasie]],0)</f>
        <v>0</v>
      </c>
      <c r="Y225">
        <f>WEEKDAY(lpg_3[[#This Row],[data]],2)</f>
        <v>2</v>
      </c>
    </row>
    <row r="226" spans="1:25" x14ac:dyDescent="0.25">
      <c r="A226" s="1">
        <v>41864</v>
      </c>
      <c r="B226">
        <v>34</v>
      </c>
      <c r="C226">
        <f>G225+I225</f>
        <v>38.700000000000003</v>
      </c>
      <c r="D226">
        <f>H225+J225</f>
        <v>11.37</v>
      </c>
      <c r="E226">
        <f>ROUND(IF(lpg[[#This Row],[zbiornik LPG]]&gt;15,0,(lpg[[#This Row],[km]]/2)*6/100),2)</f>
        <v>1.02</v>
      </c>
      <c r="F226">
        <f>ROUND(IF(lpg[[#This Row],[zbiornik LPG]]&gt;15,lpg[[#This Row],[km]]*9/100,(lpg[[#This Row],[km]]/2)*9/100),2)</f>
        <v>1.53</v>
      </c>
      <c r="G226">
        <f>lpg[[#This Row],[zbiornik PB95]]-lpg[[#This Row],[zuzycie PB95]]</f>
        <v>37.68</v>
      </c>
      <c r="H226">
        <f>lpg[[#This Row],[zbiornik LPG]]-lpg[[#This Row],[zyzucie lpg]]</f>
        <v>9.84</v>
      </c>
      <c r="I226">
        <f>IF(lpg[[#This Row],[dzien]]=4,IF(lpg[[#This Row],[pb po trasie]]&lt;40,45-lpg[[#This Row],[pb po trasie]],0),0)</f>
        <v>0</v>
      </c>
      <c r="J226">
        <f>IF(lpg[[#This Row],[lpg po trasie]]&lt;5,30-lpg[[#This Row],[lpg po trasie]],0)</f>
        <v>0</v>
      </c>
      <c r="K226">
        <f>WEEKDAY(lpg[[#This Row],[data]],2)</f>
        <v>3</v>
      </c>
      <c r="O226" s="1">
        <v>41864</v>
      </c>
      <c r="P226">
        <v>34</v>
      </c>
      <c r="Q226">
        <f>U225+W225</f>
        <v>38.700000000000003</v>
      </c>
      <c r="R226">
        <f>V225+X225</f>
        <v>11.37</v>
      </c>
      <c r="S226">
        <f>ROUND(IF(lpg_3[[#This Row],[zbiornik LPG]]&gt;15,0,(lpg_3[[#This Row],[km]]/2)*6/100),2)</f>
        <v>1.02</v>
      </c>
      <c r="T226">
        <f>ROUND(IF(lpg_3[[#This Row],[zbiornik LPG]]&gt;15,lpg_3[[#This Row],[km]]*9/100,(lpg_3[[#This Row],[km]]/2)*9/100),2)</f>
        <v>1.53</v>
      </c>
      <c r="U226">
        <f>lpg_3[[#This Row],[zbiornik PB95]]-lpg_3[[#This Row],[zuzycie PB95]]</f>
        <v>37.68</v>
      </c>
      <c r="V226">
        <f>lpg_3[[#This Row],[zbiornik LPG]]-lpg_3[[#This Row],[zyzucie lpg]]</f>
        <v>9.84</v>
      </c>
      <c r="W226">
        <f>IF(lpg_3[[#This Row],[dzien]]=4,IF(lpg_3[[#This Row],[pb po trasie]]&lt;40,45-lpg_3[[#This Row],[pb po trasie]],0),0)</f>
        <v>0</v>
      </c>
      <c r="X226">
        <f>IF(lpg_3[[#This Row],[lpg po trasie]]&lt;5,30-lpg_3[[#This Row],[lpg po trasie]],0)</f>
        <v>0</v>
      </c>
      <c r="Y226">
        <f>WEEKDAY(lpg_3[[#This Row],[data]],2)</f>
        <v>3</v>
      </c>
    </row>
    <row r="227" spans="1:25" x14ac:dyDescent="0.25">
      <c r="A227" s="1">
        <v>41865</v>
      </c>
      <c r="B227">
        <v>39</v>
      </c>
      <c r="C227">
        <f>G226+I226</f>
        <v>37.68</v>
      </c>
      <c r="D227">
        <f>H226+J226</f>
        <v>9.84</v>
      </c>
      <c r="E227">
        <f>ROUND(IF(lpg[[#This Row],[zbiornik LPG]]&gt;15,0,(lpg[[#This Row],[km]]/2)*6/100),2)</f>
        <v>1.17</v>
      </c>
      <c r="F227">
        <f>ROUND(IF(lpg[[#This Row],[zbiornik LPG]]&gt;15,lpg[[#This Row],[km]]*9/100,(lpg[[#This Row],[km]]/2)*9/100),2)</f>
        <v>1.76</v>
      </c>
      <c r="G227">
        <f>lpg[[#This Row],[zbiornik PB95]]-lpg[[#This Row],[zuzycie PB95]]</f>
        <v>36.51</v>
      </c>
      <c r="H227">
        <f>lpg[[#This Row],[zbiornik LPG]]-lpg[[#This Row],[zyzucie lpg]]</f>
        <v>8.08</v>
      </c>
      <c r="I227">
        <f>IF(lpg[[#This Row],[dzien]]=4,IF(lpg[[#This Row],[pb po trasie]]&lt;40,45-lpg[[#This Row],[pb po trasie]],0),0)</f>
        <v>8.490000000000002</v>
      </c>
      <c r="J227">
        <f>IF(lpg[[#This Row],[lpg po trasie]]&lt;5,30-lpg[[#This Row],[lpg po trasie]],0)</f>
        <v>0</v>
      </c>
      <c r="K227">
        <f>WEEKDAY(lpg[[#This Row],[data]],2)</f>
        <v>4</v>
      </c>
      <c r="O227" s="1">
        <v>41865</v>
      </c>
      <c r="P227">
        <v>39</v>
      </c>
      <c r="Q227">
        <f>U226+W226</f>
        <v>37.68</v>
      </c>
      <c r="R227">
        <f>V226+X226</f>
        <v>9.84</v>
      </c>
      <c r="S227">
        <f>ROUND(IF(lpg_3[[#This Row],[zbiornik LPG]]&gt;15,0,(lpg_3[[#This Row],[km]]/2)*6/100),2)</f>
        <v>1.17</v>
      </c>
      <c r="T227">
        <f>ROUND(IF(lpg_3[[#This Row],[zbiornik LPG]]&gt;15,lpg_3[[#This Row],[km]]*9/100,(lpg_3[[#This Row],[km]]/2)*9/100),2)</f>
        <v>1.76</v>
      </c>
      <c r="U227">
        <f>lpg_3[[#This Row],[zbiornik PB95]]-lpg_3[[#This Row],[zuzycie PB95]]</f>
        <v>36.51</v>
      </c>
      <c r="V227">
        <f>lpg_3[[#This Row],[zbiornik LPG]]-lpg_3[[#This Row],[zyzucie lpg]]</f>
        <v>8.08</v>
      </c>
      <c r="W227">
        <f>IF(lpg_3[[#This Row],[dzien]]=4,IF(lpg_3[[#This Row],[pb po trasie]]&lt;40,45-lpg_3[[#This Row],[pb po trasie]],0),0)</f>
        <v>8.490000000000002</v>
      </c>
      <c r="X227">
        <f>IF(lpg_3[[#This Row],[lpg po trasie]]&lt;5,30-lpg_3[[#This Row],[lpg po trasie]],0)</f>
        <v>0</v>
      </c>
      <c r="Y227">
        <f>WEEKDAY(lpg_3[[#This Row],[data]],2)</f>
        <v>4</v>
      </c>
    </row>
    <row r="228" spans="1:25" x14ac:dyDescent="0.25">
      <c r="A228" s="1">
        <v>41866</v>
      </c>
      <c r="B228">
        <v>133</v>
      </c>
      <c r="C228">
        <f>G227+I227</f>
        <v>45</v>
      </c>
      <c r="D228">
        <f>H227+J227</f>
        <v>8.08</v>
      </c>
      <c r="E228">
        <f>ROUND(IF(lpg[[#This Row],[zbiornik LPG]]&gt;15,0,(lpg[[#This Row],[km]]/2)*6/100),2)</f>
        <v>3.99</v>
      </c>
      <c r="F228">
        <f>ROUND(IF(lpg[[#This Row],[zbiornik LPG]]&gt;15,lpg[[#This Row],[km]]*9/100,(lpg[[#This Row],[km]]/2)*9/100),2)</f>
        <v>5.99</v>
      </c>
      <c r="G228">
        <f>lpg[[#This Row],[zbiornik PB95]]-lpg[[#This Row],[zuzycie PB95]]</f>
        <v>41.01</v>
      </c>
      <c r="H228">
        <f>lpg[[#This Row],[zbiornik LPG]]-lpg[[#This Row],[zyzucie lpg]]</f>
        <v>2.09</v>
      </c>
      <c r="I228">
        <f>IF(lpg[[#This Row],[dzien]]=4,IF(lpg[[#This Row],[pb po trasie]]&lt;40,45-lpg[[#This Row],[pb po trasie]],0),0)</f>
        <v>0</v>
      </c>
      <c r="J228">
        <f>IF(lpg[[#This Row],[lpg po trasie]]&lt;5,30-lpg[[#This Row],[lpg po trasie]],0)</f>
        <v>27.91</v>
      </c>
      <c r="K228">
        <f>WEEKDAY(lpg[[#This Row],[data]],2)</f>
        <v>5</v>
      </c>
      <c r="O228" s="1">
        <v>41866</v>
      </c>
      <c r="P228">
        <v>133</v>
      </c>
      <c r="Q228">
        <f>U227+W227</f>
        <v>45</v>
      </c>
      <c r="R228">
        <f>V227+X227</f>
        <v>8.08</v>
      </c>
      <c r="S228">
        <f>ROUND(IF(lpg_3[[#This Row],[zbiornik LPG]]&gt;15,0,(lpg_3[[#This Row],[km]]/2)*6/100),2)</f>
        <v>3.99</v>
      </c>
      <c r="T228">
        <f>ROUND(IF(lpg_3[[#This Row],[zbiornik LPG]]&gt;15,lpg_3[[#This Row],[km]]*9/100,(lpg_3[[#This Row],[km]]/2)*9/100),2)</f>
        <v>5.99</v>
      </c>
      <c r="U228">
        <f>lpg_3[[#This Row],[zbiornik PB95]]-lpg_3[[#This Row],[zuzycie PB95]]</f>
        <v>41.01</v>
      </c>
      <c r="V228">
        <f>lpg_3[[#This Row],[zbiornik LPG]]-lpg_3[[#This Row],[zyzucie lpg]]</f>
        <v>2.09</v>
      </c>
      <c r="W228">
        <f>IF(lpg_3[[#This Row],[dzien]]=4,IF(lpg_3[[#This Row],[pb po trasie]]&lt;40,45-lpg_3[[#This Row],[pb po trasie]],0),0)</f>
        <v>0</v>
      </c>
      <c r="X228">
        <f>IF(lpg_3[[#This Row],[lpg po trasie]]&lt;5,30-lpg_3[[#This Row],[lpg po trasie]],0)</f>
        <v>27.91</v>
      </c>
      <c r="Y228">
        <f>WEEKDAY(lpg_3[[#This Row],[data]],2)</f>
        <v>5</v>
      </c>
    </row>
    <row r="229" spans="1:25" x14ac:dyDescent="0.25">
      <c r="A229" s="1">
        <v>41867</v>
      </c>
      <c r="B229">
        <v>114</v>
      </c>
      <c r="C229">
        <f>G228+I228</f>
        <v>41.01</v>
      </c>
      <c r="D229">
        <f>H228+J228</f>
        <v>30</v>
      </c>
      <c r="E229">
        <f>ROUND(IF(lpg[[#This Row],[zbiornik LPG]]&gt;15,0,(lpg[[#This Row],[km]]/2)*6/100),2)</f>
        <v>0</v>
      </c>
      <c r="F229">
        <f>ROUND(IF(lpg[[#This Row],[zbiornik LPG]]&gt;15,lpg[[#This Row],[km]]*9/100,(lpg[[#This Row],[km]]/2)*9/100),2)</f>
        <v>10.26</v>
      </c>
      <c r="G229">
        <f>lpg[[#This Row],[zbiornik PB95]]-lpg[[#This Row],[zuzycie PB95]]</f>
        <v>41.01</v>
      </c>
      <c r="H229">
        <f>lpg[[#This Row],[zbiornik LPG]]-lpg[[#This Row],[zyzucie lpg]]</f>
        <v>19.740000000000002</v>
      </c>
      <c r="I229">
        <f>IF(lpg[[#This Row],[dzien]]=4,IF(lpg[[#This Row],[pb po trasie]]&lt;40,45-lpg[[#This Row],[pb po trasie]],0),0)</f>
        <v>0</v>
      </c>
      <c r="J229">
        <f>IF(lpg[[#This Row],[lpg po trasie]]&lt;5,30-lpg[[#This Row],[lpg po trasie]],0)</f>
        <v>0</v>
      </c>
      <c r="K229">
        <f>WEEKDAY(lpg[[#This Row],[data]],2)</f>
        <v>6</v>
      </c>
      <c r="O229" s="1">
        <v>41867</v>
      </c>
      <c r="P229">
        <v>114</v>
      </c>
      <c r="Q229">
        <f>U228+W228</f>
        <v>41.01</v>
      </c>
      <c r="R229">
        <f>V228+X228</f>
        <v>30</v>
      </c>
      <c r="S229">
        <f>ROUND(IF(lpg_3[[#This Row],[zbiornik LPG]]&gt;15,0,(lpg_3[[#This Row],[km]]/2)*6/100),2)</f>
        <v>0</v>
      </c>
      <c r="T229">
        <f>ROUND(IF(lpg_3[[#This Row],[zbiornik LPG]]&gt;15,lpg_3[[#This Row],[km]]*9/100,(lpg_3[[#This Row],[km]]/2)*9/100),2)</f>
        <v>10.26</v>
      </c>
      <c r="U229">
        <f>lpg_3[[#This Row],[zbiornik PB95]]-lpg_3[[#This Row],[zuzycie PB95]]</f>
        <v>41.01</v>
      </c>
      <c r="V229">
        <f>lpg_3[[#This Row],[zbiornik LPG]]-lpg_3[[#This Row],[zyzucie lpg]]</f>
        <v>19.740000000000002</v>
      </c>
      <c r="W229">
        <f>IF(lpg_3[[#This Row],[dzien]]=4,IF(lpg_3[[#This Row],[pb po trasie]]&lt;40,45-lpg_3[[#This Row],[pb po trasie]],0),0)</f>
        <v>0</v>
      </c>
      <c r="X229">
        <f>IF(lpg_3[[#This Row],[lpg po trasie]]&lt;5,30-lpg_3[[#This Row],[lpg po trasie]],0)</f>
        <v>0</v>
      </c>
      <c r="Y229">
        <f>WEEKDAY(lpg_3[[#This Row],[data]],2)</f>
        <v>6</v>
      </c>
    </row>
    <row r="230" spans="1:25" x14ac:dyDescent="0.25">
      <c r="A230" s="1">
        <v>41868</v>
      </c>
      <c r="B230">
        <v>37</v>
      </c>
      <c r="C230">
        <f>G229+I229</f>
        <v>41.01</v>
      </c>
      <c r="D230">
        <f>H229+J229</f>
        <v>19.740000000000002</v>
      </c>
      <c r="E230">
        <f>ROUND(IF(lpg[[#This Row],[zbiornik LPG]]&gt;15,0,(lpg[[#This Row],[km]]/2)*6/100),2)</f>
        <v>0</v>
      </c>
      <c r="F230">
        <f>ROUND(IF(lpg[[#This Row],[zbiornik LPG]]&gt;15,lpg[[#This Row],[km]]*9/100,(lpg[[#This Row],[km]]/2)*9/100),2)</f>
        <v>3.33</v>
      </c>
      <c r="G230">
        <f>lpg[[#This Row],[zbiornik PB95]]-lpg[[#This Row],[zuzycie PB95]]</f>
        <v>41.01</v>
      </c>
      <c r="H230">
        <f>lpg[[#This Row],[zbiornik LPG]]-lpg[[#This Row],[zyzucie lpg]]</f>
        <v>16.410000000000004</v>
      </c>
      <c r="I230">
        <f>IF(lpg[[#This Row],[dzien]]=4,IF(lpg[[#This Row],[pb po trasie]]&lt;40,45-lpg[[#This Row],[pb po trasie]],0),0)</f>
        <v>0</v>
      </c>
      <c r="J230">
        <f>IF(lpg[[#This Row],[lpg po trasie]]&lt;5,30-lpg[[#This Row],[lpg po trasie]],0)</f>
        <v>0</v>
      </c>
      <c r="K230">
        <f>WEEKDAY(lpg[[#This Row],[data]],2)</f>
        <v>7</v>
      </c>
      <c r="O230" s="1">
        <v>41868</v>
      </c>
      <c r="P230">
        <v>37</v>
      </c>
      <c r="Q230">
        <f>U229+W229</f>
        <v>41.01</v>
      </c>
      <c r="R230">
        <f>V229+X229</f>
        <v>19.740000000000002</v>
      </c>
      <c r="S230">
        <f>ROUND(IF(lpg_3[[#This Row],[zbiornik LPG]]&gt;15,0,(lpg_3[[#This Row],[km]]/2)*6/100),2)</f>
        <v>0</v>
      </c>
      <c r="T230">
        <f>ROUND(IF(lpg_3[[#This Row],[zbiornik LPG]]&gt;15,lpg_3[[#This Row],[km]]*9/100,(lpg_3[[#This Row],[km]]/2)*9/100),2)</f>
        <v>3.33</v>
      </c>
      <c r="U230">
        <f>lpg_3[[#This Row],[zbiornik PB95]]-lpg_3[[#This Row],[zuzycie PB95]]</f>
        <v>41.01</v>
      </c>
      <c r="V230">
        <f>lpg_3[[#This Row],[zbiornik LPG]]-lpg_3[[#This Row],[zyzucie lpg]]</f>
        <v>16.410000000000004</v>
      </c>
      <c r="W230">
        <f>IF(lpg_3[[#This Row],[dzien]]=4,IF(lpg_3[[#This Row],[pb po trasie]]&lt;40,45-lpg_3[[#This Row],[pb po trasie]],0),0)</f>
        <v>0</v>
      </c>
      <c r="X230">
        <f>IF(lpg_3[[#This Row],[lpg po trasie]]&lt;5,30-lpg_3[[#This Row],[lpg po trasie]],0)</f>
        <v>0</v>
      </c>
      <c r="Y230">
        <f>WEEKDAY(lpg_3[[#This Row],[data]],2)</f>
        <v>7</v>
      </c>
    </row>
    <row r="231" spans="1:25" x14ac:dyDescent="0.25">
      <c r="A231" s="1">
        <v>41869</v>
      </c>
      <c r="B231">
        <v>41</v>
      </c>
      <c r="C231">
        <f>G230+I230</f>
        <v>41.01</v>
      </c>
      <c r="D231">
        <f>H230+J230</f>
        <v>16.410000000000004</v>
      </c>
      <c r="E231">
        <f>ROUND(IF(lpg[[#This Row],[zbiornik LPG]]&gt;15,0,(lpg[[#This Row],[km]]/2)*6/100),2)</f>
        <v>0</v>
      </c>
      <c r="F231">
        <f>ROUND(IF(lpg[[#This Row],[zbiornik LPG]]&gt;15,lpg[[#This Row],[km]]*9/100,(lpg[[#This Row],[km]]/2)*9/100),2)</f>
        <v>3.69</v>
      </c>
      <c r="G231">
        <f>lpg[[#This Row],[zbiornik PB95]]-lpg[[#This Row],[zuzycie PB95]]</f>
        <v>41.01</v>
      </c>
      <c r="H231">
        <f>lpg[[#This Row],[zbiornik LPG]]-lpg[[#This Row],[zyzucie lpg]]</f>
        <v>12.720000000000004</v>
      </c>
      <c r="I231">
        <f>IF(lpg[[#This Row],[dzien]]=4,IF(lpg[[#This Row],[pb po trasie]]&lt;40,45-lpg[[#This Row],[pb po trasie]],0),0)</f>
        <v>0</v>
      </c>
      <c r="J231">
        <f>IF(lpg[[#This Row],[lpg po trasie]]&lt;5,30-lpg[[#This Row],[lpg po trasie]],0)</f>
        <v>0</v>
      </c>
      <c r="K231">
        <f>WEEKDAY(lpg[[#This Row],[data]],2)</f>
        <v>1</v>
      </c>
      <c r="O231" s="1">
        <v>41869</v>
      </c>
      <c r="P231">
        <v>41</v>
      </c>
      <c r="Q231">
        <f>U230+W230</f>
        <v>41.01</v>
      </c>
      <c r="R231">
        <f>V230+X230</f>
        <v>16.410000000000004</v>
      </c>
      <c r="S231">
        <f>ROUND(IF(lpg_3[[#This Row],[zbiornik LPG]]&gt;15,0,(lpg_3[[#This Row],[km]]/2)*6/100),2)</f>
        <v>0</v>
      </c>
      <c r="T231">
        <f>ROUND(IF(lpg_3[[#This Row],[zbiornik LPG]]&gt;15,lpg_3[[#This Row],[km]]*9/100,(lpg_3[[#This Row],[km]]/2)*9/100),2)</f>
        <v>3.69</v>
      </c>
      <c r="U231">
        <f>lpg_3[[#This Row],[zbiornik PB95]]-lpg_3[[#This Row],[zuzycie PB95]]</f>
        <v>41.01</v>
      </c>
      <c r="V231">
        <f>lpg_3[[#This Row],[zbiornik LPG]]-lpg_3[[#This Row],[zyzucie lpg]]</f>
        <v>12.720000000000004</v>
      </c>
      <c r="W231">
        <f>IF(lpg_3[[#This Row],[dzien]]=4,IF(lpg_3[[#This Row],[pb po trasie]]&lt;40,45-lpg_3[[#This Row],[pb po trasie]],0),0)</f>
        <v>0</v>
      </c>
      <c r="X231">
        <f>IF(lpg_3[[#This Row],[lpg po trasie]]&lt;5,30-lpg_3[[#This Row],[lpg po trasie]],0)</f>
        <v>0</v>
      </c>
      <c r="Y231">
        <f>WEEKDAY(lpg_3[[#This Row],[data]],2)</f>
        <v>1</v>
      </c>
    </row>
    <row r="232" spans="1:25" x14ac:dyDescent="0.25">
      <c r="A232" s="1">
        <v>41870</v>
      </c>
      <c r="B232">
        <v>147</v>
      </c>
      <c r="C232">
        <f>G231+I231</f>
        <v>41.01</v>
      </c>
      <c r="D232">
        <f>H231+J231</f>
        <v>12.720000000000004</v>
      </c>
      <c r="E232">
        <f>ROUND(IF(lpg[[#This Row],[zbiornik LPG]]&gt;15,0,(lpg[[#This Row],[km]]/2)*6/100),2)</f>
        <v>4.41</v>
      </c>
      <c r="F232">
        <f>ROUND(IF(lpg[[#This Row],[zbiornik LPG]]&gt;15,lpg[[#This Row],[km]]*9/100,(lpg[[#This Row],[km]]/2)*9/100),2)</f>
        <v>6.62</v>
      </c>
      <c r="G232">
        <f>lpg[[#This Row],[zbiornik PB95]]-lpg[[#This Row],[zuzycie PB95]]</f>
        <v>36.599999999999994</v>
      </c>
      <c r="H232">
        <f>lpg[[#This Row],[zbiornik LPG]]-lpg[[#This Row],[zyzucie lpg]]</f>
        <v>6.1000000000000041</v>
      </c>
      <c r="I232">
        <f>IF(lpg[[#This Row],[dzien]]=4,IF(lpg[[#This Row],[pb po trasie]]&lt;40,45-lpg[[#This Row],[pb po trasie]],0),0)</f>
        <v>0</v>
      </c>
      <c r="J232">
        <f>IF(lpg[[#This Row],[lpg po trasie]]&lt;5,30-lpg[[#This Row],[lpg po trasie]],0)</f>
        <v>0</v>
      </c>
      <c r="K232">
        <f>WEEKDAY(lpg[[#This Row],[data]],2)</f>
        <v>2</v>
      </c>
      <c r="O232" s="1">
        <v>41870</v>
      </c>
      <c r="P232">
        <v>147</v>
      </c>
      <c r="Q232">
        <f>U231+W231</f>
        <v>41.01</v>
      </c>
      <c r="R232">
        <f>V231+X231</f>
        <v>12.720000000000004</v>
      </c>
      <c r="S232">
        <f>ROUND(IF(lpg_3[[#This Row],[zbiornik LPG]]&gt;15,0,(lpg_3[[#This Row],[km]]/2)*6/100),2)</f>
        <v>4.41</v>
      </c>
      <c r="T232">
        <f>ROUND(IF(lpg_3[[#This Row],[zbiornik LPG]]&gt;15,lpg_3[[#This Row],[km]]*9/100,(lpg_3[[#This Row],[km]]/2)*9/100),2)</f>
        <v>6.62</v>
      </c>
      <c r="U232">
        <f>lpg_3[[#This Row],[zbiornik PB95]]-lpg_3[[#This Row],[zuzycie PB95]]</f>
        <v>36.599999999999994</v>
      </c>
      <c r="V232">
        <f>lpg_3[[#This Row],[zbiornik LPG]]-lpg_3[[#This Row],[zyzucie lpg]]</f>
        <v>6.1000000000000041</v>
      </c>
      <c r="W232">
        <f>IF(lpg_3[[#This Row],[dzien]]=4,IF(lpg_3[[#This Row],[pb po trasie]]&lt;40,45-lpg_3[[#This Row],[pb po trasie]],0),0)</f>
        <v>0</v>
      </c>
      <c r="X232">
        <f>IF(lpg_3[[#This Row],[lpg po trasie]]&lt;5,30-lpg_3[[#This Row],[lpg po trasie]],0)</f>
        <v>0</v>
      </c>
      <c r="Y232">
        <f>WEEKDAY(lpg_3[[#This Row],[data]],2)</f>
        <v>2</v>
      </c>
    </row>
    <row r="233" spans="1:25" x14ac:dyDescent="0.25">
      <c r="A233" s="1">
        <v>41871</v>
      </c>
      <c r="B233">
        <v>78</v>
      </c>
      <c r="C233">
        <f>G232+I232</f>
        <v>36.599999999999994</v>
      </c>
      <c r="D233">
        <f>H232+J232</f>
        <v>6.1000000000000041</v>
      </c>
      <c r="E233">
        <f>ROUND(IF(lpg[[#This Row],[zbiornik LPG]]&gt;15,0,(lpg[[#This Row],[km]]/2)*6/100),2)</f>
        <v>2.34</v>
      </c>
      <c r="F233">
        <f>ROUND(IF(lpg[[#This Row],[zbiornik LPG]]&gt;15,lpg[[#This Row],[km]]*9/100,(lpg[[#This Row],[km]]/2)*9/100),2)</f>
        <v>3.51</v>
      </c>
      <c r="G233">
        <f>lpg[[#This Row],[zbiornik PB95]]-lpg[[#This Row],[zuzycie PB95]]</f>
        <v>34.259999999999991</v>
      </c>
      <c r="H233">
        <f>lpg[[#This Row],[zbiornik LPG]]-lpg[[#This Row],[zyzucie lpg]]</f>
        <v>2.5900000000000043</v>
      </c>
      <c r="I233">
        <f>IF(lpg[[#This Row],[dzien]]=4,IF(lpg[[#This Row],[pb po trasie]]&lt;40,45-lpg[[#This Row],[pb po trasie]],0),0)</f>
        <v>0</v>
      </c>
      <c r="J233">
        <f>IF(lpg[[#This Row],[lpg po trasie]]&lt;5,30-lpg[[#This Row],[lpg po trasie]],0)</f>
        <v>27.409999999999997</v>
      </c>
      <c r="K233">
        <f>WEEKDAY(lpg[[#This Row],[data]],2)</f>
        <v>3</v>
      </c>
      <c r="O233" s="1">
        <v>41871</v>
      </c>
      <c r="P233">
        <v>78</v>
      </c>
      <c r="Q233">
        <f>U232+W232</f>
        <v>36.599999999999994</v>
      </c>
      <c r="R233">
        <f>V232+X232</f>
        <v>6.1000000000000041</v>
      </c>
      <c r="S233">
        <f>ROUND(IF(lpg_3[[#This Row],[zbiornik LPG]]&gt;15,0,(lpg_3[[#This Row],[km]]/2)*6/100),2)</f>
        <v>2.34</v>
      </c>
      <c r="T233">
        <f>ROUND(IF(lpg_3[[#This Row],[zbiornik LPG]]&gt;15,lpg_3[[#This Row],[km]]*9/100,(lpg_3[[#This Row],[km]]/2)*9/100),2)</f>
        <v>3.51</v>
      </c>
      <c r="U233">
        <f>lpg_3[[#This Row],[zbiornik PB95]]-lpg_3[[#This Row],[zuzycie PB95]]</f>
        <v>34.259999999999991</v>
      </c>
      <c r="V233">
        <f>lpg_3[[#This Row],[zbiornik LPG]]-lpg_3[[#This Row],[zyzucie lpg]]</f>
        <v>2.5900000000000043</v>
      </c>
      <c r="W233">
        <f>IF(lpg_3[[#This Row],[dzien]]=4,IF(lpg_3[[#This Row],[pb po trasie]]&lt;40,45-lpg_3[[#This Row],[pb po trasie]],0),0)</f>
        <v>0</v>
      </c>
      <c r="X233">
        <f>IF(lpg_3[[#This Row],[lpg po trasie]]&lt;5,30-lpg_3[[#This Row],[lpg po trasie]],0)</f>
        <v>27.409999999999997</v>
      </c>
      <c r="Y233">
        <f>WEEKDAY(lpg_3[[#This Row],[data]],2)</f>
        <v>3</v>
      </c>
    </row>
    <row r="234" spans="1:25" x14ac:dyDescent="0.25">
      <c r="A234" s="1">
        <v>41872</v>
      </c>
      <c r="B234">
        <v>106</v>
      </c>
      <c r="C234">
        <f>G233+I233</f>
        <v>34.259999999999991</v>
      </c>
      <c r="D234">
        <f>H233+J233</f>
        <v>30</v>
      </c>
      <c r="E234">
        <f>ROUND(IF(lpg[[#This Row],[zbiornik LPG]]&gt;15,0,(lpg[[#This Row],[km]]/2)*6/100),2)</f>
        <v>0</v>
      </c>
      <c r="F234">
        <f>ROUND(IF(lpg[[#This Row],[zbiornik LPG]]&gt;15,lpg[[#This Row],[km]]*9/100,(lpg[[#This Row],[km]]/2)*9/100),2)</f>
        <v>9.5399999999999991</v>
      </c>
      <c r="G234">
        <f>lpg[[#This Row],[zbiornik PB95]]-lpg[[#This Row],[zuzycie PB95]]</f>
        <v>34.259999999999991</v>
      </c>
      <c r="H234">
        <f>lpg[[#This Row],[zbiornik LPG]]-lpg[[#This Row],[zyzucie lpg]]</f>
        <v>20.46</v>
      </c>
      <c r="I234">
        <f>IF(lpg[[#This Row],[dzien]]=4,IF(lpg[[#This Row],[pb po trasie]]&lt;40,45-lpg[[#This Row],[pb po trasie]],0),0)</f>
        <v>10.740000000000009</v>
      </c>
      <c r="J234">
        <f>IF(lpg[[#This Row],[lpg po trasie]]&lt;5,30-lpg[[#This Row],[lpg po trasie]],0)</f>
        <v>0</v>
      </c>
      <c r="K234">
        <f>WEEKDAY(lpg[[#This Row],[data]],2)</f>
        <v>4</v>
      </c>
      <c r="O234" s="1">
        <v>41872</v>
      </c>
      <c r="P234">
        <v>106</v>
      </c>
      <c r="Q234">
        <f>U233+W233</f>
        <v>34.259999999999991</v>
      </c>
      <c r="R234">
        <f>V233+X233</f>
        <v>30</v>
      </c>
      <c r="S234">
        <f>ROUND(IF(lpg_3[[#This Row],[zbiornik LPG]]&gt;15,0,(lpg_3[[#This Row],[km]]/2)*6/100),2)</f>
        <v>0</v>
      </c>
      <c r="T234">
        <f>ROUND(IF(lpg_3[[#This Row],[zbiornik LPG]]&gt;15,lpg_3[[#This Row],[km]]*9/100,(lpg_3[[#This Row],[km]]/2)*9/100),2)</f>
        <v>9.5399999999999991</v>
      </c>
      <c r="U234">
        <f>lpg_3[[#This Row],[zbiornik PB95]]-lpg_3[[#This Row],[zuzycie PB95]]</f>
        <v>34.259999999999991</v>
      </c>
      <c r="V234">
        <f>lpg_3[[#This Row],[zbiornik LPG]]-lpg_3[[#This Row],[zyzucie lpg]]</f>
        <v>20.46</v>
      </c>
      <c r="W234">
        <f>IF(lpg_3[[#This Row],[dzien]]=4,IF(lpg_3[[#This Row],[pb po trasie]]&lt;40,45-lpg_3[[#This Row],[pb po trasie]],0),0)</f>
        <v>10.740000000000009</v>
      </c>
      <c r="X234">
        <f>IF(lpg_3[[#This Row],[lpg po trasie]]&lt;5,30-lpg_3[[#This Row],[lpg po trasie]],0)</f>
        <v>0</v>
      </c>
      <c r="Y234">
        <f>WEEKDAY(lpg_3[[#This Row],[data]],2)</f>
        <v>4</v>
      </c>
    </row>
    <row r="235" spans="1:25" x14ac:dyDescent="0.25">
      <c r="A235" s="1">
        <v>41873</v>
      </c>
      <c r="B235">
        <v>124</v>
      </c>
      <c r="C235">
        <f>G234+I234</f>
        <v>45</v>
      </c>
      <c r="D235">
        <f>H234+J234</f>
        <v>20.46</v>
      </c>
      <c r="E235">
        <f>ROUND(IF(lpg[[#This Row],[zbiornik LPG]]&gt;15,0,(lpg[[#This Row],[km]]/2)*6/100),2)</f>
        <v>0</v>
      </c>
      <c r="F235">
        <f>ROUND(IF(lpg[[#This Row],[zbiornik LPG]]&gt;15,lpg[[#This Row],[km]]*9/100,(lpg[[#This Row],[km]]/2)*9/100),2)</f>
        <v>11.16</v>
      </c>
      <c r="G235">
        <f>lpg[[#This Row],[zbiornik PB95]]-lpg[[#This Row],[zuzycie PB95]]</f>
        <v>45</v>
      </c>
      <c r="H235">
        <f>lpg[[#This Row],[zbiornik LPG]]-lpg[[#This Row],[zyzucie lpg]]</f>
        <v>9.3000000000000007</v>
      </c>
      <c r="I235">
        <f>IF(lpg[[#This Row],[dzien]]=4,IF(lpg[[#This Row],[pb po trasie]]&lt;40,45-lpg[[#This Row],[pb po trasie]],0),0)</f>
        <v>0</v>
      </c>
      <c r="J235">
        <f>IF(lpg[[#This Row],[lpg po trasie]]&lt;5,30-lpg[[#This Row],[lpg po trasie]],0)</f>
        <v>0</v>
      </c>
      <c r="K235">
        <f>WEEKDAY(lpg[[#This Row],[data]],2)</f>
        <v>5</v>
      </c>
      <c r="O235" s="1">
        <v>41873</v>
      </c>
      <c r="P235">
        <v>124</v>
      </c>
      <c r="Q235">
        <f>U234+W234</f>
        <v>45</v>
      </c>
      <c r="R235">
        <f>V234+X234</f>
        <v>20.46</v>
      </c>
      <c r="S235">
        <f>ROUND(IF(lpg_3[[#This Row],[zbiornik LPG]]&gt;15,0,(lpg_3[[#This Row],[km]]/2)*6/100),2)</f>
        <v>0</v>
      </c>
      <c r="T235">
        <f>ROUND(IF(lpg_3[[#This Row],[zbiornik LPG]]&gt;15,lpg_3[[#This Row],[km]]*9/100,(lpg_3[[#This Row],[km]]/2)*9/100),2)</f>
        <v>11.16</v>
      </c>
      <c r="U235">
        <f>lpg_3[[#This Row],[zbiornik PB95]]-lpg_3[[#This Row],[zuzycie PB95]]</f>
        <v>45</v>
      </c>
      <c r="V235">
        <f>lpg_3[[#This Row],[zbiornik LPG]]-lpg_3[[#This Row],[zyzucie lpg]]</f>
        <v>9.3000000000000007</v>
      </c>
      <c r="W235">
        <f>IF(lpg_3[[#This Row],[dzien]]=4,IF(lpg_3[[#This Row],[pb po trasie]]&lt;40,45-lpg_3[[#This Row],[pb po trasie]],0),0)</f>
        <v>0</v>
      </c>
      <c r="X235">
        <f>IF(lpg_3[[#This Row],[lpg po trasie]]&lt;5,30-lpg_3[[#This Row],[lpg po trasie]],0)</f>
        <v>0</v>
      </c>
      <c r="Y235">
        <f>WEEKDAY(lpg_3[[#This Row],[data]],2)</f>
        <v>5</v>
      </c>
    </row>
    <row r="236" spans="1:25" x14ac:dyDescent="0.25">
      <c r="A236" s="1">
        <v>41874</v>
      </c>
      <c r="B236">
        <v>97</v>
      </c>
      <c r="C236">
        <f>G235+I235</f>
        <v>45</v>
      </c>
      <c r="D236">
        <f>H235+J235</f>
        <v>9.3000000000000007</v>
      </c>
      <c r="E236">
        <f>ROUND(IF(lpg[[#This Row],[zbiornik LPG]]&gt;15,0,(lpg[[#This Row],[km]]/2)*6/100),2)</f>
        <v>2.91</v>
      </c>
      <c r="F236">
        <f>ROUND(IF(lpg[[#This Row],[zbiornik LPG]]&gt;15,lpg[[#This Row],[km]]*9/100,(lpg[[#This Row],[km]]/2)*9/100),2)</f>
        <v>4.37</v>
      </c>
      <c r="G236">
        <f>lpg[[#This Row],[zbiornik PB95]]-lpg[[#This Row],[zuzycie PB95]]</f>
        <v>42.09</v>
      </c>
      <c r="H236">
        <f>lpg[[#This Row],[zbiornik LPG]]-lpg[[#This Row],[zyzucie lpg]]</f>
        <v>4.9300000000000006</v>
      </c>
      <c r="I236">
        <f>IF(lpg[[#This Row],[dzien]]=4,IF(lpg[[#This Row],[pb po trasie]]&lt;40,45-lpg[[#This Row],[pb po trasie]],0),0)</f>
        <v>0</v>
      </c>
      <c r="J236">
        <f>IF(lpg[[#This Row],[lpg po trasie]]&lt;5,30-lpg[[#This Row],[lpg po trasie]],0)</f>
        <v>25.07</v>
      </c>
      <c r="K236">
        <f>WEEKDAY(lpg[[#This Row],[data]],2)</f>
        <v>6</v>
      </c>
      <c r="O236" s="1">
        <v>41874</v>
      </c>
      <c r="P236">
        <v>97</v>
      </c>
      <c r="Q236">
        <f>U235+W235</f>
        <v>45</v>
      </c>
      <c r="R236">
        <f>V235+X235</f>
        <v>9.3000000000000007</v>
      </c>
      <c r="S236">
        <f>ROUND(IF(lpg_3[[#This Row],[zbiornik LPG]]&gt;15,0,(lpg_3[[#This Row],[km]]/2)*6/100),2)</f>
        <v>2.91</v>
      </c>
      <c r="T236">
        <f>ROUND(IF(lpg_3[[#This Row],[zbiornik LPG]]&gt;15,lpg_3[[#This Row],[km]]*9/100,(lpg_3[[#This Row],[km]]/2)*9/100),2)</f>
        <v>4.37</v>
      </c>
      <c r="U236">
        <f>lpg_3[[#This Row],[zbiornik PB95]]-lpg_3[[#This Row],[zuzycie PB95]]</f>
        <v>42.09</v>
      </c>
      <c r="V236">
        <f>lpg_3[[#This Row],[zbiornik LPG]]-lpg_3[[#This Row],[zyzucie lpg]]</f>
        <v>4.9300000000000006</v>
      </c>
      <c r="W236">
        <f>IF(lpg_3[[#This Row],[dzien]]=4,IF(lpg_3[[#This Row],[pb po trasie]]&lt;40,45-lpg_3[[#This Row],[pb po trasie]],0),0)</f>
        <v>0</v>
      </c>
      <c r="X236">
        <f>IF(lpg_3[[#This Row],[lpg po trasie]]&lt;5,30-lpg_3[[#This Row],[lpg po trasie]],0)</f>
        <v>25.07</v>
      </c>
      <c r="Y236">
        <f>WEEKDAY(lpg_3[[#This Row],[data]],2)</f>
        <v>6</v>
      </c>
    </row>
    <row r="237" spans="1:25" x14ac:dyDescent="0.25">
      <c r="A237" s="1">
        <v>41875</v>
      </c>
      <c r="B237">
        <v>45</v>
      </c>
      <c r="C237">
        <f>G236+I236</f>
        <v>42.09</v>
      </c>
      <c r="D237">
        <f>H236+J236</f>
        <v>30</v>
      </c>
      <c r="E237">
        <f>ROUND(IF(lpg[[#This Row],[zbiornik LPG]]&gt;15,0,(lpg[[#This Row],[km]]/2)*6/100),2)</f>
        <v>0</v>
      </c>
      <c r="F237">
        <f>ROUND(IF(lpg[[#This Row],[zbiornik LPG]]&gt;15,lpg[[#This Row],[km]]*9/100,(lpg[[#This Row],[km]]/2)*9/100),2)</f>
        <v>4.05</v>
      </c>
      <c r="G237">
        <f>lpg[[#This Row],[zbiornik PB95]]-lpg[[#This Row],[zuzycie PB95]]</f>
        <v>42.09</v>
      </c>
      <c r="H237">
        <f>lpg[[#This Row],[zbiornik LPG]]-lpg[[#This Row],[zyzucie lpg]]</f>
        <v>25.95</v>
      </c>
      <c r="I237">
        <f>IF(lpg[[#This Row],[dzien]]=4,IF(lpg[[#This Row],[pb po trasie]]&lt;40,45-lpg[[#This Row],[pb po trasie]],0),0)</f>
        <v>0</v>
      </c>
      <c r="J237">
        <f>IF(lpg[[#This Row],[lpg po trasie]]&lt;5,30-lpg[[#This Row],[lpg po trasie]],0)</f>
        <v>0</v>
      </c>
      <c r="K237">
        <f>WEEKDAY(lpg[[#This Row],[data]],2)</f>
        <v>7</v>
      </c>
      <c r="O237" s="1">
        <v>41875</v>
      </c>
      <c r="P237">
        <v>45</v>
      </c>
      <c r="Q237">
        <f>U236+W236</f>
        <v>42.09</v>
      </c>
      <c r="R237">
        <f>V236+X236</f>
        <v>30</v>
      </c>
      <c r="S237">
        <f>ROUND(IF(lpg_3[[#This Row],[zbiornik LPG]]&gt;15,0,(lpg_3[[#This Row],[km]]/2)*6/100),2)</f>
        <v>0</v>
      </c>
      <c r="T237">
        <f>ROUND(IF(lpg_3[[#This Row],[zbiornik LPG]]&gt;15,lpg_3[[#This Row],[km]]*9/100,(lpg_3[[#This Row],[km]]/2)*9/100),2)</f>
        <v>4.05</v>
      </c>
      <c r="U237">
        <f>lpg_3[[#This Row],[zbiornik PB95]]-lpg_3[[#This Row],[zuzycie PB95]]</f>
        <v>42.09</v>
      </c>
      <c r="V237">
        <f>lpg_3[[#This Row],[zbiornik LPG]]-lpg_3[[#This Row],[zyzucie lpg]]</f>
        <v>25.95</v>
      </c>
      <c r="W237">
        <f>IF(lpg_3[[#This Row],[dzien]]=4,IF(lpg_3[[#This Row],[pb po trasie]]&lt;40,45-lpg_3[[#This Row],[pb po trasie]],0),0)</f>
        <v>0</v>
      </c>
      <c r="X237">
        <f>IF(lpg_3[[#This Row],[lpg po trasie]]&lt;5,30-lpg_3[[#This Row],[lpg po trasie]],0)</f>
        <v>0</v>
      </c>
      <c r="Y237">
        <f>WEEKDAY(lpg_3[[#This Row],[data]],2)</f>
        <v>7</v>
      </c>
    </row>
    <row r="238" spans="1:25" x14ac:dyDescent="0.25">
      <c r="A238" s="1">
        <v>41876</v>
      </c>
      <c r="B238">
        <v>132</v>
      </c>
      <c r="C238">
        <f>G237+I237</f>
        <v>42.09</v>
      </c>
      <c r="D238">
        <f>H237+J237</f>
        <v>25.95</v>
      </c>
      <c r="E238">
        <f>ROUND(IF(lpg[[#This Row],[zbiornik LPG]]&gt;15,0,(lpg[[#This Row],[km]]/2)*6/100),2)</f>
        <v>0</v>
      </c>
      <c r="F238">
        <f>ROUND(IF(lpg[[#This Row],[zbiornik LPG]]&gt;15,lpg[[#This Row],[km]]*9/100,(lpg[[#This Row],[km]]/2)*9/100),2)</f>
        <v>11.88</v>
      </c>
      <c r="G238">
        <f>lpg[[#This Row],[zbiornik PB95]]-lpg[[#This Row],[zuzycie PB95]]</f>
        <v>42.09</v>
      </c>
      <c r="H238">
        <f>lpg[[#This Row],[zbiornik LPG]]-lpg[[#This Row],[zyzucie lpg]]</f>
        <v>14.069999999999999</v>
      </c>
      <c r="I238">
        <f>IF(lpg[[#This Row],[dzien]]=4,IF(lpg[[#This Row],[pb po trasie]]&lt;40,45-lpg[[#This Row],[pb po trasie]],0),0)</f>
        <v>0</v>
      </c>
      <c r="J238">
        <f>IF(lpg[[#This Row],[lpg po trasie]]&lt;5,30-lpg[[#This Row],[lpg po trasie]],0)</f>
        <v>0</v>
      </c>
      <c r="K238">
        <f>WEEKDAY(lpg[[#This Row],[data]],2)</f>
        <v>1</v>
      </c>
      <c r="O238" s="1">
        <v>41876</v>
      </c>
      <c r="P238">
        <v>132</v>
      </c>
      <c r="Q238">
        <f>U237+W237</f>
        <v>42.09</v>
      </c>
      <c r="R238">
        <f>V237+X237</f>
        <v>25.95</v>
      </c>
      <c r="S238">
        <f>ROUND(IF(lpg_3[[#This Row],[zbiornik LPG]]&gt;15,0,(lpg_3[[#This Row],[km]]/2)*6/100),2)</f>
        <v>0</v>
      </c>
      <c r="T238">
        <f>ROUND(IF(lpg_3[[#This Row],[zbiornik LPG]]&gt;15,lpg_3[[#This Row],[km]]*9/100,(lpg_3[[#This Row],[km]]/2)*9/100),2)</f>
        <v>11.88</v>
      </c>
      <c r="U238">
        <f>lpg_3[[#This Row],[zbiornik PB95]]-lpg_3[[#This Row],[zuzycie PB95]]</f>
        <v>42.09</v>
      </c>
      <c r="V238">
        <f>lpg_3[[#This Row],[zbiornik LPG]]-lpg_3[[#This Row],[zyzucie lpg]]</f>
        <v>14.069999999999999</v>
      </c>
      <c r="W238">
        <f>IF(lpg_3[[#This Row],[dzien]]=4,IF(lpg_3[[#This Row],[pb po trasie]]&lt;40,45-lpg_3[[#This Row],[pb po trasie]],0),0)</f>
        <v>0</v>
      </c>
      <c r="X238">
        <f>IF(lpg_3[[#This Row],[lpg po trasie]]&lt;5,30-lpg_3[[#This Row],[lpg po trasie]],0)</f>
        <v>0</v>
      </c>
      <c r="Y238">
        <f>WEEKDAY(lpg_3[[#This Row],[data]],2)</f>
        <v>1</v>
      </c>
    </row>
    <row r="239" spans="1:25" x14ac:dyDescent="0.25">
      <c r="A239" s="1">
        <v>41877</v>
      </c>
      <c r="B239">
        <v>107</v>
      </c>
      <c r="C239">
        <f>G238+I238</f>
        <v>42.09</v>
      </c>
      <c r="D239">
        <f>H238+J238</f>
        <v>14.069999999999999</v>
      </c>
      <c r="E239">
        <f>ROUND(IF(lpg[[#This Row],[zbiornik LPG]]&gt;15,0,(lpg[[#This Row],[km]]/2)*6/100),2)</f>
        <v>3.21</v>
      </c>
      <c r="F239">
        <f>ROUND(IF(lpg[[#This Row],[zbiornik LPG]]&gt;15,lpg[[#This Row],[km]]*9/100,(lpg[[#This Row],[km]]/2)*9/100),2)</f>
        <v>4.82</v>
      </c>
      <c r="G239">
        <f>lpg[[#This Row],[zbiornik PB95]]-lpg[[#This Row],[zuzycie PB95]]</f>
        <v>38.880000000000003</v>
      </c>
      <c r="H239">
        <f>lpg[[#This Row],[zbiornik LPG]]-lpg[[#This Row],[zyzucie lpg]]</f>
        <v>9.2499999999999982</v>
      </c>
      <c r="I239">
        <f>IF(lpg[[#This Row],[dzien]]=4,IF(lpg[[#This Row],[pb po trasie]]&lt;40,45-lpg[[#This Row],[pb po trasie]],0),0)</f>
        <v>0</v>
      </c>
      <c r="J239">
        <f>IF(lpg[[#This Row],[lpg po trasie]]&lt;5,30-lpg[[#This Row],[lpg po trasie]],0)</f>
        <v>0</v>
      </c>
      <c r="K239">
        <f>WEEKDAY(lpg[[#This Row],[data]],2)</f>
        <v>2</v>
      </c>
      <c r="O239" s="1">
        <v>41877</v>
      </c>
      <c r="P239">
        <v>107</v>
      </c>
      <c r="Q239">
        <f>U238+W238</f>
        <v>42.09</v>
      </c>
      <c r="R239">
        <f>V238+X238</f>
        <v>14.069999999999999</v>
      </c>
      <c r="S239">
        <f>ROUND(IF(lpg_3[[#This Row],[zbiornik LPG]]&gt;15,0,(lpg_3[[#This Row],[km]]/2)*6/100),2)</f>
        <v>3.21</v>
      </c>
      <c r="T239">
        <f>ROUND(IF(lpg_3[[#This Row],[zbiornik LPG]]&gt;15,lpg_3[[#This Row],[km]]*9/100,(lpg_3[[#This Row],[km]]/2)*9/100),2)</f>
        <v>4.82</v>
      </c>
      <c r="U239">
        <f>lpg_3[[#This Row],[zbiornik PB95]]-lpg_3[[#This Row],[zuzycie PB95]]</f>
        <v>38.880000000000003</v>
      </c>
      <c r="V239">
        <f>lpg_3[[#This Row],[zbiornik LPG]]-lpg_3[[#This Row],[zyzucie lpg]]</f>
        <v>9.2499999999999982</v>
      </c>
      <c r="W239">
        <f>IF(lpg_3[[#This Row],[dzien]]=4,IF(lpg_3[[#This Row],[pb po trasie]]&lt;40,45-lpg_3[[#This Row],[pb po trasie]],0),0)</f>
        <v>0</v>
      </c>
      <c r="X239">
        <f>IF(lpg_3[[#This Row],[lpg po trasie]]&lt;5,30-lpg_3[[#This Row],[lpg po trasie]],0)</f>
        <v>0</v>
      </c>
      <c r="Y239">
        <f>WEEKDAY(lpg_3[[#This Row],[data]],2)</f>
        <v>2</v>
      </c>
    </row>
    <row r="240" spans="1:25" x14ac:dyDescent="0.25">
      <c r="A240" s="1">
        <v>41878</v>
      </c>
      <c r="B240">
        <v>54</v>
      </c>
      <c r="C240">
        <f>G239+I239</f>
        <v>38.880000000000003</v>
      </c>
      <c r="D240">
        <f>H239+J239</f>
        <v>9.2499999999999982</v>
      </c>
      <c r="E240">
        <f>ROUND(IF(lpg[[#This Row],[zbiornik LPG]]&gt;15,0,(lpg[[#This Row],[km]]/2)*6/100),2)</f>
        <v>1.62</v>
      </c>
      <c r="F240">
        <f>ROUND(IF(lpg[[#This Row],[zbiornik LPG]]&gt;15,lpg[[#This Row],[km]]*9/100,(lpg[[#This Row],[km]]/2)*9/100),2)</f>
        <v>2.4300000000000002</v>
      </c>
      <c r="G240">
        <f>lpg[[#This Row],[zbiornik PB95]]-lpg[[#This Row],[zuzycie PB95]]</f>
        <v>37.260000000000005</v>
      </c>
      <c r="H240">
        <f>lpg[[#This Row],[zbiornik LPG]]-lpg[[#This Row],[zyzucie lpg]]</f>
        <v>6.8199999999999985</v>
      </c>
      <c r="I240">
        <f>IF(lpg[[#This Row],[dzien]]=4,IF(lpg[[#This Row],[pb po trasie]]&lt;40,45-lpg[[#This Row],[pb po trasie]],0),0)</f>
        <v>0</v>
      </c>
      <c r="J240">
        <f>IF(lpg[[#This Row],[lpg po trasie]]&lt;5,30-lpg[[#This Row],[lpg po trasie]],0)</f>
        <v>0</v>
      </c>
      <c r="K240">
        <f>WEEKDAY(lpg[[#This Row],[data]],2)</f>
        <v>3</v>
      </c>
      <c r="O240" s="1">
        <v>41878</v>
      </c>
      <c r="P240">
        <v>54</v>
      </c>
      <c r="Q240">
        <f>U239+W239</f>
        <v>38.880000000000003</v>
      </c>
      <c r="R240">
        <f>V239+X239</f>
        <v>9.2499999999999982</v>
      </c>
      <c r="S240">
        <f>ROUND(IF(lpg_3[[#This Row],[zbiornik LPG]]&gt;15,0,(lpg_3[[#This Row],[km]]/2)*6/100),2)</f>
        <v>1.62</v>
      </c>
      <c r="T240">
        <f>ROUND(IF(lpg_3[[#This Row],[zbiornik LPG]]&gt;15,lpg_3[[#This Row],[km]]*9/100,(lpg_3[[#This Row],[km]]/2)*9/100),2)</f>
        <v>2.4300000000000002</v>
      </c>
      <c r="U240">
        <f>lpg_3[[#This Row],[zbiornik PB95]]-lpg_3[[#This Row],[zuzycie PB95]]</f>
        <v>37.260000000000005</v>
      </c>
      <c r="V240">
        <f>lpg_3[[#This Row],[zbiornik LPG]]-lpg_3[[#This Row],[zyzucie lpg]]</f>
        <v>6.8199999999999985</v>
      </c>
      <c r="W240">
        <f>IF(lpg_3[[#This Row],[dzien]]=4,IF(lpg_3[[#This Row],[pb po trasie]]&lt;40,45-lpg_3[[#This Row],[pb po trasie]],0),0)</f>
        <v>0</v>
      </c>
      <c r="X240">
        <f>IF(lpg_3[[#This Row],[lpg po trasie]]&lt;5,30-lpg_3[[#This Row],[lpg po trasie]],0)</f>
        <v>0</v>
      </c>
      <c r="Y240">
        <f>WEEKDAY(lpg_3[[#This Row],[data]],2)</f>
        <v>3</v>
      </c>
    </row>
    <row r="241" spans="1:25" x14ac:dyDescent="0.25">
      <c r="A241" s="1">
        <v>41879</v>
      </c>
      <c r="B241">
        <v>116</v>
      </c>
      <c r="C241">
        <f>G240+I240</f>
        <v>37.260000000000005</v>
      </c>
      <c r="D241">
        <f>H240+J240</f>
        <v>6.8199999999999985</v>
      </c>
      <c r="E241">
        <f>ROUND(IF(lpg[[#This Row],[zbiornik LPG]]&gt;15,0,(lpg[[#This Row],[km]]/2)*6/100),2)</f>
        <v>3.48</v>
      </c>
      <c r="F241">
        <f>ROUND(IF(lpg[[#This Row],[zbiornik LPG]]&gt;15,lpg[[#This Row],[km]]*9/100,(lpg[[#This Row],[km]]/2)*9/100),2)</f>
        <v>5.22</v>
      </c>
      <c r="G241">
        <f>lpg[[#This Row],[zbiornik PB95]]-lpg[[#This Row],[zuzycie PB95]]</f>
        <v>33.780000000000008</v>
      </c>
      <c r="H241">
        <f>lpg[[#This Row],[zbiornik LPG]]-lpg[[#This Row],[zyzucie lpg]]</f>
        <v>1.5999999999999988</v>
      </c>
      <c r="I241">
        <f>IF(lpg[[#This Row],[dzien]]=4,IF(lpg[[#This Row],[pb po trasie]]&lt;40,45-lpg[[#This Row],[pb po trasie]],0),0)</f>
        <v>11.219999999999992</v>
      </c>
      <c r="J241">
        <f>IF(lpg[[#This Row],[lpg po trasie]]&lt;5,30-lpg[[#This Row],[lpg po trasie]],0)</f>
        <v>28.400000000000002</v>
      </c>
      <c r="K241">
        <f>WEEKDAY(lpg[[#This Row],[data]],2)</f>
        <v>4</v>
      </c>
      <c r="O241" s="1">
        <v>41879</v>
      </c>
      <c r="P241">
        <v>116</v>
      </c>
      <c r="Q241">
        <f>U240+W240</f>
        <v>37.260000000000005</v>
      </c>
      <c r="R241">
        <f>V240+X240</f>
        <v>6.8199999999999985</v>
      </c>
      <c r="S241">
        <f>ROUND(IF(lpg_3[[#This Row],[zbiornik LPG]]&gt;15,0,(lpg_3[[#This Row],[km]]/2)*6/100),2)</f>
        <v>3.48</v>
      </c>
      <c r="T241">
        <f>ROUND(IF(lpg_3[[#This Row],[zbiornik LPG]]&gt;15,lpg_3[[#This Row],[km]]*9/100,(lpg_3[[#This Row],[km]]/2)*9/100),2)</f>
        <v>5.22</v>
      </c>
      <c r="U241">
        <f>lpg_3[[#This Row],[zbiornik PB95]]-lpg_3[[#This Row],[zuzycie PB95]]</f>
        <v>33.780000000000008</v>
      </c>
      <c r="V241">
        <f>lpg_3[[#This Row],[zbiornik LPG]]-lpg_3[[#This Row],[zyzucie lpg]]</f>
        <v>1.5999999999999988</v>
      </c>
      <c r="W241">
        <f>IF(lpg_3[[#This Row],[dzien]]=4,IF(lpg_3[[#This Row],[pb po trasie]]&lt;40,45-lpg_3[[#This Row],[pb po trasie]],0),0)</f>
        <v>11.219999999999992</v>
      </c>
      <c r="X241">
        <f>IF(lpg_3[[#This Row],[lpg po trasie]]&lt;5,30-lpg_3[[#This Row],[lpg po trasie]],0)</f>
        <v>28.400000000000002</v>
      </c>
      <c r="Y241">
        <f>WEEKDAY(lpg_3[[#This Row],[data]],2)</f>
        <v>4</v>
      </c>
    </row>
    <row r="242" spans="1:25" x14ac:dyDescent="0.25">
      <c r="A242" s="1">
        <v>41880</v>
      </c>
      <c r="B242">
        <v>99</v>
      </c>
      <c r="C242">
        <f>G241+I241</f>
        <v>45</v>
      </c>
      <c r="D242">
        <f>H241+J241</f>
        <v>30</v>
      </c>
      <c r="E242">
        <f>ROUND(IF(lpg[[#This Row],[zbiornik LPG]]&gt;15,0,(lpg[[#This Row],[km]]/2)*6/100),2)</f>
        <v>0</v>
      </c>
      <c r="F242">
        <f>ROUND(IF(lpg[[#This Row],[zbiornik LPG]]&gt;15,lpg[[#This Row],[km]]*9/100,(lpg[[#This Row],[km]]/2)*9/100),2)</f>
        <v>8.91</v>
      </c>
      <c r="G242">
        <f>lpg[[#This Row],[zbiornik PB95]]-lpg[[#This Row],[zuzycie PB95]]</f>
        <v>45</v>
      </c>
      <c r="H242">
        <f>lpg[[#This Row],[zbiornik LPG]]-lpg[[#This Row],[zyzucie lpg]]</f>
        <v>21.09</v>
      </c>
      <c r="I242">
        <f>IF(lpg[[#This Row],[dzien]]=4,IF(lpg[[#This Row],[pb po trasie]]&lt;40,45-lpg[[#This Row],[pb po trasie]],0),0)</f>
        <v>0</v>
      </c>
      <c r="J242">
        <f>IF(lpg[[#This Row],[lpg po trasie]]&lt;5,30-lpg[[#This Row],[lpg po trasie]],0)</f>
        <v>0</v>
      </c>
      <c r="K242">
        <f>WEEKDAY(lpg[[#This Row],[data]],2)</f>
        <v>5</v>
      </c>
      <c r="O242" s="1">
        <v>41880</v>
      </c>
      <c r="P242">
        <v>99</v>
      </c>
      <c r="Q242">
        <f>U241+W241</f>
        <v>45</v>
      </c>
      <c r="R242">
        <f>V241+X241</f>
        <v>30</v>
      </c>
      <c r="S242">
        <f>ROUND(IF(lpg_3[[#This Row],[zbiornik LPG]]&gt;15,0,(lpg_3[[#This Row],[km]]/2)*6/100),2)</f>
        <v>0</v>
      </c>
      <c r="T242">
        <f>ROUND(IF(lpg_3[[#This Row],[zbiornik LPG]]&gt;15,lpg_3[[#This Row],[km]]*9/100,(lpg_3[[#This Row],[km]]/2)*9/100),2)</f>
        <v>8.91</v>
      </c>
      <c r="U242">
        <f>lpg_3[[#This Row],[zbiornik PB95]]-lpg_3[[#This Row],[zuzycie PB95]]</f>
        <v>45</v>
      </c>
      <c r="V242">
        <f>lpg_3[[#This Row],[zbiornik LPG]]-lpg_3[[#This Row],[zyzucie lpg]]</f>
        <v>21.09</v>
      </c>
      <c r="W242">
        <f>IF(lpg_3[[#This Row],[dzien]]=4,IF(lpg_3[[#This Row],[pb po trasie]]&lt;40,45-lpg_3[[#This Row],[pb po trasie]],0),0)</f>
        <v>0</v>
      </c>
      <c r="X242">
        <f>IF(lpg_3[[#This Row],[lpg po trasie]]&lt;5,30-lpg_3[[#This Row],[lpg po trasie]],0)</f>
        <v>0</v>
      </c>
      <c r="Y242">
        <f>WEEKDAY(lpg_3[[#This Row],[data]],2)</f>
        <v>5</v>
      </c>
    </row>
    <row r="243" spans="1:25" x14ac:dyDescent="0.25">
      <c r="A243" s="1">
        <v>41881</v>
      </c>
      <c r="B243">
        <v>29</v>
      </c>
      <c r="C243">
        <f>G242+I242</f>
        <v>45</v>
      </c>
      <c r="D243">
        <f>H242+J242</f>
        <v>21.09</v>
      </c>
      <c r="E243">
        <f>ROUND(IF(lpg[[#This Row],[zbiornik LPG]]&gt;15,0,(lpg[[#This Row],[km]]/2)*6/100),2)</f>
        <v>0</v>
      </c>
      <c r="F243">
        <f>ROUND(IF(lpg[[#This Row],[zbiornik LPG]]&gt;15,lpg[[#This Row],[km]]*9/100,(lpg[[#This Row],[km]]/2)*9/100),2)</f>
        <v>2.61</v>
      </c>
      <c r="G243">
        <f>lpg[[#This Row],[zbiornik PB95]]-lpg[[#This Row],[zuzycie PB95]]</f>
        <v>45</v>
      </c>
      <c r="H243">
        <f>lpg[[#This Row],[zbiornik LPG]]-lpg[[#This Row],[zyzucie lpg]]</f>
        <v>18.48</v>
      </c>
      <c r="I243">
        <f>IF(lpg[[#This Row],[dzien]]=4,IF(lpg[[#This Row],[pb po trasie]]&lt;40,45-lpg[[#This Row],[pb po trasie]],0),0)</f>
        <v>0</v>
      </c>
      <c r="J243">
        <f>IF(lpg[[#This Row],[lpg po trasie]]&lt;5,30-lpg[[#This Row],[lpg po trasie]],0)</f>
        <v>0</v>
      </c>
      <c r="K243">
        <f>WEEKDAY(lpg[[#This Row],[data]],2)</f>
        <v>6</v>
      </c>
      <c r="O243" s="1">
        <v>41881</v>
      </c>
      <c r="P243">
        <v>29</v>
      </c>
      <c r="Q243">
        <f>U242+W242</f>
        <v>45</v>
      </c>
      <c r="R243">
        <f>V242+X242</f>
        <v>21.09</v>
      </c>
      <c r="S243">
        <f>ROUND(IF(lpg_3[[#This Row],[zbiornik LPG]]&gt;15,0,(lpg_3[[#This Row],[km]]/2)*6/100),2)</f>
        <v>0</v>
      </c>
      <c r="T243">
        <f>ROUND(IF(lpg_3[[#This Row],[zbiornik LPG]]&gt;15,lpg_3[[#This Row],[km]]*9/100,(lpg_3[[#This Row],[km]]/2)*9/100),2)</f>
        <v>2.61</v>
      </c>
      <c r="U243">
        <f>lpg_3[[#This Row],[zbiornik PB95]]-lpg_3[[#This Row],[zuzycie PB95]]</f>
        <v>45</v>
      </c>
      <c r="V243">
        <f>lpg_3[[#This Row],[zbiornik LPG]]-lpg_3[[#This Row],[zyzucie lpg]]</f>
        <v>18.48</v>
      </c>
      <c r="W243">
        <f>IF(lpg_3[[#This Row],[dzien]]=4,IF(lpg_3[[#This Row],[pb po trasie]]&lt;40,45-lpg_3[[#This Row],[pb po trasie]],0),0)</f>
        <v>0</v>
      </c>
      <c r="X243">
        <f>IF(lpg_3[[#This Row],[lpg po trasie]]&lt;5,30-lpg_3[[#This Row],[lpg po trasie]],0)</f>
        <v>0</v>
      </c>
      <c r="Y243">
        <f>WEEKDAY(lpg_3[[#This Row],[data]],2)</f>
        <v>6</v>
      </c>
    </row>
    <row r="244" spans="1:25" x14ac:dyDescent="0.25">
      <c r="A244" s="1">
        <v>41882</v>
      </c>
      <c r="B244">
        <v>72</v>
      </c>
      <c r="C244">
        <f>G243+I243</f>
        <v>45</v>
      </c>
      <c r="D244">
        <f>H243+J243</f>
        <v>18.48</v>
      </c>
      <c r="E244">
        <f>ROUND(IF(lpg[[#This Row],[zbiornik LPG]]&gt;15,0,(lpg[[#This Row],[km]]/2)*6/100),2)</f>
        <v>0</v>
      </c>
      <c r="F244">
        <f>ROUND(IF(lpg[[#This Row],[zbiornik LPG]]&gt;15,lpg[[#This Row],[km]]*9/100,(lpg[[#This Row],[km]]/2)*9/100),2)</f>
        <v>6.48</v>
      </c>
      <c r="G244">
        <f>lpg[[#This Row],[zbiornik PB95]]-lpg[[#This Row],[zuzycie PB95]]</f>
        <v>45</v>
      </c>
      <c r="H244">
        <f>lpg[[#This Row],[zbiornik LPG]]-lpg[[#This Row],[zyzucie lpg]]</f>
        <v>12</v>
      </c>
      <c r="I244">
        <f>IF(lpg[[#This Row],[dzien]]=4,IF(lpg[[#This Row],[pb po trasie]]&lt;40,45-lpg[[#This Row],[pb po trasie]],0),0)</f>
        <v>0</v>
      </c>
      <c r="J244">
        <f>IF(lpg[[#This Row],[lpg po trasie]]&lt;5,30-lpg[[#This Row],[lpg po trasie]],0)</f>
        <v>0</v>
      </c>
      <c r="K244">
        <f>WEEKDAY(lpg[[#This Row],[data]],2)</f>
        <v>7</v>
      </c>
      <c r="O244" s="1">
        <v>41882</v>
      </c>
      <c r="P244">
        <v>72</v>
      </c>
      <c r="Q244">
        <f>U243+W243</f>
        <v>45</v>
      </c>
      <c r="R244">
        <f>V243+X243</f>
        <v>18.48</v>
      </c>
      <c r="S244">
        <f>ROUND(IF(lpg_3[[#This Row],[zbiornik LPG]]&gt;15,0,(lpg_3[[#This Row],[km]]/2)*6/100),2)</f>
        <v>0</v>
      </c>
      <c r="T244">
        <f>ROUND(IF(lpg_3[[#This Row],[zbiornik LPG]]&gt;15,lpg_3[[#This Row],[km]]*9/100,(lpg_3[[#This Row],[km]]/2)*9/100),2)</f>
        <v>6.48</v>
      </c>
      <c r="U244">
        <f>lpg_3[[#This Row],[zbiornik PB95]]-lpg_3[[#This Row],[zuzycie PB95]]</f>
        <v>45</v>
      </c>
      <c r="V244">
        <f>lpg_3[[#This Row],[zbiornik LPG]]-lpg_3[[#This Row],[zyzucie lpg]]</f>
        <v>12</v>
      </c>
      <c r="W244">
        <f>IF(lpg_3[[#This Row],[dzien]]=4,IF(lpg_3[[#This Row],[pb po trasie]]&lt;40,45-lpg_3[[#This Row],[pb po trasie]],0),0)</f>
        <v>0</v>
      </c>
      <c r="X244">
        <f>IF(lpg_3[[#This Row],[lpg po trasie]]&lt;5,30-lpg_3[[#This Row],[lpg po trasie]],0)</f>
        <v>0</v>
      </c>
      <c r="Y244">
        <f>WEEKDAY(lpg_3[[#This Row],[data]],2)</f>
        <v>7</v>
      </c>
    </row>
    <row r="245" spans="1:25" x14ac:dyDescent="0.25">
      <c r="A245" s="1">
        <v>41883</v>
      </c>
      <c r="B245">
        <v>94</v>
      </c>
      <c r="C245">
        <f>G244+I244</f>
        <v>45</v>
      </c>
      <c r="D245">
        <f>H244+J244</f>
        <v>12</v>
      </c>
      <c r="E245">
        <f>ROUND(IF(lpg[[#This Row],[zbiornik LPG]]&gt;15,0,(lpg[[#This Row],[km]]/2)*6/100),2)</f>
        <v>2.82</v>
      </c>
      <c r="F245">
        <f>ROUND(IF(lpg[[#This Row],[zbiornik LPG]]&gt;15,lpg[[#This Row],[km]]*9/100,(lpg[[#This Row],[km]]/2)*9/100),2)</f>
        <v>4.2300000000000004</v>
      </c>
      <c r="G245">
        <f>lpg[[#This Row],[zbiornik PB95]]-lpg[[#This Row],[zuzycie PB95]]</f>
        <v>42.18</v>
      </c>
      <c r="H245">
        <f>lpg[[#This Row],[zbiornik LPG]]-lpg[[#This Row],[zyzucie lpg]]</f>
        <v>7.77</v>
      </c>
      <c r="I245">
        <f>IF(lpg[[#This Row],[dzien]]=4,IF(lpg[[#This Row],[pb po trasie]]&lt;40,45-lpg[[#This Row],[pb po trasie]],0),0)</f>
        <v>0</v>
      </c>
      <c r="J245">
        <f>IF(lpg[[#This Row],[lpg po trasie]]&lt;5,30-lpg[[#This Row],[lpg po trasie]],0)</f>
        <v>0</v>
      </c>
      <c r="K245">
        <f>WEEKDAY(lpg[[#This Row],[data]],2)</f>
        <v>1</v>
      </c>
      <c r="O245" s="1">
        <v>41883</v>
      </c>
      <c r="P245">
        <v>94</v>
      </c>
      <c r="Q245">
        <f>U244+W244</f>
        <v>45</v>
      </c>
      <c r="R245">
        <f>V244+X244</f>
        <v>12</v>
      </c>
      <c r="S245">
        <f>ROUND(IF(lpg_3[[#This Row],[zbiornik LPG]]&gt;15,0,(lpg_3[[#This Row],[km]]/2)*6/100),2)</f>
        <v>2.82</v>
      </c>
      <c r="T245">
        <f>ROUND(IF(lpg_3[[#This Row],[zbiornik LPG]]&gt;15,lpg_3[[#This Row],[km]]*9/100,(lpg_3[[#This Row],[km]]/2)*9/100),2)</f>
        <v>4.2300000000000004</v>
      </c>
      <c r="U245">
        <f>lpg_3[[#This Row],[zbiornik PB95]]-lpg_3[[#This Row],[zuzycie PB95]]</f>
        <v>42.18</v>
      </c>
      <c r="V245">
        <f>lpg_3[[#This Row],[zbiornik LPG]]-lpg_3[[#This Row],[zyzucie lpg]]</f>
        <v>7.77</v>
      </c>
      <c r="W245">
        <f>IF(lpg_3[[#This Row],[dzien]]=4,IF(lpg_3[[#This Row],[pb po trasie]]&lt;40,45-lpg_3[[#This Row],[pb po trasie]],0),0)</f>
        <v>0</v>
      </c>
      <c r="X245">
        <f>IF(lpg_3[[#This Row],[lpg po trasie]]&lt;5,30-lpg_3[[#This Row],[lpg po trasie]],0)</f>
        <v>0</v>
      </c>
      <c r="Y245">
        <f>WEEKDAY(lpg_3[[#This Row],[data]],2)</f>
        <v>1</v>
      </c>
    </row>
    <row r="246" spans="1:25" x14ac:dyDescent="0.25">
      <c r="A246" s="1">
        <v>41884</v>
      </c>
      <c r="B246">
        <v>97</v>
      </c>
      <c r="C246">
        <f>G245+I245</f>
        <v>42.18</v>
      </c>
      <c r="D246">
        <f>H245+J245</f>
        <v>7.77</v>
      </c>
      <c r="E246">
        <f>ROUND(IF(lpg[[#This Row],[zbiornik LPG]]&gt;15,0,(lpg[[#This Row],[km]]/2)*6/100),2)</f>
        <v>2.91</v>
      </c>
      <c r="F246">
        <f>ROUND(IF(lpg[[#This Row],[zbiornik LPG]]&gt;15,lpg[[#This Row],[km]]*9/100,(lpg[[#This Row],[km]]/2)*9/100),2)</f>
        <v>4.37</v>
      </c>
      <c r="G246">
        <f>lpg[[#This Row],[zbiornik PB95]]-lpg[[#This Row],[zuzycie PB95]]</f>
        <v>39.269999999999996</v>
      </c>
      <c r="H246">
        <f>lpg[[#This Row],[zbiornik LPG]]-lpg[[#This Row],[zyzucie lpg]]</f>
        <v>3.3999999999999995</v>
      </c>
      <c r="I246">
        <f>IF(lpg[[#This Row],[dzien]]=4,IF(lpg[[#This Row],[pb po trasie]]&lt;40,45-lpg[[#This Row],[pb po trasie]],0),0)</f>
        <v>0</v>
      </c>
      <c r="J246">
        <f>IF(lpg[[#This Row],[lpg po trasie]]&lt;5,30-lpg[[#This Row],[lpg po trasie]],0)</f>
        <v>26.6</v>
      </c>
      <c r="K246">
        <f>WEEKDAY(lpg[[#This Row],[data]],2)</f>
        <v>2</v>
      </c>
      <c r="O246" s="1">
        <v>41884</v>
      </c>
      <c r="P246">
        <v>97</v>
      </c>
      <c r="Q246">
        <f>U245+W245</f>
        <v>42.18</v>
      </c>
      <c r="R246">
        <f>V245+X245</f>
        <v>7.77</v>
      </c>
      <c r="S246">
        <f>ROUND(IF(lpg_3[[#This Row],[zbiornik LPG]]&gt;15,0,(lpg_3[[#This Row],[km]]/2)*6/100),2)</f>
        <v>2.91</v>
      </c>
      <c r="T246">
        <f>ROUND(IF(lpg_3[[#This Row],[zbiornik LPG]]&gt;15,lpg_3[[#This Row],[km]]*9/100,(lpg_3[[#This Row],[km]]/2)*9/100),2)</f>
        <v>4.37</v>
      </c>
      <c r="U246">
        <f>lpg_3[[#This Row],[zbiornik PB95]]-lpg_3[[#This Row],[zuzycie PB95]]</f>
        <v>39.269999999999996</v>
      </c>
      <c r="V246">
        <f>lpg_3[[#This Row],[zbiornik LPG]]-lpg_3[[#This Row],[zyzucie lpg]]</f>
        <v>3.3999999999999995</v>
      </c>
      <c r="W246">
        <f>IF(lpg_3[[#This Row],[dzien]]=4,IF(lpg_3[[#This Row],[pb po trasie]]&lt;40,45-lpg_3[[#This Row],[pb po trasie]],0),0)</f>
        <v>0</v>
      </c>
      <c r="X246">
        <f>IF(lpg_3[[#This Row],[lpg po trasie]]&lt;5,30-lpg_3[[#This Row],[lpg po trasie]],0)</f>
        <v>26.6</v>
      </c>
      <c r="Y246">
        <f>WEEKDAY(lpg_3[[#This Row],[data]],2)</f>
        <v>2</v>
      </c>
    </row>
    <row r="247" spans="1:25" x14ac:dyDescent="0.25">
      <c r="A247" s="1">
        <v>41885</v>
      </c>
      <c r="B247">
        <v>138</v>
      </c>
      <c r="C247">
        <f>G246+I246</f>
        <v>39.269999999999996</v>
      </c>
      <c r="D247">
        <f>H246+J246</f>
        <v>30</v>
      </c>
      <c r="E247">
        <f>ROUND(IF(lpg[[#This Row],[zbiornik LPG]]&gt;15,0,(lpg[[#This Row],[km]]/2)*6/100),2)</f>
        <v>0</v>
      </c>
      <c r="F247">
        <f>ROUND(IF(lpg[[#This Row],[zbiornik LPG]]&gt;15,lpg[[#This Row],[km]]*9/100,(lpg[[#This Row],[km]]/2)*9/100),2)</f>
        <v>12.42</v>
      </c>
      <c r="G247">
        <f>lpg[[#This Row],[zbiornik PB95]]-lpg[[#This Row],[zuzycie PB95]]</f>
        <v>39.269999999999996</v>
      </c>
      <c r="H247">
        <f>lpg[[#This Row],[zbiornik LPG]]-lpg[[#This Row],[zyzucie lpg]]</f>
        <v>17.579999999999998</v>
      </c>
      <c r="I247">
        <f>IF(lpg[[#This Row],[dzien]]=4,IF(lpg[[#This Row],[pb po trasie]]&lt;40,45-lpg[[#This Row],[pb po trasie]],0),0)</f>
        <v>0</v>
      </c>
      <c r="J247">
        <f>IF(lpg[[#This Row],[lpg po trasie]]&lt;5,30-lpg[[#This Row],[lpg po trasie]],0)</f>
        <v>0</v>
      </c>
      <c r="K247">
        <f>WEEKDAY(lpg[[#This Row],[data]],2)</f>
        <v>3</v>
      </c>
      <c r="O247" s="1">
        <v>41885</v>
      </c>
      <c r="P247">
        <v>138</v>
      </c>
      <c r="Q247">
        <f>U246+W246</f>
        <v>39.269999999999996</v>
      </c>
      <c r="R247">
        <f>V246+X246</f>
        <v>30</v>
      </c>
      <c r="S247">
        <f>ROUND(IF(lpg_3[[#This Row],[zbiornik LPG]]&gt;15,0,(lpg_3[[#This Row],[km]]/2)*6/100),2)</f>
        <v>0</v>
      </c>
      <c r="T247">
        <f>ROUND(IF(lpg_3[[#This Row],[zbiornik LPG]]&gt;15,lpg_3[[#This Row],[km]]*9/100,(lpg_3[[#This Row],[km]]/2)*9/100),2)</f>
        <v>12.42</v>
      </c>
      <c r="U247">
        <f>lpg_3[[#This Row],[zbiornik PB95]]-lpg_3[[#This Row],[zuzycie PB95]]</f>
        <v>39.269999999999996</v>
      </c>
      <c r="V247">
        <f>lpg_3[[#This Row],[zbiornik LPG]]-lpg_3[[#This Row],[zyzucie lpg]]</f>
        <v>17.579999999999998</v>
      </c>
      <c r="W247">
        <f>IF(lpg_3[[#This Row],[dzien]]=4,IF(lpg_3[[#This Row],[pb po trasie]]&lt;40,45-lpg_3[[#This Row],[pb po trasie]],0),0)</f>
        <v>0</v>
      </c>
      <c r="X247">
        <f>IF(lpg_3[[#This Row],[lpg po trasie]]&lt;5,30-lpg_3[[#This Row],[lpg po trasie]],0)</f>
        <v>0</v>
      </c>
      <c r="Y247">
        <f>WEEKDAY(lpg_3[[#This Row],[data]],2)</f>
        <v>3</v>
      </c>
    </row>
    <row r="248" spans="1:25" x14ac:dyDescent="0.25">
      <c r="A248" s="1">
        <v>41886</v>
      </c>
      <c r="B248">
        <v>60</v>
      </c>
      <c r="C248">
        <f>G247+I247</f>
        <v>39.269999999999996</v>
      </c>
      <c r="D248">
        <f>H247+J247</f>
        <v>17.579999999999998</v>
      </c>
      <c r="E248">
        <f>ROUND(IF(lpg[[#This Row],[zbiornik LPG]]&gt;15,0,(lpg[[#This Row],[km]]/2)*6/100),2)</f>
        <v>0</v>
      </c>
      <c r="F248">
        <f>ROUND(IF(lpg[[#This Row],[zbiornik LPG]]&gt;15,lpg[[#This Row],[km]]*9/100,(lpg[[#This Row],[km]]/2)*9/100),2)</f>
        <v>5.4</v>
      </c>
      <c r="G248">
        <f>lpg[[#This Row],[zbiornik PB95]]-lpg[[#This Row],[zuzycie PB95]]</f>
        <v>39.269999999999996</v>
      </c>
      <c r="H248">
        <f>lpg[[#This Row],[zbiornik LPG]]-lpg[[#This Row],[zyzucie lpg]]</f>
        <v>12.179999999999998</v>
      </c>
      <c r="I248">
        <f>IF(lpg[[#This Row],[dzien]]=4,IF(lpg[[#This Row],[pb po trasie]]&lt;40,45-lpg[[#This Row],[pb po trasie]],0),0)</f>
        <v>5.730000000000004</v>
      </c>
      <c r="J248">
        <f>IF(lpg[[#This Row],[lpg po trasie]]&lt;5,30-lpg[[#This Row],[lpg po trasie]],0)</f>
        <v>0</v>
      </c>
      <c r="K248">
        <f>WEEKDAY(lpg[[#This Row],[data]],2)</f>
        <v>4</v>
      </c>
      <c r="O248" s="1">
        <v>41886</v>
      </c>
      <c r="P248">
        <v>60</v>
      </c>
      <c r="Q248">
        <f>U247+W247</f>
        <v>39.269999999999996</v>
      </c>
      <c r="R248">
        <f>V247+X247</f>
        <v>17.579999999999998</v>
      </c>
      <c r="S248">
        <f>ROUND(IF(lpg_3[[#This Row],[zbiornik LPG]]&gt;15,0,(lpg_3[[#This Row],[km]]/2)*6/100),2)</f>
        <v>0</v>
      </c>
      <c r="T248">
        <f>ROUND(IF(lpg_3[[#This Row],[zbiornik LPG]]&gt;15,lpg_3[[#This Row],[km]]*9/100,(lpg_3[[#This Row],[km]]/2)*9/100),2)</f>
        <v>5.4</v>
      </c>
      <c r="U248">
        <f>lpg_3[[#This Row],[zbiornik PB95]]-lpg_3[[#This Row],[zuzycie PB95]]</f>
        <v>39.269999999999996</v>
      </c>
      <c r="V248">
        <f>lpg_3[[#This Row],[zbiornik LPG]]-lpg_3[[#This Row],[zyzucie lpg]]</f>
        <v>12.179999999999998</v>
      </c>
      <c r="W248">
        <f>IF(lpg_3[[#This Row],[dzien]]=4,IF(lpg_3[[#This Row],[pb po trasie]]&lt;40,45-lpg_3[[#This Row],[pb po trasie]],0),0)</f>
        <v>5.730000000000004</v>
      </c>
      <c r="X248">
        <f>IF(lpg_3[[#This Row],[lpg po trasie]]&lt;5,30-lpg_3[[#This Row],[lpg po trasie]],0)</f>
        <v>0</v>
      </c>
      <c r="Y248">
        <f>WEEKDAY(lpg_3[[#This Row],[data]],2)</f>
        <v>4</v>
      </c>
    </row>
    <row r="249" spans="1:25" x14ac:dyDescent="0.25">
      <c r="A249" s="1">
        <v>41887</v>
      </c>
      <c r="B249">
        <v>144</v>
      </c>
      <c r="C249">
        <f>G248+I248</f>
        <v>45</v>
      </c>
      <c r="D249">
        <f>H248+J248</f>
        <v>12.179999999999998</v>
      </c>
      <c r="E249">
        <f>ROUND(IF(lpg[[#This Row],[zbiornik LPG]]&gt;15,0,(lpg[[#This Row],[km]]/2)*6/100),2)</f>
        <v>4.32</v>
      </c>
      <c r="F249">
        <f>ROUND(IF(lpg[[#This Row],[zbiornik LPG]]&gt;15,lpg[[#This Row],[km]]*9/100,(lpg[[#This Row],[km]]/2)*9/100),2)</f>
        <v>6.48</v>
      </c>
      <c r="G249">
        <f>lpg[[#This Row],[zbiornik PB95]]-lpg[[#This Row],[zuzycie PB95]]</f>
        <v>40.68</v>
      </c>
      <c r="H249">
        <f>lpg[[#This Row],[zbiornik LPG]]-lpg[[#This Row],[zyzucie lpg]]</f>
        <v>5.6999999999999975</v>
      </c>
      <c r="I249">
        <f>IF(lpg[[#This Row],[dzien]]=4,IF(lpg[[#This Row],[pb po trasie]]&lt;40,45-lpg[[#This Row],[pb po trasie]],0),0)</f>
        <v>0</v>
      </c>
      <c r="J249">
        <f>IF(lpg[[#This Row],[lpg po trasie]]&lt;5,30-lpg[[#This Row],[lpg po trasie]],0)</f>
        <v>0</v>
      </c>
      <c r="K249">
        <f>WEEKDAY(lpg[[#This Row],[data]],2)</f>
        <v>5</v>
      </c>
      <c r="O249" s="1">
        <v>41887</v>
      </c>
      <c r="P249">
        <v>144</v>
      </c>
      <c r="Q249">
        <f>U248+W248</f>
        <v>45</v>
      </c>
      <c r="R249">
        <f>V248+X248</f>
        <v>12.179999999999998</v>
      </c>
      <c r="S249">
        <f>ROUND(IF(lpg_3[[#This Row],[zbiornik LPG]]&gt;15,0,(lpg_3[[#This Row],[km]]/2)*6/100),2)</f>
        <v>4.32</v>
      </c>
      <c r="T249">
        <f>ROUND(IF(lpg_3[[#This Row],[zbiornik LPG]]&gt;15,lpg_3[[#This Row],[km]]*9/100,(lpg_3[[#This Row],[km]]/2)*9/100),2)</f>
        <v>6.48</v>
      </c>
      <c r="U249">
        <f>lpg_3[[#This Row],[zbiornik PB95]]-lpg_3[[#This Row],[zuzycie PB95]]</f>
        <v>40.68</v>
      </c>
      <c r="V249">
        <f>lpg_3[[#This Row],[zbiornik LPG]]-lpg_3[[#This Row],[zyzucie lpg]]</f>
        <v>5.6999999999999975</v>
      </c>
      <c r="W249">
        <f>IF(lpg_3[[#This Row],[dzien]]=4,IF(lpg_3[[#This Row],[pb po trasie]]&lt;40,45-lpg_3[[#This Row],[pb po trasie]],0),0)</f>
        <v>0</v>
      </c>
      <c r="X249">
        <f>IF(lpg_3[[#This Row],[lpg po trasie]]&lt;5,30-lpg_3[[#This Row],[lpg po trasie]],0)</f>
        <v>0</v>
      </c>
      <c r="Y249">
        <f>WEEKDAY(lpg_3[[#This Row],[data]],2)</f>
        <v>5</v>
      </c>
    </row>
    <row r="250" spans="1:25" x14ac:dyDescent="0.25">
      <c r="A250" s="1">
        <v>41888</v>
      </c>
      <c r="B250">
        <v>49</v>
      </c>
      <c r="C250">
        <f>G249+I249</f>
        <v>40.68</v>
      </c>
      <c r="D250">
        <f>H249+J249</f>
        <v>5.6999999999999975</v>
      </c>
      <c r="E250">
        <f>ROUND(IF(lpg[[#This Row],[zbiornik LPG]]&gt;15,0,(lpg[[#This Row],[km]]/2)*6/100),2)</f>
        <v>1.47</v>
      </c>
      <c r="F250">
        <f>ROUND(IF(lpg[[#This Row],[zbiornik LPG]]&gt;15,lpg[[#This Row],[km]]*9/100,(lpg[[#This Row],[km]]/2)*9/100),2)</f>
        <v>2.21</v>
      </c>
      <c r="G250">
        <f>lpg[[#This Row],[zbiornik PB95]]-lpg[[#This Row],[zuzycie PB95]]</f>
        <v>39.21</v>
      </c>
      <c r="H250">
        <f>lpg[[#This Row],[zbiornik LPG]]-lpg[[#This Row],[zyzucie lpg]]</f>
        <v>3.4899999999999975</v>
      </c>
      <c r="I250">
        <f>IF(lpg[[#This Row],[dzien]]=4,IF(lpg[[#This Row],[pb po trasie]]&lt;40,45-lpg[[#This Row],[pb po trasie]],0),0)</f>
        <v>0</v>
      </c>
      <c r="J250">
        <f>IF(lpg[[#This Row],[lpg po trasie]]&lt;5,30-lpg[[#This Row],[lpg po trasie]],0)</f>
        <v>26.51</v>
      </c>
      <c r="K250">
        <f>WEEKDAY(lpg[[#This Row],[data]],2)</f>
        <v>6</v>
      </c>
      <c r="O250" s="1">
        <v>41888</v>
      </c>
      <c r="P250">
        <v>49</v>
      </c>
      <c r="Q250">
        <f>U249+W249</f>
        <v>40.68</v>
      </c>
      <c r="R250">
        <f>V249+X249</f>
        <v>5.6999999999999975</v>
      </c>
      <c r="S250">
        <f>ROUND(IF(lpg_3[[#This Row],[zbiornik LPG]]&gt;15,0,(lpg_3[[#This Row],[km]]/2)*6/100),2)</f>
        <v>1.47</v>
      </c>
      <c r="T250">
        <f>ROUND(IF(lpg_3[[#This Row],[zbiornik LPG]]&gt;15,lpg_3[[#This Row],[km]]*9/100,(lpg_3[[#This Row],[km]]/2)*9/100),2)</f>
        <v>2.21</v>
      </c>
      <c r="U250">
        <f>lpg_3[[#This Row],[zbiornik PB95]]-lpg_3[[#This Row],[zuzycie PB95]]</f>
        <v>39.21</v>
      </c>
      <c r="V250">
        <f>lpg_3[[#This Row],[zbiornik LPG]]-lpg_3[[#This Row],[zyzucie lpg]]</f>
        <v>3.4899999999999975</v>
      </c>
      <c r="W250">
        <f>IF(lpg_3[[#This Row],[dzien]]=4,IF(lpg_3[[#This Row],[pb po trasie]]&lt;40,45-lpg_3[[#This Row],[pb po trasie]],0),0)</f>
        <v>0</v>
      </c>
      <c r="X250">
        <f>IF(lpg_3[[#This Row],[lpg po trasie]]&lt;5,30-lpg_3[[#This Row],[lpg po trasie]],0)</f>
        <v>26.51</v>
      </c>
      <c r="Y250">
        <f>WEEKDAY(lpg_3[[#This Row],[data]],2)</f>
        <v>6</v>
      </c>
    </row>
    <row r="251" spans="1:25" x14ac:dyDescent="0.25">
      <c r="A251" s="1">
        <v>41889</v>
      </c>
      <c r="B251">
        <v>125</v>
      </c>
      <c r="C251">
        <f>G250+I250</f>
        <v>39.21</v>
      </c>
      <c r="D251">
        <f>H250+J250</f>
        <v>30</v>
      </c>
      <c r="E251">
        <f>ROUND(IF(lpg[[#This Row],[zbiornik LPG]]&gt;15,0,(lpg[[#This Row],[km]]/2)*6/100),2)</f>
        <v>0</v>
      </c>
      <c r="F251">
        <f>ROUND(IF(lpg[[#This Row],[zbiornik LPG]]&gt;15,lpg[[#This Row],[km]]*9/100,(lpg[[#This Row],[km]]/2)*9/100),2)</f>
        <v>11.25</v>
      </c>
      <c r="G251">
        <f>lpg[[#This Row],[zbiornik PB95]]-lpg[[#This Row],[zuzycie PB95]]</f>
        <v>39.21</v>
      </c>
      <c r="H251">
        <f>lpg[[#This Row],[zbiornik LPG]]-lpg[[#This Row],[zyzucie lpg]]</f>
        <v>18.75</v>
      </c>
      <c r="I251">
        <f>IF(lpg[[#This Row],[dzien]]=4,IF(lpg[[#This Row],[pb po trasie]]&lt;40,45-lpg[[#This Row],[pb po trasie]],0),0)</f>
        <v>0</v>
      </c>
      <c r="J251">
        <f>IF(lpg[[#This Row],[lpg po trasie]]&lt;5,30-lpg[[#This Row],[lpg po trasie]],0)</f>
        <v>0</v>
      </c>
      <c r="K251">
        <f>WEEKDAY(lpg[[#This Row],[data]],2)</f>
        <v>7</v>
      </c>
      <c r="O251" s="1">
        <v>41889</v>
      </c>
      <c r="P251">
        <v>125</v>
      </c>
      <c r="Q251">
        <f>U250+W250</f>
        <v>39.21</v>
      </c>
      <c r="R251">
        <f>V250+X250</f>
        <v>30</v>
      </c>
      <c r="S251">
        <f>ROUND(IF(lpg_3[[#This Row],[zbiornik LPG]]&gt;15,0,(lpg_3[[#This Row],[km]]/2)*6/100),2)</f>
        <v>0</v>
      </c>
      <c r="T251">
        <f>ROUND(IF(lpg_3[[#This Row],[zbiornik LPG]]&gt;15,lpg_3[[#This Row],[km]]*9/100,(lpg_3[[#This Row],[km]]/2)*9/100),2)</f>
        <v>11.25</v>
      </c>
      <c r="U251">
        <f>lpg_3[[#This Row],[zbiornik PB95]]-lpg_3[[#This Row],[zuzycie PB95]]</f>
        <v>39.21</v>
      </c>
      <c r="V251">
        <f>lpg_3[[#This Row],[zbiornik LPG]]-lpg_3[[#This Row],[zyzucie lpg]]</f>
        <v>18.75</v>
      </c>
      <c r="W251">
        <f>IF(lpg_3[[#This Row],[dzien]]=4,IF(lpg_3[[#This Row],[pb po trasie]]&lt;40,45-lpg_3[[#This Row],[pb po trasie]],0),0)</f>
        <v>0</v>
      </c>
      <c r="X251">
        <f>IF(lpg_3[[#This Row],[lpg po trasie]]&lt;5,30-lpg_3[[#This Row],[lpg po trasie]],0)</f>
        <v>0</v>
      </c>
      <c r="Y251">
        <f>WEEKDAY(lpg_3[[#This Row],[data]],2)</f>
        <v>7</v>
      </c>
    </row>
    <row r="252" spans="1:25" x14ac:dyDescent="0.25">
      <c r="A252" s="1">
        <v>41890</v>
      </c>
      <c r="B252">
        <v>40</v>
      </c>
      <c r="C252">
        <f>G251+I251</f>
        <v>39.21</v>
      </c>
      <c r="D252">
        <f>H251+J251</f>
        <v>18.75</v>
      </c>
      <c r="E252">
        <f>ROUND(IF(lpg[[#This Row],[zbiornik LPG]]&gt;15,0,(lpg[[#This Row],[km]]/2)*6/100),2)</f>
        <v>0</v>
      </c>
      <c r="F252">
        <f>ROUND(IF(lpg[[#This Row],[zbiornik LPG]]&gt;15,lpg[[#This Row],[km]]*9/100,(lpg[[#This Row],[km]]/2)*9/100),2)</f>
        <v>3.6</v>
      </c>
      <c r="G252">
        <f>lpg[[#This Row],[zbiornik PB95]]-lpg[[#This Row],[zuzycie PB95]]</f>
        <v>39.21</v>
      </c>
      <c r="H252">
        <f>lpg[[#This Row],[zbiornik LPG]]-lpg[[#This Row],[zyzucie lpg]]</f>
        <v>15.15</v>
      </c>
      <c r="I252">
        <f>IF(lpg[[#This Row],[dzien]]=4,IF(lpg[[#This Row],[pb po trasie]]&lt;40,45-lpg[[#This Row],[pb po trasie]],0),0)</f>
        <v>0</v>
      </c>
      <c r="J252">
        <f>IF(lpg[[#This Row],[lpg po trasie]]&lt;5,30-lpg[[#This Row],[lpg po trasie]],0)</f>
        <v>0</v>
      </c>
      <c r="K252">
        <f>WEEKDAY(lpg[[#This Row],[data]],2)</f>
        <v>1</v>
      </c>
      <c r="O252" s="1">
        <v>41890</v>
      </c>
      <c r="P252">
        <v>40</v>
      </c>
      <c r="Q252">
        <f>U251+W251</f>
        <v>39.21</v>
      </c>
      <c r="R252">
        <f>V251+X251</f>
        <v>18.75</v>
      </c>
      <c r="S252">
        <f>ROUND(IF(lpg_3[[#This Row],[zbiornik LPG]]&gt;15,0,(lpg_3[[#This Row],[km]]/2)*6/100),2)</f>
        <v>0</v>
      </c>
      <c r="T252">
        <f>ROUND(IF(lpg_3[[#This Row],[zbiornik LPG]]&gt;15,lpg_3[[#This Row],[km]]*9/100,(lpg_3[[#This Row],[km]]/2)*9/100),2)</f>
        <v>3.6</v>
      </c>
      <c r="U252">
        <f>lpg_3[[#This Row],[zbiornik PB95]]-lpg_3[[#This Row],[zuzycie PB95]]</f>
        <v>39.21</v>
      </c>
      <c r="V252">
        <f>lpg_3[[#This Row],[zbiornik LPG]]-lpg_3[[#This Row],[zyzucie lpg]]</f>
        <v>15.15</v>
      </c>
      <c r="W252">
        <f>IF(lpg_3[[#This Row],[dzien]]=4,IF(lpg_3[[#This Row],[pb po trasie]]&lt;40,45-lpg_3[[#This Row],[pb po trasie]],0),0)</f>
        <v>0</v>
      </c>
      <c r="X252">
        <f>IF(lpg_3[[#This Row],[lpg po trasie]]&lt;5,30-lpg_3[[#This Row],[lpg po trasie]],0)</f>
        <v>0</v>
      </c>
      <c r="Y252">
        <f>WEEKDAY(lpg_3[[#This Row],[data]],2)</f>
        <v>1</v>
      </c>
    </row>
    <row r="253" spans="1:25" x14ac:dyDescent="0.25">
      <c r="A253" s="1">
        <v>41891</v>
      </c>
      <c r="B253">
        <v>135</v>
      </c>
      <c r="C253">
        <f>G252+I252</f>
        <v>39.21</v>
      </c>
      <c r="D253">
        <f>H252+J252</f>
        <v>15.15</v>
      </c>
      <c r="E253">
        <f>ROUND(IF(lpg[[#This Row],[zbiornik LPG]]&gt;15,0,(lpg[[#This Row],[km]]/2)*6/100),2)</f>
        <v>0</v>
      </c>
      <c r="F253">
        <f>ROUND(IF(lpg[[#This Row],[zbiornik LPG]]&gt;15,lpg[[#This Row],[km]]*9/100,(lpg[[#This Row],[km]]/2)*9/100),2)</f>
        <v>12.15</v>
      </c>
      <c r="G253">
        <f>lpg[[#This Row],[zbiornik PB95]]-lpg[[#This Row],[zuzycie PB95]]</f>
        <v>39.21</v>
      </c>
      <c r="H253">
        <f>lpg[[#This Row],[zbiornik LPG]]-lpg[[#This Row],[zyzucie lpg]]</f>
        <v>3</v>
      </c>
      <c r="I253">
        <f>IF(lpg[[#This Row],[dzien]]=4,IF(lpg[[#This Row],[pb po trasie]]&lt;40,45-lpg[[#This Row],[pb po trasie]],0),0)</f>
        <v>0</v>
      </c>
      <c r="J253">
        <f>IF(lpg[[#This Row],[lpg po trasie]]&lt;5,30-lpg[[#This Row],[lpg po trasie]],0)</f>
        <v>27</v>
      </c>
      <c r="K253">
        <f>WEEKDAY(lpg[[#This Row],[data]],2)</f>
        <v>2</v>
      </c>
      <c r="O253" s="1">
        <v>41891</v>
      </c>
      <c r="P253">
        <v>135</v>
      </c>
      <c r="Q253">
        <f>U252+W252</f>
        <v>39.21</v>
      </c>
      <c r="R253">
        <f>V252+X252</f>
        <v>15.15</v>
      </c>
      <c r="S253">
        <f>ROUND(IF(lpg_3[[#This Row],[zbiornik LPG]]&gt;15,0,(lpg_3[[#This Row],[km]]/2)*6/100),2)</f>
        <v>0</v>
      </c>
      <c r="T253">
        <f>ROUND(IF(lpg_3[[#This Row],[zbiornik LPG]]&gt;15,lpg_3[[#This Row],[km]]*9/100,(lpg_3[[#This Row],[km]]/2)*9/100),2)</f>
        <v>12.15</v>
      </c>
      <c r="U253">
        <f>lpg_3[[#This Row],[zbiornik PB95]]-lpg_3[[#This Row],[zuzycie PB95]]</f>
        <v>39.21</v>
      </c>
      <c r="V253">
        <f>lpg_3[[#This Row],[zbiornik LPG]]-lpg_3[[#This Row],[zyzucie lpg]]</f>
        <v>3</v>
      </c>
      <c r="W253">
        <f>IF(lpg_3[[#This Row],[dzien]]=4,IF(lpg_3[[#This Row],[pb po trasie]]&lt;40,45-lpg_3[[#This Row],[pb po trasie]],0),0)</f>
        <v>0</v>
      </c>
      <c r="X253">
        <f>IF(lpg_3[[#This Row],[lpg po trasie]]&lt;5,30-lpg_3[[#This Row],[lpg po trasie]],0)</f>
        <v>27</v>
      </c>
      <c r="Y253">
        <f>WEEKDAY(lpg_3[[#This Row],[data]],2)</f>
        <v>2</v>
      </c>
    </row>
    <row r="254" spans="1:25" x14ac:dyDescent="0.25">
      <c r="A254" s="1">
        <v>41892</v>
      </c>
      <c r="B254">
        <v>86</v>
      </c>
      <c r="C254">
        <f>G253+I253</f>
        <v>39.21</v>
      </c>
      <c r="D254">
        <f>H253+J253</f>
        <v>30</v>
      </c>
      <c r="E254">
        <f>ROUND(IF(lpg[[#This Row],[zbiornik LPG]]&gt;15,0,(lpg[[#This Row],[km]]/2)*6/100),2)</f>
        <v>0</v>
      </c>
      <c r="F254">
        <f>ROUND(IF(lpg[[#This Row],[zbiornik LPG]]&gt;15,lpg[[#This Row],[km]]*9/100,(lpg[[#This Row],[km]]/2)*9/100),2)</f>
        <v>7.74</v>
      </c>
      <c r="G254">
        <f>lpg[[#This Row],[zbiornik PB95]]-lpg[[#This Row],[zuzycie PB95]]</f>
        <v>39.21</v>
      </c>
      <c r="H254">
        <f>lpg[[#This Row],[zbiornik LPG]]-lpg[[#This Row],[zyzucie lpg]]</f>
        <v>22.259999999999998</v>
      </c>
      <c r="I254">
        <f>IF(lpg[[#This Row],[dzien]]=4,IF(lpg[[#This Row],[pb po trasie]]&lt;40,45-lpg[[#This Row],[pb po trasie]],0),0)</f>
        <v>0</v>
      </c>
      <c r="J254">
        <f>IF(lpg[[#This Row],[lpg po trasie]]&lt;5,30-lpg[[#This Row],[lpg po trasie]],0)</f>
        <v>0</v>
      </c>
      <c r="K254">
        <f>WEEKDAY(lpg[[#This Row],[data]],2)</f>
        <v>3</v>
      </c>
      <c r="O254" s="1">
        <v>41892</v>
      </c>
      <c r="P254">
        <v>86</v>
      </c>
      <c r="Q254">
        <f>U253+W253</f>
        <v>39.21</v>
      </c>
      <c r="R254">
        <f>V253+X253</f>
        <v>30</v>
      </c>
      <c r="S254">
        <f>ROUND(IF(lpg_3[[#This Row],[zbiornik LPG]]&gt;15,0,(lpg_3[[#This Row],[km]]/2)*6/100),2)</f>
        <v>0</v>
      </c>
      <c r="T254">
        <f>ROUND(IF(lpg_3[[#This Row],[zbiornik LPG]]&gt;15,lpg_3[[#This Row],[km]]*9/100,(lpg_3[[#This Row],[km]]/2)*9/100),2)</f>
        <v>7.74</v>
      </c>
      <c r="U254">
        <f>lpg_3[[#This Row],[zbiornik PB95]]-lpg_3[[#This Row],[zuzycie PB95]]</f>
        <v>39.21</v>
      </c>
      <c r="V254">
        <f>lpg_3[[#This Row],[zbiornik LPG]]-lpg_3[[#This Row],[zyzucie lpg]]</f>
        <v>22.259999999999998</v>
      </c>
      <c r="W254">
        <f>IF(lpg_3[[#This Row],[dzien]]=4,IF(lpg_3[[#This Row],[pb po trasie]]&lt;40,45-lpg_3[[#This Row],[pb po trasie]],0),0)</f>
        <v>0</v>
      </c>
      <c r="X254">
        <f>IF(lpg_3[[#This Row],[lpg po trasie]]&lt;5,30-lpg_3[[#This Row],[lpg po trasie]],0)</f>
        <v>0</v>
      </c>
      <c r="Y254">
        <f>WEEKDAY(lpg_3[[#This Row],[data]],2)</f>
        <v>3</v>
      </c>
    </row>
    <row r="255" spans="1:25" x14ac:dyDescent="0.25">
      <c r="A255" s="1">
        <v>41893</v>
      </c>
      <c r="B255">
        <v>95</v>
      </c>
      <c r="C255">
        <f>G254+I254</f>
        <v>39.21</v>
      </c>
      <c r="D255">
        <f>H254+J254</f>
        <v>22.259999999999998</v>
      </c>
      <c r="E255">
        <f>ROUND(IF(lpg[[#This Row],[zbiornik LPG]]&gt;15,0,(lpg[[#This Row],[km]]/2)*6/100),2)</f>
        <v>0</v>
      </c>
      <c r="F255">
        <f>ROUND(IF(lpg[[#This Row],[zbiornik LPG]]&gt;15,lpg[[#This Row],[km]]*9/100,(lpg[[#This Row],[km]]/2)*9/100),2)</f>
        <v>8.5500000000000007</v>
      </c>
      <c r="G255">
        <f>lpg[[#This Row],[zbiornik PB95]]-lpg[[#This Row],[zuzycie PB95]]</f>
        <v>39.21</v>
      </c>
      <c r="H255">
        <f>lpg[[#This Row],[zbiornik LPG]]-lpg[[#This Row],[zyzucie lpg]]</f>
        <v>13.709999999999997</v>
      </c>
      <c r="I255">
        <f>IF(lpg[[#This Row],[dzien]]=4,IF(lpg[[#This Row],[pb po trasie]]&lt;40,45-lpg[[#This Row],[pb po trasie]],0),0)</f>
        <v>5.7899999999999991</v>
      </c>
      <c r="J255">
        <f>IF(lpg[[#This Row],[lpg po trasie]]&lt;5,30-lpg[[#This Row],[lpg po trasie]],0)</f>
        <v>0</v>
      </c>
      <c r="K255">
        <f>WEEKDAY(lpg[[#This Row],[data]],2)</f>
        <v>4</v>
      </c>
      <c r="O255" s="1">
        <v>41893</v>
      </c>
      <c r="P255">
        <v>95</v>
      </c>
      <c r="Q255">
        <f>U254+W254</f>
        <v>39.21</v>
      </c>
      <c r="R255">
        <f>V254+X254</f>
        <v>22.259999999999998</v>
      </c>
      <c r="S255">
        <f>ROUND(IF(lpg_3[[#This Row],[zbiornik LPG]]&gt;15,0,(lpg_3[[#This Row],[km]]/2)*6/100),2)</f>
        <v>0</v>
      </c>
      <c r="T255">
        <f>ROUND(IF(lpg_3[[#This Row],[zbiornik LPG]]&gt;15,lpg_3[[#This Row],[km]]*9/100,(lpg_3[[#This Row],[km]]/2)*9/100),2)</f>
        <v>8.5500000000000007</v>
      </c>
      <c r="U255">
        <f>lpg_3[[#This Row],[zbiornik PB95]]-lpg_3[[#This Row],[zuzycie PB95]]</f>
        <v>39.21</v>
      </c>
      <c r="V255">
        <f>lpg_3[[#This Row],[zbiornik LPG]]-lpg_3[[#This Row],[zyzucie lpg]]</f>
        <v>13.709999999999997</v>
      </c>
      <c r="W255">
        <f>IF(lpg_3[[#This Row],[dzien]]=4,IF(lpg_3[[#This Row],[pb po trasie]]&lt;40,45-lpg_3[[#This Row],[pb po trasie]],0),0)</f>
        <v>5.7899999999999991</v>
      </c>
      <c r="X255">
        <f>IF(lpg_3[[#This Row],[lpg po trasie]]&lt;5,30-lpg_3[[#This Row],[lpg po trasie]],0)</f>
        <v>0</v>
      </c>
      <c r="Y255">
        <f>WEEKDAY(lpg_3[[#This Row],[data]],2)</f>
        <v>4</v>
      </c>
    </row>
    <row r="256" spans="1:25" x14ac:dyDescent="0.25">
      <c r="A256" s="1">
        <v>41894</v>
      </c>
      <c r="B256">
        <v>42</v>
      </c>
      <c r="C256">
        <f>G255+I255</f>
        <v>45</v>
      </c>
      <c r="D256">
        <f>H255+J255</f>
        <v>13.709999999999997</v>
      </c>
      <c r="E256">
        <f>ROUND(IF(lpg[[#This Row],[zbiornik LPG]]&gt;15,0,(lpg[[#This Row],[km]]/2)*6/100),2)</f>
        <v>1.26</v>
      </c>
      <c r="F256">
        <f>ROUND(IF(lpg[[#This Row],[zbiornik LPG]]&gt;15,lpg[[#This Row],[km]]*9/100,(lpg[[#This Row],[km]]/2)*9/100),2)</f>
        <v>1.89</v>
      </c>
      <c r="G256">
        <f>lpg[[#This Row],[zbiornik PB95]]-lpg[[#This Row],[zuzycie PB95]]</f>
        <v>43.74</v>
      </c>
      <c r="H256">
        <f>lpg[[#This Row],[zbiornik LPG]]-lpg[[#This Row],[zyzucie lpg]]</f>
        <v>11.819999999999997</v>
      </c>
      <c r="I256">
        <f>IF(lpg[[#This Row],[dzien]]=4,IF(lpg[[#This Row],[pb po trasie]]&lt;40,45-lpg[[#This Row],[pb po trasie]],0),0)</f>
        <v>0</v>
      </c>
      <c r="J256">
        <f>IF(lpg[[#This Row],[lpg po trasie]]&lt;5,30-lpg[[#This Row],[lpg po trasie]],0)</f>
        <v>0</v>
      </c>
      <c r="K256">
        <f>WEEKDAY(lpg[[#This Row],[data]],2)</f>
        <v>5</v>
      </c>
      <c r="O256" s="1">
        <v>41894</v>
      </c>
      <c r="P256">
        <v>42</v>
      </c>
      <c r="Q256">
        <f>U255+W255</f>
        <v>45</v>
      </c>
      <c r="R256">
        <f>V255+X255</f>
        <v>13.709999999999997</v>
      </c>
      <c r="S256">
        <f>ROUND(IF(lpg_3[[#This Row],[zbiornik LPG]]&gt;15,0,(lpg_3[[#This Row],[km]]/2)*6/100),2)</f>
        <v>1.26</v>
      </c>
      <c r="T256">
        <f>ROUND(IF(lpg_3[[#This Row],[zbiornik LPG]]&gt;15,lpg_3[[#This Row],[km]]*9/100,(lpg_3[[#This Row],[km]]/2)*9/100),2)</f>
        <v>1.89</v>
      </c>
      <c r="U256">
        <f>lpg_3[[#This Row],[zbiornik PB95]]-lpg_3[[#This Row],[zuzycie PB95]]</f>
        <v>43.74</v>
      </c>
      <c r="V256">
        <f>lpg_3[[#This Row],[zbiornik LPG]]-lpg_3[[#This Row],[zyzucie lpg]]</f>
        <v>11.819999999999997</v>
      </c>
      <c r="W256">
        <f>IF(lpg_3[[#This Row],[dzien]]=4,IF(lpg_3[[#This Row],[pb po trasie]]&lt;40,45-lpg_3[[#This Row],[pb po trasie]],0),0)</f>
        <v>0</v>
      </c>
      <c r="X256">
        <f>IF(lpg_3[[#This Row],[lpg po trasie]]&lt;5,30-lpg_3[[#This Row],[lpg po trasie]],0)</f>
        <v>0</v>
      </c>
      <c r="Y256">
        <f>WEEKDAY(lpg_3[[#This Row],[data]],2)</f>
        <v>5</v>
      </c>
    </row>
    <row r="257" spans="1:25" x14ac:dyDescent="0.25">
      <c r="A257" s="1">
        <v>41895</v>
      </c>
      <c r="B257">
        <v>82</v>
      </c>
      <c r="C257">
        <f>G256+I256</f>
        <v>43.74</v>
      </c>
      <c r="D257">
        <f>H256+J256</f>
        <v>11.819999999999997</v>
      </c>
      <c r="E257">
        <f>ROUND(IF(lpg[[#This Row],[zbiornik LPG]]&gt;15,0,(lpg[[#This Row],[km]]/2)*6/100),2)</f>
        <v>2.46</v>
      </c>
      <c r="F257">
        <f>ROUND(IF(lpg[[#This Row],[zbiornik LPG]]&gt;15,lpg[[#This Row],[km]]*9/100,(lpg[[#This Row],[km]]/2)*9/100),2)</f>
        <v>3.69</v>
      </c>
      <c r="G257">
        <f>lpg[[#This Row],[zbiornik PB95]]-lpg[[#This Row],[zuzycie PB95]]</f>
        <v>41.28</v>
      </c>
      <c r="H257">
        <f>lpg[[#This Row],[zbiornik LPG]]-lpg[[#This Row],[zyzucie lpg]]</f>
        <v>8.1299999999999972</v>
      </c>
      <c r="I257">
        <f>IF(lpg[[#This Row],[dzien]]=4,IF(lpg[[#This Row],[pb po trasie]]&lt;40,45-lpg[[#This Row],[pb po trasie]],0),0)</f>
        <v>0</v>
      </c>
      <c r="J257">
        <f>IF(lpg[[#This Row],[lpg po trasie]]&lt;5,30-lpg[[#This Row],[lpg po trasie]],0)</f>
        <v>0</v>
      </c>
      <c r="K257">
        <f>WEEKDAY(lpg[[#This Row],[data]],2)</f>
        <v>6</v>
      </c>
      <c r="O257" s="1">
        <v>41895</v>
      </c>
      <c r="P257">
        <v>82</v>
      </c>
      <c r="Q257">
        <f>U256+W256</f>
        <v>43.74</v>
      </c>
      <c r="R257">
        <f>V256+X256</f>
        <v>11.819999999999997</v>
      </c>
      <c r="S257">
        <f>ROUND(IF(lpg_3[[#This Row],[zbiornik LPG]]&gt;15,0,(lpg_3[[#This Row],[km]]/2)*6/100),2)</f>
        <v>2.46</v>
      </c>
      <c r="T257">
        <f>ROUND(IF(lpg_3[[#This Row],[zbiornik LPG]]&gt;15,lpg_3[[#This Row],[km]]*9/100,(lpg_3[[#This Row],[km]]/2)*9/100),2)</f>
        <v>3.69</v>
      </c>
      <c r="U257">
        <f>lpg_3[[#This Row],[zbiornik PB95]]-lpg_3[[#This Row],[zuzycie PB95]]</f>
        <v>41.28</v>
      </c>
      <c r="V257">
        <f>lpg_3[[#This Row],[zbiornik LPG]]-lpg_3[[#This Row],[zyzucie lpg]]</f>
        <v>8.1299999999999972</v>
      </c>
      <c r="W257">
        <f>IF(lpg_3[[#This Row],[dzien]]=4,IF(lpg_3[[#This Row],[pb po trasie]]&lt;40,45-lpg_3[[#This Row],[pb po trasie]],0),0)</f>
        <v>0</v>
      </c>
      <c r="X257">
        <f>IF(lpg_3[[#This Row],[lpg po trasie]]&lt;5,30-lpg_3[[#This Row],[lpg po trasie]],0)</f>
        <v>0</v>
      </c>
      <c r="Y257">
        <f>WEEKDAY(lpg_3[[#This Row],[data]],2)</f>
        <v>6</v>
      </c>
    </row>
    <row r="258" spans="1:25" x14ac:dyDescent="0.25">
      <c r="A258" s="1">
        <v>41896</v>
      </c>
      <c r="B258">
        <v>26</v>
      </c>
      <c r="C258">
        <f>G257+I257</f>
        <v>41.28</v>
      </c>
      <c r="D258">
        <f>H257+J257</f>
        <v>8.1299999999999972</v>
      </c>
      <c r="E258">
        <f>ROUND(IF(lpg[[#This Row],[zbiornik LPG]]&gt;15,0,(lpg[[#This Row],[km]]/2)*6/100),2)</f>
        <v>0.78</v>
      </c>
      <c r="F258">
        <f>ROUND(IF(lpg[[#This Row],[zbiornik LPG]]&gt;15,lpg[[#This Row],[km]]*9/100,(lpg[[#This Row],[km]]/2)*9/100),2)</f>
        <v>1.17</v>
      </c>
      <c r="G258">
        <f>lpg[[#This Row],[zbiornik PB95]]-lpg[[#This Row],[zuzycie PB95]]</f>
        <v>40.5</v>
      </c>
      <c r="H258">
        <f>lpg[[#This Row],[zbiornik LPG]]-lpg[[#This Row],[zyzucie lpg]]</f>
        <v>6.9599999999999973</v>
      </c>
      <c r="I258">
        <f>IF(lpg[[#This Row],[dzien]]=4,IF(lpg[[#This Row],[pb po trasie]]&lt;40,45-lpg[[#This Row],[pb po trasie]],0),0)</f>
        <v>0</v>
      </c>
      <c r="J258">
        <f>IF(lpg[[#This Row],[lpg po trasie]]&lt;5,30-lpg[[#This Row],[lpg po trasie]],0)</f>
        <v>0</v>
      </c>
      <c r="K258">
        <f>WEEKDAY(lpg[[#This Row],[data]],2)</f>
        <v>7</v>
      </c>
      <c r="O258" s="1">
        <v>41896</v>
      </c>
      <c r="P258">
        <v>26</v>
      </c>
      <c r="Q258">
        <f>U257+W257</f>
        <v>41.28</v>
      </c>
      <c r="R258">
        <f>V257+X257</f>
        <v>8.1299999999999972</v>
      </c>
      <c r="S258">
        <f>ROUND(IF(lpg_3[[#This Row],[zbiornik LPG]]&gt;15,0,(lpg_3[[#This Row],[km]]/2)*6/100),2)</f>
        <v>0.78</v>
      </c>
      <c r="T258">
        <f>ROUND(IF(lpg_3[[#This Row],[zbiornik LPG]]&gt;15,lpg_3[[#This Row],[km]]*9/100,(lpg_3[[#This Row],[km]]/2)*9/100),2)</f>
        <v>1.17</v>
      </c>
      <c r="U258">
        <f>lpg_3[[#This Row],[zbiornik PB95]]-lpg_3[[#This Row],[zuzycie PB95]]</f>
        <v>40.5</v>
      </c>
      <c r="V258">
        <f>lpg_3[[#This Row],[zbiornik LPG]]-lpg_3[[#This Row],[zyzucie lpg]]</f>
        <v>6.9599999999999973</v>
      </c>
      <c r="W258">
        <f>IF(lpg_3[[#This Row],[dzien]]=4,IF(lpg_3[[#This Row],[pb po trasie]]&lt;40,45-lpg_3[[#This Row],[pb po trasie]],0),0)</f>
        <v>0</v>
      </c>
      <c r="X258">
        <f>IF(lpg_3[[#This Row],[lpg po trasie]]&lt;5,30-lpg_3[[#This Row],[lpg po trasie]],0)</f>
        <v>0</v>
      </c>
      <c r="Y258">
        <f>WEEKDAY(lpg_3[[#This Row],[data]],2)</f>
        <v>7</v>
      </c>
    </row>
    <row r="259" spans="1:25" x14ac:dyDescent="0.25">
      <c r="A259" s="1">
        <v>41897</v>
      </c>
      <c r="B259">
        <v>114</v>
      </c>
      <c r="C259">
        <f>G258+I258</f>
        <v>40.5</v>
      </c>
      <c r="D259">
        <f>H258+J258</f>
        <v>6.9599999999999973</v>
      </c>
      <c r="E259">
        <f>ROUND(IF(lpg[[#This Row],[zbiornik LPG]]&gt;15,0,(lpg[[#This Row],[km]]/2)*6/100),2)</f>
        <v>3.42</v>
      </c>
      <c r="F259">
        <f>ROUND(IF(lpg[[#This Row],[zbiornik LPG]]&gt;15,lpg[[#This Row],[km]]*9/100,(lpg[[#This Row],[km]]/2)*9/100),2)</f>
        <v>5.13</v>
      </c>
      <c r="G259">
        <f>lpg[[#This Row],[zbiornik PB95]]-lpg[[#This Row],[zuzycie PB95]]</f>
        <v>37.08</v>
      </c>
      <c r="H259">
        <f>lpg[[#This Row],[zbiornik LPG]]-lpg[[#This Row],[zyzucie lpg]]</f>
        <v>1.8299999999999974</v>
      </c>
      <c r="I259">
        <f>IF(lpg[[#This Row],[dzien]]=4,IF(lpg[[#This Row],[pb po trasie]]&lt;40,45-lpg[[#This Row],[pb po trasie]],0),0)</f>
        <v>0</v>
      </c>
      <c r="J259">
        <f>IF(lpg[[#This Row],[lpg po trasie]]&lt;5,30-lpg[[#This Row],[lpg po trasie]],0)</f>
        <v>28.17</v>
      </c>
      <c r="K259">
        <f>WEEKDAY(lpg[[#This Row],[data]],2)</f>
        <v>1</v>
      </c>
      <c r="O259" s="1">
        <v>41897</v>
      </c>
      <c r="P259">
        <v>114</v>
      </c>
      <c r="Q259">
        <f>U258+W258</f>
        <v>40.5</v>
      </c>
      <c r="R259">
        <f>V258+X258</f>
        <v>6.9599999999999973</v>
      </c>
      <c r="S259">
        <f>ROUND(IF(lpg_3[[#This Row],[zbiornik LPG]]&gt;15,0,(lpg_3[[#This Row],[km]]/2)*6/100),2)</f>
        <v>3.42</v>
      </c>
      <c r="T259">
        <f>ROUND(IF(lpg_3[[#This Row],[zbiornik LPG]]&gt;15,lpg_3[[#This Row],[km]]*9/100,(lpg_3[[#This Row],[km]]/2)*9/100),2)</f>
        <v>5.13</v>
      </c>
      <c r="U259">
        <f>lpg_3[[#This Row],[zbiornik PB95]]-lpg_3[[#This Row],[zuzycie PB95]]</f>
        <v>37.08</v>
      </c>
      <c r="V259">
        <f>lpg_3[[#This Row],[zbiornik LPG]]-lpg_3[[#This Row],[zyzucie lpg]]</f>
        <v>1.8299999999999974</v>
      </c>
      <c r="W259">
        <f>IF(lpg_3[[#This Row],[dzien]]=4,IF(lpg_3[[#This Row],[pb po trasie]]&lt;40,45-lpg_3[[#This Row],[pb po trasie]],0),0)</f>
        <v>0</v>
      </c>
      <c r="X259">
        <f>IF(lpg_3[[#This Row],[lpg po trasie]]&lt;5,30-lpg_3[[#This Row],[lpg po trasie]],0)</f>
        <v>28.17</v>
      </c>
      <c r="Y259">
        <f>WEEKDAY(lpg_3[[#This Row],[data]],2)</f>
        <v>1</v>
      </c>
    </row>
    <row r="260" spans="1:25" x14ac:dyDescent="0.25">
      <c r="A260" s="1">
        <v>41898</v>
      </c>
      <c r="B260">
        <v>49</v>
      </c>
      <c r="C260">
        <f>G259+I259</f>
        <v>37.08</v>
      </c>
      <c r="D260">
        <f>H259+J259</f>
        <v>30</v>
      </c>
      <c r="E260">
        <f>ROUND(IF(lpg[[#This Row],[zbiornik LPG]]&gt;15,0,(lpg[[#This Row],[km]]/2)*6/100),2)</f>
        <v>0</v>
      </c>
      <c r="F260">
        <f>ROUND(IF(lpg[[#This Row],[zbiornik LPG]]&gt;15,lpg[[#This Row],[km]]*9/100,(lpg[[#This Row],[km]]/2)*9/100),2)</f>
        <v>4.41</v>
      </c>
      <c r="G260">
        <f>lpg[[#This Row],[zbiornik PB95]]-lpg[[#This Row],[zuzycie PB95]]</f>
        <v>37.08</v>
      </c>
      <c r="H260">
        <f>lpg[[#This Row],[zbiornik LPG]]-lpg[[#This Row],[zyzucie lpg]]</f>
        <v>25.59</v>
      </c>
      <c r="I260">
        <f>IF(lpg[[#This Row],[dzien]]=4,IF(lpg[[#This Row],[pb po trasie]]&lt;40,45-lpg[[#This Row],[pb po trasie]],0),0)</f>
        <v>0</v>
      </c>
      <c r="J260">
        <f>IF(lpg[[#This Row],[lpg po trasie]]&lt;5,30-lpg[[#This Row],[lpg po trasie]],0)</f>
        <v>0</v>
      </c>
      <c r="K260">
        <f>WEEKDAY(lpg[[#This Row],[data]],2)</f>
        <v>2</v>
      </c>
      <c r="O260" s="1">
        <v>41898</v>
      </c>
      <c r="P260">
        <v>49</v>
      </c>
      <c r="Q260">
        <f>U259+W259</f>
        <v>37.08</v>
      </c>
      <c r="R260">
        <f>V259+X259</f>
        <v>30</v>
      </c>
      <c r="S260">
        <f>ROUND(IF(lpg_3[[#This Row],[zbiornik LPG]]&gt;15,0,(lpg_3[[#This Row],[km]]/2)*6/100),2)</f>
        <v>0</v>
      </c>
      <c r="T260">
        <f>ROUND(IF(lpg_3[[#This Row],[zbiornik LPG]]&gt;15,lpg_3[[#This Row],[km]]*9/100,(lpg_3[[#This Row],[km]]/2)*9/100),2)</f>
        <v>4.41</v>
      </c>
      <c r="U260">
        <f>lpg_3[[#This Row],[zbiornik PB95]]-lpg_3[[#This Row],[zuzycie PB95]]</f>
        <v>37.08</v>
      </c>
      <c r="V260">
        <f>lpg_3[[#This Row],[zbiornik LPG]]-lpg_3[[#This Row],[zyzucie lpg]]</f>
        <v>25.59</v>
      </c>
      <c r="W260">
        <f>IF(lpg_3[[#This Row],[dzien]]=4,IF(lpg_3[[#This Row],[pb po trasie]]&lt;40,45-lpg_3[[#This Row],[pb po trasie]],0),0)</f>
        <v>0</v>
      </c>
      <c r="X260">
        <f>IF(lpg_3[[#This Row],[lpg po trasie]]&lt;5,30-lpg_3[[#This Row],[lpg po trasie]],0)</f>
        <v>0</v>
      </c>
      <c r="Y260">
        <f>WEEKDAY(lpg_3[[#This Row],[data]],2)</f>
        <v>2</v>
      </c>
    </row>
    <row r="261" spans="1:25" x14ac:dyDescent="0.25">
      <c r="A261" s="1">
        <v>41899</v>
      </c>
      <c r="B261">
        <v>138</v>
      </c>
      <c r="C261">
        <f>G260+I260</f>
        <v>37.08</v>
      </c>
      <c r="D261">
        <f>H260+J260</f>
        <v>25.59</v>
      </c>
      <c r="E261">
        <f>ROUND(IF(lpg[[#This Row],[zbiornik LPG]]&gt;15,0,(lpg[[#This Row],[km]]/2)*6/100),2)</f>
        <v>0</v>
      </c>
      <c r="F261">
        <f>ROUND(IF(lpg[[#This Row],[zbiornik LPG]]&gt;15,lpg[[#This Row],[km]]*9/100,(lpg[[#This Row],[km]]/2)*9/100),2)</f>
        <v>12.42</v>
      </c>
      <c r="G261">
        <f>lpg[[#This Row],[zbiornik PB95]]-lpg[[#This Row],[zuzycie PB95]]</f>
        <v>37.08</v>
      </c>
      <c r="H261">
        <f>lpg[[#This Row],[zbiornik LPG]]-lpg[[#This Row],[zyzucie lpg]]</f>
        <v>13.17</v>
      </c>
      <c r="I261">
        <f>IF(lpg[[#This Row],[dzien]]=4,IF(lpg[[#This Row],[pb po trasie]]&lt;40,45-lpg[[#This Row],[pb po trasie]],0),0)</f>
        <v>0</v>
      </c>
      <c r="J261">
        <f>IF(lpg[[#This Row],[lpg po trasie]]&lt;5,30-lpg[[#This Row],[lpg po trasie]],0)</f>
        <v>0</v>
      </c>
      <c r="K261">
        <f>WEEKDAY(lpg[[#This Row],[data]],2)</f>
        <v>3</v>
      </c>
      <c r="O261" s="1">
        <v>41899</v>
      </c>
      <c r="P261">
        <v>138</v>
      </c>
      <c r="Q261">
        <f>U260+W260</f>
        <v>37.08</v>
      </c>
      <c r="R261">
        <f>V260+X260</f>
        <v>25.59</v>
      </c>
      <c r="S261">
        <f>ROUND(IF(lpg_3[[#This Row],[zbiornik LPG]]&gt;15,0,(lpg_3[[#This Row],[km]]/2)*6/100),2)</f>
        <v>0</v>
      </c>
      <c r="T261">
        <f>ROUND(IF(lpg_3[[#This Row],[zbiornik LPG]]&gt;15,lpg_3[[#This Row],[km]]*9/100,(lpg_3[[#This Row],[km]]/2)*9/100),2)</f>
        <v>12.42</v>
      </c>
      <c r="U261">
        <f>lpg_3[[#This Row],[zbiornik PB95]]-lpg_3[[#This Row],[zuzycie PB95]]</f>
        <v>37.08</v>
      </c>
      <c r="V261">
        <f>lpg_3[[#This Row],[zbiornik LPG]]-lpg_3[[#This Row],[zyzucie lpg]]</f>
        <v>13.17</v>
      </c>
      <c r="W261">
        <f>IF(lpg_3[[#This Row],[dzien]]=4,IF(lpg_3[[#This Row],[pb po trasie]]&lt;40,45-lpg_3[[#This Row],[pb po trasie]],0),0)</f>
        <v>0</v>
      </c>
      <c r="X261">
        <f>IF(lpg_3[[#This Row],[lpg po trasie]]&lt;5,30-lpg_3[[#This Row],[lpg po trasie]],0)</f>
        <v>0</v>
      </c>
      <c r="Y261">
        <f>WEEKDAY(lpg_3[[#This Row],[data]],2)</f>
        <v>3</v>
      </c>
    </row>
    <row r="262" spans="1:25" x14ac:dyDescent="0.25">
      <c r="A262" s="1">
        <v>41900</v>
      </c>
      <c r="B262">
        <v>47</v>
      </c>
      <c r="C262">
        <f>G261+I261</f>
        <v>37.08</v>
      </c>
      <c r="D262">
        <f>H261+J261</f>
        <v>13.17</v>
      </c>
      <c r="E262">
        <f>ROUND(IF(lpg[[#This Row],[zbiornik LPG]]&gt;15,0,(lpg[[#This Row],[km]]/2)*6/100),2)</f>
        <v>1.41</v>
      </c>
      <c r="F262">
        <f>ROUND(IF(lpg[[#This Row],[zbiornik LPG]]&gt;15,lpg[[#This Row],[km]]*9/100,(lpg[[#This Row],[km]]/2)*9/100),2)</f>
        <v>2.12</v>
      </c>
      <c r="G262">
        <f>lpg[[#This Row],[zbiornik PB95]]-lpg[[#This Row],[zuzycie PB95]]</f>
        <v>35.67</v>
      </c>
      <c r="H262">
        <f>lpg[[#This Row],[zbiornik LPG]]-lpg[[#This Row],[zyzucie lpg]]</f>
        <v>11.05</v>
      </c>
      <c r="I262">
        <f>IF(lpg[[#This Row],[dzien]]=4,IF(lpg[[#This Row],[pb po trasie]]&lt;40,45-lpg[[#This Row],[pb po trasie]],0),0)</f>
        <v>9.3299999999999983</v>
      </c>
      <c r="J262">
        <f>IF(lpg[[#This Row],[lpg po trasie]]&lt;5,30-lpg[[#This Row],[lpg po trasie]],0)</f>
        <v>0</v>
      </c>
      <c r="K262">
        <f>WEEKDAY(lpg[[#This Row],[data]],2)</f>
        <v>4</v>
      </c>
      <c r="O262" s="1">
        <v>41900</v>
      </c>
      <c r="P262">
        <v>47</v>
      </c>
      <c r="Q262">
        <f>U261+W261</f>
        <v>37.08</v>
      </c>
      <c r="R262">
        <f>V261+X261</f>
        <v>13.17</v>
      </c>
      <c r="S262">
        <f>ROUND(IF(lpg_3[[#This Row],[zbiornik LPG]]&gt;15,0,(lpg_3[[#This Row],[km]]/2)*6/100),2)</f>
        <v>1.41</v>
      </c>
      <c r="T262">
        <f>ROUND(IF(lpg_3[[#This Row],[zbiornik LPG]]&gt;15,lpg_3[[#This Row],[km]]*9/100,(lpg_3[[#This Row],[km]]/2)*9/100),2)</f>
        <v>2.12</v>
      </c>
      <c r="U262">
        <f>lpg_3[[#This Row],[zbiornik PB95]]-lpg_3[[#This Row],[zuzycie PB95]]</f>
        <v>35.67</v>
      </c>
      <c r="V262">
        <f>lpg_3[[#This Row],[zbiornik LPG]]-lpg_3[[#This Row],[zyzucie lpg]]</f>
        <v>11.05</v>
      </c>
      <c r="W262">
        <f>IF(lpg_3[[#This Row],[dzien]]=4,IF(lpg_3[[#This Row],[pb po trasie]]&lt;40,45-lpg_3[[#This Row],[pb po trasie]],0),0)</f>
        <v>9.3299999999999983</v>
      </c>
      <c r="X262">
        <f>IF(lpg_3[[#This Row],[lpg po trasie]]&lt;5,30-lpg_3[[#This Row],[lpg po trasie]],0)</f>
        <v>0</v>
      </c>
      <c r="Y262">
        <f>WEEKDAY(lpg_3[[#This Row],[data]],2)</f>
        <v>4</v>
      </c>
    </row>
    <row r="263" spans="1:25" x14ac:dyDescent="0.25">
      <c r="A263" s="1">
        <v>41901</v>
      </c>
      <c r="B263">
        <v>85</v>
      </c>
      <c r="C263">
        <f>G262+I262</f>
        <v>45</v>
      </c>
      <c r="D263">
        <f>H262+J262</f>
        <v>11.05</v>
      </c>
      <c r="E263">
        <f>ROUND(IF(lpg[[#This Row],[zbiornik LPG]]&gt;15,0,(lpg[[#This Row],[km]]/2)*6/100),2)</f>
        <v>2.5499999999999998</v>
      </c>
      <c r="F263">
        <f>ROUND(IF(lpg[[#This Row],[zbiornik LPG]]&gt;15,lpg[[#This Row],[km]]*9/100,(lpg[[#This Row],[km]]/2)*9/100),2)</f>
        <v>3.83</v>
      </c>
      <c r="G263">
        <f>lpg[[#This Row],[zbiornik PB95]]-lpg[[#This Row],[zuzycie PB95]]</f>
        <v>42.45</v>
      </c>
      <c r="H263">
        <f>lpg[[#This Row],[zbiornik LPG]]-lpg[[#This Row],[zyzucie lpg]]</f>
        <v>7.2200000000000006</v>
      </c>
      <c r="I263">
        <f>IF(lpg[[#This Row],[dzien]]=4,IF(lpg[[#This Row],[pb po trasie]]&lt;40,45-lpg[[#This Row],[pb po trasie]],0),0)</f>
        <v>0</v>
      </c>
      <c r="J263">
        <f>IF(lpg[[#This Row],[lpg po trasie]]&lt;5,30-lpg[[#This Row],[lpg po trasie]],0)</f>
        <v>0</v>
      </c>
      <c r="K263">
        <f>WEEKDAY(lpg[[#This Row],[data]],2)</f>
        <v>5</v>
      </c>
      <c r="O263" s="1">
        <v>41901</v>
      </c>
      <c r="P263">
        <v>85</v>
      </c>
      <c r="Q263">
        <f>U262+W262</f>
        <v>45</v>
      </c>
      <c r="R263">
        <f>V262+X262</f>
        <v>11.05</v>
      </c>
      <c r="S263">
        <f>ROUND(IF(lpg_3[[#This Row],[zbiornik LPG]]&gt;15,0,(lpg_3[[#This Row],[km]]/2)*6/100),2)</f>
        <v>2.5499999999999998</v>
      </c>
      <c r="T263">
        <f>ROUND(IF(lpg_3[[#This Row],[zbiornik LPG]]&gt;15,lpg_3[[#This Row],[km]]*9/100,(lpg_3[[#This Row],[km]]/2)*9/100),2)</f>
        <v>3.83</v>
      </c>
      <c r="U263">
        <f>lpg_3[[#This Row],[zbiornik PB95]]-lpg_3[[#This Row],[zuzycie PB95]]</f>
        <v>42.45</v>
      </c>
      <c r="V263">
        <f>lpg_3[[#This Row],[zbiornik LPG]]-lpg_3[[#This Row],[zyzucie lpg]]</f>
        <v>7.2200000000000006</v>
      </c>
      <c r="W263">
        <f>IF(lpg_3[[#This Row],[dzien]]=4,IF(lpg_3[[#This Row],[pb po trasie]]&lt;40,45-lpg_3[[#This Row],[pb po trasie]],0),0)</f>
        <v>0</v>
      </c>
      <c r="X263">
        <f>IF(lpg_3[[#This Row],[lpg po trasie]]&lt;5,30-lpg_3[[#This Row],[lpg po trasie]],0)</f>
        <v>0</v>
      </c>
      <c r="Y263">
        <f>WEEKDAY(lpg_3[[#This Row],[data]],2)</f>
        <v>5</v>
      </c>
    </row>
    <row r="264" spans="1:25" x14ac:dyDescent="0.25">
      <c r="A264" s="1">
        <v>41902</v>
      </c>
      <c r="B264">
        <v>50</v>
      </c>
      <c r="C264">
        <f>G263+I263</f>
        <v>42.45</v>
      </c>
      <c r="D264">
        <f>H263+J263</f>
        <v>7.2200000000000006</v>
      </c>
      <c r="E264">
        <f>ROUND(IF(lpg[[#This Row],[zbiornik LPG]]&gt;15,0,(lpg[[#This Row],[km]]/2)*6/100),2)</f>
        <v>1.5</v>
      </c>
      <c r="F264">
        <f>ROUND(IF(lpg[[#This Row],[zbiornik LPG]]&gt;15,lpg[[#This Row],[km]]*9/100,(lpg[[#This Row],[km]]/2)*9/100),2)</f>
        <v>2.25</v>
      </c>
      <c r="G264">
        <f>lpg[[#This Row],[zbiornik PB95]]-lpg[[#This Row],[zuzycie PB95]]</f>
        <v>40.950000000000003</v>
      </c>
      <c r="H264">
        <f>lpg[[#This Row],[zbiornik LPG]]-lpg[[#This Row],[zyzucie lpg]]</f>
        <v>4.9700000000000006</v>
      </c>
      <c r="I264">
        <f>IF(lpg[[#This Row],[dzien]]=4,IF(lpg[[#This Row],[pb po trasie]]&lt;40,45-lpg[[#This Row],[pb po trasie]],0),0)</f>
        <v>0</v>
      </c>
      <c r="J264">
        <f>IF(lpg[[#This Row],[lpg po trasie]]&lt;5,30-lpg[[#This Row],[lpg po trasie]],0)</f>
        <v>25.03</v>
      </c>
      <c r="K264">
        <f>WEEKDAY(lpg[[#This Row],[data]],2)</f>
        <v>6</v>
      </c>
      <c r="O264" s="1">
        <v>41902</v>
      </c>
      <c r="P264">
        <v>50</v>
      </c>
      <c r="Q264">
        <f>U263+W263</f>
        <v>42.45</v>
      </c>
      <c r="R264">
        <f>V263+X263</f>
        <v>7.2200000000000006</v>
      </c>
      <c r="S264">
        <f>ROUND(IF(lpg_3[[#This Row],[zbiornik LPG]]&gt;15,0,(lpg_3[[#This Row],[km]]/2)*6/100),2)</f>
        <v>1.5</v>
      </c>
      <c r="T264">
        <f>ROUND(IF(lpg_3[[#This Row],[zbiornik LPG]]&gt;15,lpg_3[[#This Row],[km]]*9/100,(lpg_3[[#This Row],[km]]/2)*9/100),2)</f>
        <v>2.25</v>
      </c>
      <c r="U264">
        <f>lpg_3[[#This Row],[zbiornik PB95]]-lpg_3[[#This Row],[zuzycie PB95]]</f>
        <v>40.950000000000003</v>
      </c>
      <c r="V264">
        <f>lpg_3[[#This Row],[zbiornik LPG]]-lpg_3[[#This Row],[zyzucie lpg]]</f>
        <v>4.9700000000000006</v>
      </c>
      <c r="W264">
        <f>IF(lpg_3[[#This Row],[dzien]]=4,IF(lpg_3[[#This Row],[pb po trasie]]&lt;40,45-lpg_3[[#This Row],[pb po trasie]],0),0)</f>
        <v>0</v>
      </c>
      <c r="X264">
        <f>IF(lpg_3[[#This Row],[lpg po trasie]]&lt;5,30-lpg_3[[#This Row],[lpg po trasie]],0)</f>
        <v>25.03</v>
      </c>
      <c r="Y264">
        <f>WEEKDAY(lpg_3[[#This Row],[data]],2)</f>
        <v>6</v>
      </c>
    </row>
    <row r="265" spans="1:25" x14ac:dyDescent="0.25">
      <c r="A265" s="1">
        <v>41903</v>
      </c>
      <c r="B265">
        <v>133</v>
      </c>
      <c r="C265">
        <f>G264+I264</f>
        <v>40.950000000000003</v>
      </c>
      <c r="D265">
        <f>H264+J264</f>
        <v>30</v>
      </c>
      <c r="E265">
        <f>ROUND(IF(lpg[[#This Row],[zbiornik LPG]]&gt;15,0,(lpg[[#This Row],[km]]/2)*6/100),2)</f>
        <v>0</v>
      </c>
      <c r="F265">
        <f>ROUND(IF(lpg[[#This Row],[zbiornik LPG]]&gt;15,lpg[[#This Row],[km]]*9/100,(lpg[[#This Row],[km]]/2)*9/100),2)</f>
        <v>11.97</v>
      </c>
      <c r="G265">
        <f>lpg[[#This Row],[zbiornik PB95]]-lpg[[#This Row],[zuzycie PB95]]</f>
        <v>40.950000000000003</v>
      </c>
      <c r="H265">
        <f>lpg[[#This Row],[zbiornik LPG]]-lpg[[#This Row],[zyzucie lpg]]</f>
        <v>18.03</v>
      </c>
      <c r="I265">
        <f>IF(lpg[[#This Row],[dzien]]=4,IF(lpg[[#This Row],[pb po trasie]]&lt;40,45-lpg[[#This Row],[pb po trasie]],0),0)</f>
        <v>0</v>
      </c>
      <c r="J265">
        <f>IF(lpg[[#This Row],[lpg po trasie]]&lt;5,30-lpg[[#This Row],[lpg po trasie]],0)</f>
        <v>0</v>
      </c>
      <c r="K265">
        <f>WEEKDAY(lpg[[#This Row],[data]],2)</f>
        <v>7</v>
      </c>
      <c r="O265" s="1">
        <v>41903</v>
      </c>
      <c r="P265">
        <v>133</v>
      </c>
      <c r="Q265">
        <f>U264+W264</f>
        <v>40.950000000000003</v>
      </c>
      <c r="R265">
        <f>V264+X264</f>
        <v>30</v>
      </c>
      <c r="S265">
        <f>ROUND(IF(lpg_3[[#This Row],[zbiornik LPG]]&gt;15,0,(lpg_3[[#This Row],[km]]/2)*6/100),2)</f>
        <v>0</v>
      </c>
      <c r="T265">
        <f>ROUND(IF(lpg_3[[#This Row],[zbiornik LPG]]&gt;15,lpg_3[[#This Row],[km]]*9/100,(lpg_3[[#This Row],[km]]/2)*9/100),2)</f>
        <v>11.97</v>
      </c>
      <c r="U265">
        <f>lpg_3[[#This Row],[zbiornik PB95]]-lpg_3[[#This Row],[zuzycie PB95]]</f>
        <v>40.950000000000003</v>
      </c>
      <c r="V265">
        <f>lpg_3[[#This Row],[zbiornik LPG]]-lpg_3[[#This Row],[zyzucie lpg]]</f>
        <v>18.03</v>
      </c>
      <c r="W265">
        <f>IF(lpg_3[[#This Row],[dzien]]=4,IF(lpg_3[[#This Row],[pb po trasie]]&lt;40,45-lpg_3[[#This Row],[pb po trasie]],0),0)</f>
        <v>0</v>
      </c>
      <c r="X265">
        <f>IF(lpg_3[[#This Row],[lpg po trasie]]&lt;5,30-lpg_3[[#This Row],[lpg po trasie]],0)</f>
        <v>0</v>
      </c>
      <c r="Y265">
        <f>WEEKDAY(lpg_3[[#This Row],[data]],2)</f>
        <v>7</v>
      </c>
    </row>
    <row r="266" spans="1:25" x14ac:dyDescent="0.25">
      <c r="A266" s="1">
        <v>41904</v>
      </c>
      <c r="B266">
        <v>128</v>
      </c>
      <c r="C266">
        <f>G265+I265</f>
        <v>40.950000000000003</v>
      </c>
      <c r="D266">
        <f>H265+J265</f>
        <v>18.03</v>
      </c>
      <c r="E266">
        <f>ROUND(IF(lpg[[#This Row],[zbiornik LPG]]&gt;15,0,(lpg[[#This Row],[km]]/2)*6/100),2)</f>
        <v>0</v>
      </c>
      <c r="F266">
        <f>ROUND(IF(lpg[[#This Row],[zbiornik LPG]]&gt;15,lpg[[#This Row],[km]]*9/100,(lpg[[#This Row],[km]]/2)*9/100),2)</f>
        <v>11.52</v>
      </c>
      <c r="G266">
        <f>lpg[[#This Row],[zbiornik PB95]]-lpg[[#This Row],[zuzycie PB95]]</f>
        <v>40.950000000000003</v>
      </c>
      <c r="H266">
        <f>lpg[[#This Row],[zbiornik LPG]]-lpg[[#This Row],[zyzucie lpg]]</f>
        <v>6.5100000000000016</v>
      </c>
      <c r="I266">
        <f>IF(lpg[[#This Row],[dzien]]=4,IF(lpg[[#This Row],[pb po trasie]]&lt;40,45-lpg[[#This Row],[pb po trasie]],0),0)</f>
        <v>0</v>
      </c>
      <c r="J266">
        <f>IF(lpg[[#This Row],[lpg po trasie]]&lt;5,30-lpg[[#This Row],[lpg po trasie]],0)</f>
        <v>0</v>
      </c>
      <c r="K266">
        <f>WEEKDAY(lpg[[#This Row],[data]],2)</f>
        <v>1</v>
      </c>
      <c r="O266" s="1">
        <v>41904</v>
      </c>
      <c r="P266">
        <v>128</v>
      </c>
      <c r="Q266">
        <f>U265+W265</f>
        <v>40.950000000000003</v>
      </c>
      <c r="R266">
        <f>V265+X265</f>
        <v>18.03</v>
      </c>
      <c r="S266">
        <f>ROUND(IF(lpg_3[[#This Row],[zbiornik LPG]]&gt;15,0,(lpg_3[[#This Row],[km]]/2)*6/100),2)</f>
        <v>0</v>
      </c>
      <c r="T266">
        <f>ROUND(IF(lpg_3[[#This Row],[zbiornik LPG]]&gt;15,lpg_3[[#This Row],[km]]*9/100,(lpg_3[[#This Row],[km]]/2)*9/100),2)</f>
        <v>11.52</v>
      </c>
      <c r="U266">
        <f>lpg_3[[#This Row],[zbiornik PB95]]-lpg_3[[#This Row],[zuzycie PB95]]</f>
        <v>40.950000000000003</v>
      </c>
      <c r="V266">
        <f>lpg_3[[#This Row],[zbiornik LPG]]-lpg_3[[#This Row],[zyzucie lpg]]</f>
        <v>6.5100000000000016</v>
      </c>
      <c r="W266">
        <f>IF(lpg_3[[#This Row],[dzien]]=4,IF(lpg_3[[#This Row],[pb po trasie]]&lt;40,45-lpg_3[[#This Row],[pb po trasie]],0),0)</f>
        <v>0</v>
      </c>
      <c r="X266">
        <f>IF(lpg_3[[#This Row],[lpg po trasie]]&lt;5,30-lpg_3[[#This Row],[lpg po trasie]],0)</f>
        <v>0</v>
      </c>
      <c r="Y266">
        <f>WEEKDAY(lpg_3[[#This Row],[data]],2)</f>
        <v>1</v>
      </c>
    </row>
    <row r="267" spans="1:25" x14ac:dyDescent="0.25">
      <c r="A267" s="1">
        <v>41905</v>
      </c>
      <c r="B267">
        <v>138</v>
      </c>
      <c r="C267">
        <f>G266+I266</f>
        <v>40.950000000000003</v>
      </c>
      <c r="D267">
        <f>H266+J266</f>
        <v>6.5100000000000016</v>
      </c>
      <c r="E267">
        <f>ROUND(IF(lpg[[#This Row],[zbiornik LPG]]&gt;15,0,(lpg[[#This Row],[km]]/2)*6/100),2)</f>
        <v>4.1399999999999997</v>
      </c>
      <c r="F267">
        <f>ROUND(IF(lpg[[#This Row],[zbiornik LPG]]&gt;15,lpg[[#This Row],[km]]*9/100,(lpg[[#This Row],[km]]/2)*9/100),2)</f>
        <v>6.21</v>
      </c>
      <c r="G267">
        <f>lpg[[#This Row],[zbiornik PB95]]-lpg[[#This Row],[zuzycie PB95]]</f>
        <v>36.81</v>
      </c>
      <c r="H267">
        <f>lpg[[#This Row],[zbiornik LPG]]-lpg[[#This Row],[zyzucie lpg]]</f>
        <v>0.3000000000000016</v>
      </c>
      <c r="I267">
        <f>IF(lpg[[#This Row],[dzien]]=4,IF(lpg[[#This Row],[pb po trasie]]&lt;40,45-lpg[[#This Row],[pb po trasie]],0),0)</f>
        <v>0</v>
      </c>
      <c r="J267">
        <f>IF(lpg[[#This Row],[lpg po trasie]]&lt;5,30-lpg[[#This Row],[lpg po trasie]],0)</f>
        <v>29.7</v>
      </c>
      <c r="K267">
        <f>WEEKDAY(lpg[[#This Row],[data]],2)</f>
        <v>2</v>
      </c>
      <c r="O267" s="1">
        <v>41905</v>
      </c>
      <c r="P267">
        <v>138</v>
      </c>
      <c r="Q267">
        <f>U266+W266</f>
        <v>40.950000000000003</v>
      </c>
      <c r="R267">
        <f>V266+X266</f>
        <v>6.5100000000000016</v>
      </c>
      <c r="S267">
        <f>ROUND(IF(lpg_3[[#This Row],[zbiornik LPG]]&gt;15,0,(lpg_3[[#This Row],[km]]/2)*6/100),2)</f>
        <v>4.1399999999999997</v>
      </c>
      <c r="T267">
        <f>ROUND(IF(lpg_3[[#This Row],[zbiornik LPG]]&gt;15,lpg_3[[#This Row],[km]]*9/100,(lpg_3[[#This Row],[km]]/2)*9/100),2)</f>
        <v>6.21</v>
      </c>
      <c r="U267">
        <f>lpg_3[[#This Row],[zbiornik PB95]]-lpg_3[[#This Row],[zuzycie PB95]]</f>
        <v>36.81</v>
      </c>
      <c r="V267">
        <f>lpg_3[[#This Row],[zbiornik LPG]]-lpg_3[[#This Row],[zyzucie lpg]]</f>
        <v>0.3000000000000016</v>
      </c>
      <c r="W267">
        <f>IF(lpg_3[[#This Row],[dzien]]=4,IF(lpg_3[[#This Row],[pb po trasie]]&lt;40,45-lpg_3[[#This Row],[pb po trasie]],0),0)</f>
        <v>0</v>
      </c>
      <c r="X267">
        <f>IF(lpg_3[[#This Row],[lpg po trasie]]&lt;5,30-lpg_3[[#This Row],[lpg po trasie]],0)</f>
        <v>29.7</v>
      </c>
      <c r="Y267">
        <f>WEEKDAY(lpg_3[[#This Row],[data]],2)</f>
        <v>2</v>
      </c>
    </row>
    <row r="268" spans="1:25" x14ac:dyDescent="0.25">
      <c r="A268" s="1">
        <v>41906</v>
      </c>
      <c r="B268">
        <v>25</v>
      </c>
      <c r="C268">
        <f>G267+I267</f>
        <v>36.81</v>
      </c>
      <c r="D268">
        <f>H267+J267</f>
        <v>30</v>
      </c>
      <c r="E268">
        <f>ROUND(IF(lpg[[#This Row],[zbiornik LPG]]&gt;15,0,(lpg[[#This Row],[km]]/2)*6/100),2)</f>
        <v>0</v>
      </c>
      <c r="F268">
        <f>ROUND(IF(lpg[[#This Row],[zbiornik LPG]]&gt;15,lpg[[#This Row],[km]]*9/100,(lpg[[#This Row],[km]]/2)*9/100),2)</f>
        <v>2.25</v>
      </c>
      <c r="G268">
        <f>lpg[[#This Row],[zbiornik PB95]]-lpg[[#This Row],[zuzycie PB95]]</f>
        <v>36.81</v>
      </c>
      <c r="H268">
        <f>lpg[[#This Row],[zbiornik LPG]]-lpg[[#This Row],[zyzucie lpg]]</f>
        <v>27.75</v>
      </c>
      <c r="I268">
        <f>IF(lpg[[#This Row],[dzien]]=4,IF(lpg[[#This Row],[pb po trasie]]&lt;40,45-lpg[[#This Row],[pb po trasie]],0),0)</f>
        <v>0</v>
      </c>
      <c r="J268">
        <f>IF(lpg[[#This Row],[lpg po trasie]]&lt;5,30-lpg[[#This Row],[lpg po trasie]],0)</f>
        <v>0</v>
      </c>
      <c r="K268">
        <f>WEEKDAY(lpg[[#This Row],[data]],2)</f>
        <v>3</v>
      </c>
      <c r="O268" s="1">
        <v>41906</v>
      </c>
      <c r="P268">
        <v>25</v>
      </c>
      <c r="Q268">
        <f>U267+W267</f>
        <v>36.81</v>
      </c>
      <c r="R268">
        <f>V267+X267</f>
        <v>30</v>
      </c>
      <c r="S268">
        <f>ROUND(IF(lpg_3[[#This Row],[zbiornik LPG]]&gt;15,0,(lpg_3[[#This Row],[km]]/2)*6/100),2)</f>
        <v>0</v>
      </c>
      <c r="T268">
        <f>ROUND(IF(lpg_3[[#This Row],[zbiornik LPG]]&gt;15,lpg_3[[#This Row],[km]]*9/100,(lpg_3[[#This Row],[km]]/2)*9/100),2)</f>
        <v>2.25</v>
      </c>
      <c r="U268">
        <f>lpg_3[[#This Row],[zbiornik PB95]]-lpg_3[[#This Row],[zuzycie PB95]]</f>
        <v>36.81</v>
      </c>
      <c r="V268">
        <f>lpg_3[[#This Row],[zbiornik LPG]]-lpg_3[[#This Row],[zyzucie lpg]]</f>
        <v>27.75</v>
      </c>
      <c r="W268">
        <f>IF(lpg_3[[#This Row],[dzien]]=4,IF(lpg_3[[#This Row],[pb po trasie]]&lt;40,45-lpg_3[[#This Row],[pb po trasie]],0),0)</f>
        <v>0</v>
      </c>
      <c r="X268">
        <f>IF(lpg_3[[#This Row],[lpg po trasie]]&lt;5,30-lpg_3[[#This Row],[lpg po trasie]],0)</f>
        <v>0</v>
      </c>
      <c r="Y268">
        <f>WEEKDAY(lpg_3[[#This Row],[data]],2)</f>
        <v>3</v>
      </c>
    </row>
    <row r="269" spans="1:25" x14ac:dyDescent="0.25">
      <c r="A269" s="1">
        <v>41907</v>
      </c>
      <c r="B269">
        <v>133</v>
      </c>
      <c r="C269">
        <f>G268+I268</f>
        <v>36.81</v>
      </c>
      <c r="D269">
        <f>H268+J268</f>
        <v>27.75</v>
      </c>
      <c r="E269">
        <f>ROUND(IF(lpg[[#This Row],[zbiornik LPG]]&gt;15,0,(lpg[[#This Row],[km]]/2)*6/100),2)</f>
        <v>0</v>
      </c>
      <c r="F269">
        <f>ROUND(IF(lpg[[#This Row],[zbiornik LPG]]&gt;15,lpg[[#This Row],[km]]*9/100,(lpg[[#This Row],[km]]/2)*9/100),2)</f>
        <v>11.97</v>
      </c>
      <c r="G269">
        <f>lpg[[#This Row],[zbiornik PB95]]-lpg[[#This Row],[zuzycie PB95]]</f>
        <v>36.81</v>
      </c>
      <c r="H269">
        <f>lpg[[#This Row],[zbiornik LPG]]-lpg[[#This Row],[zyzucie lpg]]</f>
        <v>15.78</v>
      </c>
      <c r="I269">
        <f>IF(lpg[[#This Row],[dzien]]=4,IF(lpg[[#This Row],[pb po trasie]]&lt;40,45-lpg[[#This Row],[pb po trasie]],0),0)</f>
        <v>8.1899999999999977</v>
      </c>
      <c r="J269">
        <f>IF(lpg[[#This Row],[lpg po trasie]]&lt;5,30-lpg[[#This Row],[lpg po trasie]],0)</f>
        <v>0</v>
      </c>
      <c r="K269">
        <f>WEEKDAY(lpg[[#This Row],[data]],2)</f>
        <v>4</v>
      </c>
      <c r="O269" s="1">
        <v>41907</v>
      </c>
      <c r="P269">
        <v>133</v>
      </c>
      <c r="Q269">
        <f>U268+W268</f>
        <v>36.81</v>
      </c>
      <c r="R269">
        <f>V268+X268</f>
        <v>27.75</v>
      </c>
      <c r="S269">
        <f>ROUND(IF(lpg_3[[#This Row],[zbiornik LPG]]&gt;15,0,(lpg_3[[#This Row],[km]]/2)*6/100),2)</f>
        <v>0</v>
      </c>
      <c r="T269">
        <f>ROUND(IF(lpg_3[[#This Row],[zbiornik LPG]]&gt;15,lpg_3[[#This Row],[km]]*9/100,(lpg_3[[#This Row],[km]]/2)*9/100),2)</f>
        <v>11.97</v>
      </c>
      <c r="U269">
        <f>lpg_3[[#This Row],[zbiornik PB95]]-lpg_3[[#This Row],[zuzycie PB95]]</f>
        <v>36.81</v>
      </c>
      <c r="V269">
        <f>lpg_3[[#This Row],[zbiornik LPG]]-lpg_3[[#This Row],[zyzucie lpg]]</f>
        <v>15.78</v>
      </c>
      <c r="W269">
        <f>IF(lpg_3[[#This Row],[dzien]]=4,IF(lpg_3[[#This Row],[pb po trasie]]&lt;40,45-lpg_3[[#This Row],[pb po trasie]],0),0)</f>
        <v>8.1899999999999977</v>
      </c>
      <c r="X269">
        <f>IF(lpg_3[[#This Row],[lpg po trasie]]&lt;5,30-lpg_3[[#This Row],[lpg po trasie]],0)</f>
        <v>0</v>
      </c>
      <c r="Y269">
        <f>WEEKDAY(lpg_3[[#This Row],[data]],2)</f>
        <v>4</v>
      </c>
    </row>
    <row r="270" spans="1:25" x14ac:dyDescent="0.25">
      <c r="A270" s="1">
        <v>41908</v>
      </c>
      <c r="B270">
        <v>110</v>
      </c>
      <c r="C270">
        <f>G269+I269</f>
        <v>45</v>
      </c>
      <c r="D270">
        <f>H269+J269</f>
        <v>15.78</v>
      </c>
      <c r="E270">
        <f>ROUND(IF(lpg[[#This Row],[zbiornik LPG]]&gt;15,0,(lpg[[#This Row],[km]]/2)*6/100),2)</f>
        <v>0</v>
      </c>
      <c r="F270">
        <f>ROUND(IF(lpg[[#This Row],[zbiornik LPG]]&gt;15,lpg[[#This Row],[km]]*9/100,(lpg[[#This Row],[km]]/2)*9/100),2)</f>
        <v>9.9</v>
      </c>
      <c r="G270">
        <f>lpg[[#This Row],[zbiornik PB95]]-lpg[[#This Row],[zuzycie PB95]]</f>
        <v>45</v>
      </c>
      <c r="H270">
        <f>lpg[[#This Row],[zbiornik LPG]]-lpg[[#This Row],[zyzucie lpg]]</f>
        <v>5.879999999999999</v>
      </c>
      <c r="I270">
        <f>IF(lpg[[#This Row],[dzien]]=4,IF(lpg[[#This Row],[pb po trasie]]&lt;40,45-lpg[[#This Row],[pb po trasie]],0),0)</f>
        <v>0</v>
      </c>
      <c r="J270">
        <f>IF(lpg[[#This Row],[lpg po trasie]]&lt;5,30-lpg[[#This Row],[lpg po trasie]],0)</f>
        <v>0</v>
      </c>
      <c r="K270">
        <f>WEEKDAY(lpg[[#This Row],[data]],2)</f>
        <v>5</v>
      </c>
      <c r="O270" s="1">
        <v>41908</v>
      </c>
      <c r="P270">
        <v>110</v>
      </c>
      <c r="Q270">
        <f>U269+W269</f>
        <v>45</v>
      </c>
      <c r="R270">
        <f>V269+X269</f>
        <v>15.78</v>
      </c>
      <c r="S270">
        <f>ROUND(IF(lpg_3[[#This Row],[zbiornik LPG]]&gt;15,0,(lpg_3[[#This Row],[km]]/2)*6/100),2)</f>
        <v>0</v>
      </c>
      <c r="T270">
        <f>ROUND(IF(lpg_3[[#This Row],[zbiornik LPG]]&gt;15,lpg_3[[#This Row],[km]]*9/100,(lpg_3[[#This Row],[km]]/2)*9/100),2)</f>
        <v>9.9</v>
      </c>
      <c r="U270">
        <f>lpg_3[[#This Row],[zbiornik PB95]]-lpg_3[[#This Row],[zuzycie PB95]]</f>
        <v>45</v>
      </c>
      <c r="V270">
        <f>lpg_3[[#This Row],[zbiornik LPG]]-lpg_3[[#This Row],[zyzucie lpg]]</f>
        <v>5.879999999999999</v>
      </c>
      <c r="W270">
        <f>IF(lpg_3[[#This Row],[dzien]]=4,IF(lpg_3[[#This Row],[pb po trasie]]&lt;40,45-lpg_3[[#This Row],[pb po trasie]],0),0)</f>
        <v>0</v>
      </c>
      <c r="X270">
        <f>IF(lpg_3[[#This Row],[lpg po trasie]]&lt;5,30-lpg_3[[#This Row],[lpg po trasie]],0)</f>
        <v>0</v>
      </c>
      <c r="Y270">
        <f>WEEKDAY(lpg_3[[#This Row],[data]],2)</f>
        <v>5</v>
      </c>
    </row>
    <row r="271" spans="1:25" x14ac:dyDescent="0.25">
      <c r="A271" s="1">
        <v>41909</v>
      </c>
      <c r="B271">
        <v>24</v>
      </c>
      <c r="C271">
        <f>G270+I270</f>
        <v>45</v>
      </c>
      <c r="D271">
        <f>H270+J270</f>
        <v>5.879999999999999</v>
      </c>
      <c r="E271">
        <f>ROUND(IF(lpg[[#This Row],[zbiornik LPG]]&gt;15,0,(lpg[[#This Row],[km]]/2)*6/100),2)</f>
        <v>0.72</v>
      </c>
      <c r="F271">
        <f>ROUND(IF(lpg[[#This Row],[zbiornik LPG]]&gt;15,lpg[[#This Row],[km]]*9/100,(lpg[[#This Row],[km]]/2)*9/100),2)</f>
        <v>1.08</v>
      </c>
      <c r="G271">
        <f>lpg[[#This Row],[zbiornik PB95]]-lpg[[#This Row],[zuzycie PB95]]</f>
        <v>44.28</v>
      </c>
      <c r="H271">
        <f>lpg[[#This Row],[zbiornik LPG]]-lpg[[#This Row],[zyzucie lpg]]</f>
        <v>4.7999999999999989</v>
      </c>
      <c r="I271">
        <f>IF(lpg[[#This Row],[dzien]]=4,IF(lpg[[#This Row],[pb po trasie]]&lt;40,45-lpg[[#This Row],[pb po trasie]],0),0)</f>
        <v>0</v>
      </c>
      <c r="J271">
        <f>IF(lpg[[#This Row],[lpg po trasie]]&lt;5,30-lpg[[#This Row],[lpg po trasie]],0)</f>
        <v>25.200000000000003</v>
      </c>
      <c r="K271">
        <f>WEEKDAY(lpg[[#This Row],[data]],2)</f>
        <v>6</v>
      </c>
      <c r="O271" s="1">
        <v>41909</v>
      </c>
      <c r="P271">
        <v>24</v>
      </c>
      <c r="Q271">
        <f>U270+W270</f>
        <v>45</v>
      </c>
      <c r="R271">
        <f>V270+X270</f>
        <v>5.879999999999999</v>
      </c>
      <c r="S271">
        <f>ROUND(IF(lpg_3[[#This Row],[zbiornik LPG]]&gt;15,0,(lpg_3[[#This Row],[km]]/2)*6/100),2)</f>
        <v>0.72</v>
      </c>
      <c r="T271">
        <f>ROUND(IF(lpg_3[[#This Row],[zbiornik LPG]]&gt;15,lpg_3[[#This Row],[km]]*9/100,(lpg_3[[#This Row],[km]]/2)*9/100),2)</f>
        <v>1.08</v>
      </c>
      <c r="U271">
        <f>lpg_3[[#This Row],[zbiornik PB95]]-lpg_3[[#This Row],[zuzycie PB95]]</f>
        <v>44.28</v>
      </c>
      <c r="V271">
        <f>lpg_3[[#This Row],[zbiornik LPG]]-lpg_3[[#This Row],[zyzucie lpg]]</f>
        <v>4.7999999999999989</v>
      </c>
      <c r="W271">
        <f>IF(lpg_3[[#This Row],[dzien]]=4,IF(lpg_3[[#This Row],[pb po trasie]]&lt;40,45-lpg_3[[#This Row],[pb po trasie]],0),0)</f>
        <v>0</v>
      </c>
      <c r="X271">
        <f>IF(lpg_3[[#This Row],[lpg po trasie]]&lt;5,30-lpg_3[[#This Row],[lpg po trasie]],0)</f>
        <v>25.200000000000003</v>
      </c>
      <c r="Y271">
        <f>WEEKDAY(lpg_3[[#This Row],[data]],2)</f>
        <v>6</v>
      </c>
    </row>
    <row r="272" spans="1:25" x14ac:dyDescent="0.25">
      <c r="A272" s="1">
        <v>41910</v>
      </c>
      <c r="B272">
        <v>65</v>
      </c>
      <c r="C272">
        <f>G271+I271</f>
        <v>44.28</v>
      </c>
      <c r="D272">
        <f>H271+J271</f>
        <v>30</v>
      </c>
      <c r="E272">
        <f>ROUND(IF(lpg[[#This Row],[zbiornik LPG]]&gt;15,0,(lpg[[#This Row],[km]]/2)*6/100),2)</f>
        <v>0</v>
      </c>
      <c r="F272">
        <f>ROUND(IF(lpg[[#This Row],[zbiornik LPG]]&gt;15,lpg[[#This Row],[km]]*9/100,(lpg[[#This Row],[km]]/2)*9/100),2)</f>
        <v>5.85</v>
      </c>
      <c r="G272">
        <f>lpg[[#This Row],[zbiornik PB95]]-lpg[[#This Row],[zuzycie PB95]]</f>
        <v>44.28</v>
      </c>
      <c r="H272">
        <f>lpg[[#This Row],[zbiornik LPG]]-lpg[[#This Row],[zyzucie lpg]]</f>
        <v>24.15</v>
      </c>
      <c r="I272">
        <f>IF(lpg[[#This Row],[dzien]]=4,IF(lpg[[#This Row],[pb po trasie]]&lt;40,45-lpg[[#This Row],[pb po trasie]],0),0)</f>
        <v>0</v>
      </c>
      <c r="J272">
        <f>IF(lpg[[#This Row],[lpg po trasie]]&lt;5,30-lpg[[#This Row],[lpg po trasie]],0)</f>
        <v>0</v>
      </c>
      <c r="K272">
        <f>WEEKDAY(lpg[[#This Row],[data]],2)</f>
        <v>7</v>
      </c>
      <c r="O272" s="1">
        <v>41910</v>
      </c>
      <c r="P272">
        <v>65</v>
      </c>
      <c r="Q272">
        <f>U271+W271</f>
        <v>44.28</v>
      </c>
      <c r="R272">
        <f>V271+X271</f>
        <v>30</v>
      </c>
      <c r="S272">
        <f>ROUND(IF(lpg_3[[#This Row],[zbiornik LPG]]&gt;15,0,(lpg_3[[#This Row],[km]]/2)*6/100),2)</f>
        <v>0</v>
      </c>
      <c r="T272">
        <f>ROUND(IF(lpg_3[[#This Row],[zbiornik LPG]]&gt;15,lpg_3[[#This Row],[km]]*9/100,(lpg_3[[#This Row],[km]]/2)*9/100),2)</f>
        <v>5.85</v>
      </c>
      <c r="U272">
        <f>lpg_3[[#This Row],[zbiornik PB95]]-lpg_3[[#This Row],[zuzycie PB95]]</f>
        <v>44.28</v>
      </c>
      <c r="V272">
        <f>lpg_3[[#This Row],[zbiornik LPG]]-lpg_3[[#This Row],[zyzucie lpg]]</f>
        <v>24.15</v>
      </c>
      <c r="W272">
        <f>IF(lpg_3[[#This Row],[dzien]]=4,IF(lpg_3[[#This Row],[pb po trasie]]&lt;40,45-lpg_3[[#This Row],[pb po trasie]],0),0)</f>
        <v>0</v>
      </c>
      <c r="X272">
        <f>IF(lpg_3[[#This Row],[lpg po trasie]]&lt;5,30-lpg_3[[#This Row],[lpg po trasie]],0)</f>
        <v>0</v>
      </c>
      <c r="Y272">
        <f>WEEKDAY(lpg_3[[#This Row],[data]],2)</f>
        <v>7</v>
      </c>
    </row>
    <row r="273" spans="1:25" x14ac:dyDescent="0.25">
      <c r="A273" s="1">
        <v>41911</v>
      </c>
      <c r="B273">
        <v>61</v>
      </c>
      <c r="C273">
        <f>G272+I272</f>
        <v>44.28</v>
      </c>
      <c r="D273">
        <f>H272+J272</f>
        <v>24.15</v>
      </c>
      <c r="E273">
        <f>ROUND(IF(lpg[[#This Row],[zbiornik LPG]]&gt;15,0,(lpg[[#This Row],[km]]/2)*6/100),2)</f>
        <v>0</v>
      </c>
      <c r="F273">
        <f>ROUND(IF(lpg[[#This Row],[zbiornik LPG]]&gt;15,lpg[[#This Row],[km]]*9/100,(lpg[[#This Row],[km]]/2)*9/100),2)</f>
        <v>5.49</v>
      </c>
      <c r="G273">
        <f>lpg[[#This Row],[zbiornik PB95]]-lpg[[#This Row],[zuzycie PB95]]</f>
        <v>44.28</v>
      </c>
      <c r="H273">
        <f>lpg[[#This Row],[zbiornik LPG]]-lpg[[#This Row],[zyzucie lpg]]</f>
        <v>18.659999999999997</v>
      </c>
      <c r="I273">
        <f>IF(lpg[[#This Row],[dzien]]=4,IF(lpg[[#This Row],[pb po trasie]]&lt;40,45-lpg[[#This Row],[pb po trasie]],0),0)</f>
        <v>0</v>
      </c>
      <c r="J273">
        <f>IF(lpg[[#This Row],[lpg po trasie]]&lt;5,30-lpg[[#This Row],[lpg po trasie]],0)</f>
        <v>0</v>
      </c>
      <c r="K273">
        <f>WEEKDAY(lpg[[#This Row],[data]],2)</f>
        <v>1</v>
      </c>
      <c r="O273" s="1">
        <v>41911</v>
      </c>
      <c r="P273">
        <v>61</v>
      </c>
      <c r="Q273">
        <f>U272+W272</f>
        <v>44.28</v>
      </c>
      <c r="R273">
        <f>V272+X272</f>
        <v>24.15</v>
      </c>
      <c r="S273">
        <f>ROUND(IF(lpg_3[[#This Row],[zbiornik LPG]]&gt;15,0,(lpg_3[[#This Row],[km]]/2)*6/100),2)</f>
        <v>0</v>
      </c>
      <c r="T273">
        <f>ROUND(IF(lpg_3[[#This Row],[zbiornik LPG]]&gt;15,lpg_3[[#This Row],[km]]*9/100,(lpg_3[[#This Row],[km]]/2)*9/100),2)</f>
        <v>5.49</v>
      </c>
      <c r="U273">
        <f>lpg_3[[#This Row],[zbiornik PB95]]-lpg_3[[#This Row],[zuzycie PB95]]</f>
        <v>44.28</v>
      </c>
      <c r="V273">
        <f>lpg_3[[#This Row],[zbiornik LPG]]-lpg_3[[#This Row],[zyzucie lpg]]</f>
        <v>18.659999999999997</v>
      </c>
      <c r="W273">
        <f>IF(lpg_3[[#This Row],[dzien]]=4,IF(lpg_3[[#This Row],[pb po trasie]]&lt;40,45-lpg_3[[#This Row],[pb po trasie]],0),0)</f>
        <v>0</v>
      </c>
      <c r="X273">
        <f>IF(lpg_3[[#This Row],[lpg po trasie]]&lt;5,30-lpg_3[[#This Row],[lpg po trasie]],0)</f>
        <v>0</v>
      </c>
      <c r="Y273">
        <f>WEEKDAY(lpg_3[[#This Row],[data]],2)</f>
        <v>1</v>
      </c>
    </row>
    <row r="274" spans="1:25" x14ac:dyDescent="0.25">
      <c r="A274" s="1">
        <v>41912</v>
      </c>
      <c r="B274">
        <v>45</v>
      </c>
      <c r="C274">
        <f>G273+I273</f>
        <v>44.28</v>
      </c>
      <c r="D274">
        <f>H273+J273</f>
        <v>18.659999999999997</v>
      </c>
      <c r="E274">
        <f>ROUND(IF(lpg[[#This Row],[zbiornik LPG]]&gt;15,0,(lpg[[#This Row],[km]]/2)*6/100),2)</f>
        <v>0</v>
      </c>
      <c r="F274">
        <f>ROUND(IF(lpg[[#This Row],[zbiornik LPG]]&gt;15,lpg[[#This Row],[km]]*9/100,(lpg[[#This Row],[km]]/2)*9/100),2)</f>
        <v>4.05</v>
      </c>
      <c r="G274">
        <f>lpg[[#This Row],[zbiornik PB95]]-lpg[[#This Row],[zuzycie PB95]]</f>
        <v>44.28</v>
      </c>
      <c r="H274">
        <f>lpg[[#This Row],[zbiornik LPG]]-lpg[[#This Row],[zyzucie lpg]]</f>
        <v>14.609999999999996</v>
      </c>
      <c r="I274">
        <f>IF(lpg[[#This Row],[dzien]]=4,IF(lpg[[#This Row],[pb po trasie]]&lt;40,45-lpg[[#This Row],[pb po trasie]],0),0)</f>
        <v>0</v>
      </c>
      <c r="J274">
        <f>IF(lpg[[#This Row],[lpg po trasie]]&lt;5,30-lpg[[#This Row],[lpg po trasie]],0)</f>
        <v>0</v>
      </c>
      <c r="K274">
        <f>WEEKDAY(lpg[[#This Row],[data]],2)</f>
        <v>2</v>
      </c>
      <c r="O274" s="1">
        <v>41912</v>
      </c>
      <c r="P274">
        <v>45</v>
      </c>
      <c r="Q274">
        <f>U273+W273</f>
        <v>44.28</v>
      </c>
      <c r="R274">
        <f>V273+X273</f>
        <v>18.659999999999997</v>
      </c>
      <c r="S274">
        <f>ROUND(IF(lpg_3[[#This Row],[zbiornik LPG]]&gt;15,0,(lpg_3[[#This Row],[km]]/2)*6/100),2)</f>
        <v>0</v>
      </c>
      <c r="T274">
        <f>ROUND(IF(lpg_3[[#This Row],[zbiornik LPG]]&gt;15,lpg_3[[#This Row],[km]]*9/100,(lpg_3[[#This Row],[km]]/2)*9/100),2)</f>
        <v>4.05</v>
      </c>
      <c r="U274">
        <f>lpg_3[[#This Row],[zbiornik PB95]]-lpg_3[[#This Row],[zuzycie PB95]]</f>
        <v>44.28</v>
      </c>
      <c r="V274">
        <f>lpg_3[[#This Row],[zbiornik LPG]]-lpg_3[[#This Row],[zyzucie lpg]]</f>
        <v>14.609999999999996</v>
      </c>
      <c r="W274">
        <f>IF(lpg_3[[#This Row],[dzien]]=4,IF(lpg_3[[#This Row],[pb po trasie]]&lt;40,45-lpg_3[[#This Row],[pb po trasie]],0),0)</f>
        <v>0</v>
      </c>
      <c r="X274">
        <f>IF(lpg_3[[#This Row],[lpg po trasie]]&lt;5,30-lpg_3[[#This Row],[lpg po trasie]],0)</f>
        <v>0</v>
      </c>
      <c r="Y274">
        <f>WEEKDAY(lpg_3[[#This Row],[data]],2)</f>
        <v>2</v>
      </c>
    </row>
    <row r="275" spans="1:25" x14ac:dyDescent="0.25">
      <c r="A275" s="1">
        <v>41913</v>
      </c>
      <c r="B275">
        <v>49</v>
      </c>
      <c r="C275">
        <f>G274+I274</f>
        <v>44.28</v>
      </c>
      <c r="D275">
        <f>H274+J274</f>
        <v>14.609999999999996</v>
      </c>
      <c r="E275">
        <f>ROUND(IF(lpg[[#This Row],[zbiornik LPG]]&gt;15,0,(lpg[[#This Row],[km]]/2)*6/100),2)</f>
        <v>1.47</v>
      </c>
      <c r="F275">
        <f>ROUND(IF(lpg[[#This Row],[zbiornik LPG]]&gt;15,lpg[[#This Row],[km]]*9/100,(lpg[[#This Row],[km]]/2)*9/100),2)</f>
        <v>2.21</v>
      </c>
      <c r="G275">
        <f>lpg[[#This Row],[zbiornik PB95]]-lpg[[#This Row],[zuzycie PB95]]</f>
        <v>42.81</v>
      </c>
      <c r="H275">
        <f>lpg[[#This Row],[zbiornik LPG]]-lpg[[#This Row],[zyzucie lpg]]</f>
        <v>12.399999999999995</v>
      </c>
      <c r="I275">
        <f>IF(lpg[[#This Row],[dzien]]=4,IF(lpg[[#This Row],[pb po trasie]]&lt;40,45-lpg[[#This Row],[pb po trasie]],0),0)</f>
        <v>0</v>
      </c>
      <c r="J275">
        <f>IF(lpg[[#This Row],[lpg po trasie]]&lt;5,30-lpg[[#This Row],[lpg po trasie]],0)</f>
        <v>0</v>
      </c>
      <c r="K275">
        <f>WEEKDAY(lpg[[#This Row],[data]],2)</f>
        <v>3</v>
      </c>
      <c r="O275" s="1">
        <v>41913</v>
      </c>
      <c r="P275">
        <v>49</v>
      </c>
      <c r="Q275">
        <f>U274+W274</f>
        <v>44.28</v>
      </c>
      <c r="R275">
        <f>V274+X274</f>
        <v>14.609999999999996</v>
      </c>
      <c r="S275">
        <f>ROUND(IF(lpg_3[[#This Row],[zbiornik LPG]]&gt;15,0,(lpg_3[[#This Row],[km]]/2)*6/100),2)</f>
        <v>1.47</v>
      </c>
      <c r="T275">
        <f>ROUND(IF(lpg_3[[#This Row],[zbiornik LPG]]&gt;15,lpg_3[[#This Row],[km]]*9/100,(lpg_3[[#This Row],[km]]/2)*9/100),2)</f>
        <v>2.21</v>
      </c>
      <c r="U275">
        <f>lpg_3[[#This Row],[zbiornik PB95]]-lpg_3[[#This Row],[zuzycie PB95]]</f>
        <v>42.81</v>
      </c>
      <c r="V275">
        <f>lpg_3[[#This Row],[zbiornik LPG]]-lpg_3[[#This Row],[zyzucie lpg]]</f>
        <v>12.399999999999995</v>
      </c>
      <c r="W275">
        <f>IF(lpg_3[[#This Row],[dzien]]=4,IF(lpg_3[[#This Row],[pb po trasie]]&lt;40,45-lpg_3[[#This Row],[pb po trasie]],0),0)</f>
        <v>0</v>
      </c>
      <c r="X275">
        <f>IF(lpg_3[[#This Row],[lpg po trasie]]&lt;5,30-lpg_3[[#This Row],[lpg po trasie]],0)</f>
        <v>0</v>
      </c>
      <c r="Y275">
        <f>WEEKDAY(lpg_3[[#This Row],[data]],2)</f>
        <v>3</v>
      </c>
    </row>
    <row r="276" spans="1:25" x14ac:dyDescent="0.25">
      <c r="A276" s="1">
        <v>41914</v>
      </c>
      <c r="B276">
        <v>57</v>
      </c>
      <c r="C276">
        <f>G275+I275</f>
        <v>42.81</v>
      </c>
      <c r="D276">
        <f>H275+J275</f>
        <v>12.399999999999995</v>
      </c>
      <c r="E276">
        <f>ROUND(IF(lpg[[#This Row],[zbiornik LPG]]&gt;15,0,(lpg[[#This Row],[km]]/2)*6/100),2)</f>
        <v>1.71</v>
      </c>
      <c r="F276">
        <f>ROUND(IF(lpg[[#This Row],[zbiornik LPG]]&gt;15,lpg[[#This Row],[km]]*9/100,(lpg[[#This Row],[km]]/2)*9/100),2)</f>
        <v>2.57</v>
      </c>
      <c r="G276">
        <f>lpg[[#This Row],[zbiornik PB95]]-lpg[[#This Row],[zuzycie PB95]]</f>
        <v>41.1</v>
      </c>
      <c r="H276">
        <f>lpg[[#This Row],[zbiornik LPG]]-lpg[[#This Row],[zyzucie lpg]]</f>
        <v>9.8299999999999947</v>
      </c>
      <c r="I276">
        <f>IF(lpg[[#This Row],[dzien]]=4,IF(lpg[[#This Row],[pb po trasie]]&lt;40,45-lpg[[#This Row],[pb po trasie]],0),0)</f>
        <v>0</v>
      </c>
      <c r="J276">
        <f>IF(lpg[[#This Row],[lpg po trasie]]&lt;5,30-lpg[[#This Row],[lpg po trasie]],0)</f>
        <v>0</v>
      </c>
      <c r="K276">
        <f>WEEKDAY(lpg[[#This Row],[data]],2)</f>
        <v>4</v>
      </c>
      <c r="O276" s="1">
        <v>41914</v>
      </c>
      <c r="P276">
        <v>57</v>
      </c>
      <c r="Q276">
        <f>U275+W275</f>
        <v>42.81</v>
      </c>
      <c r="R276">
        <f>V275+X275</f>
        <v>12.399999999999995</v>
      </c>
      <c r="S276">
        <f>ROUND(IF(lpg_3[[#This Row],[zbiornik LPG]]&gt;15,0,(lpg_3[[#This Row],[km]]/2)*6/100),2)</f>
        <v>1.71</v>
      </c>
      <c r="T276">
        <f>ROUND(IF(lpg_3[[#This Row],[zbiornik LPG]]&gt;15,lpg_3[[#This Row],[km]]*9/100,(lpg_3[[#This Row],[km]]/2)*9/100),2)</f>
        <v>2.57</v>
      </c>
      <c r="U276">
        <f>lpg_3[[#This Row],[zbiornik PB95]]-lpg_3[[#This Row],[zuzycie PB95]]</f>
        <v>41.1</v>
      </c>
      <c r="V276">
        <f>lpg_3[[#This Row],[zbiornik LPG]]-lpg_3[[#This Row],[zyzucie lpg]]</f>
        <v>9.8299999999999947</v>
      </c>
      <c r="W276">
        <f>IF(lpg_3[[#This Row],[dzien]]=4,IF(lpg_3[[#This Row],[pb po trasie]]&lt;40,45-lpg_3[[#This Row],[pb po trasie]],0),0)</f>
        <v>0</v>
      </c>
      <c r="X276">
        <f>IF(lpg_3[[#This Row],[lpg po trasie]]&lt;5,30-lpg_3[[#This Row],[lpg po trasie]],0)</f>
        <v>0</v>
      </c>
      <c r="Y276">
        <f>WEEKDAY(lpg_3[[#This Row],[data]],2)</f>
        <v>4</v>
      </c>
    </row>
    <row r="277" spans="1:25" x14ac:dyDescent="0.25">
      <c r="A277" s="1">
        <v>41915</v>
      </c>
      <c r="B277">
        <v>109</v>
      </c>
      <c r="C277">
        <f>G276+I276</f>
        <v>41.1</v>
      </c>
      <c r="D277">
        <f>H276+J276</f>
        <v>9.8299999999999947</v>
      </c>
      <c r="E277">
        <f>ROUND(IF(lpg[[#This Row],[zbiornik LPG]]&gt;15,0,(lpg[[#This Row],[km]]/2)*6/100),2)</f>
        <v>3.27</v>
      </c>
      <c r="F277">
        <f>ROUND(IF(lpg[[#This Row],[zbiornik LPG]]&gt;15,lpg[[#This Row],[km]]*9/100,(lpg[[#This Row],[km]]/2)*9/100),2)</f>
        <v>4.91</v>
      </c>
      <c r="G277">
        <f>lpg[[#This Row],[zbiornik PB95]]-lpg[[#This Row],[zuzycie PB95]]</f>
        <v>37.83</v>
      </c>
      <c r="H277">
        <f>lpg[[#This Row],[zbiornik LPG]]-lpg[[#This Row],[zyzucie lpg]]</f>
        <v>4.9199999999999946</v>
      </c>
      <c r="I277">
        <f>IF(lpg[[#This Row],[dzien]]=4,IF(lpg[[#This Row],[pb po trasie]]&lt;40,45-lpg[[#This Row],[pb po trasie]],0),0)</f>
        <v>0</v>
      </c>
      <c r="J277">
        <f>IF(lpg[[#This Row],[lpg po trasie]]&lt;5,30-lpg[[#This Row],[lpg po trasie]],0)</f>
        <v>25.080000000000005</v>
      </c>
      <c r="K277">
        <f>WEEKDAY(lpg[[#This Row],[data]],2)</f>
        <v>5</v>
      </c>
      <c r="O277" s="1">
        <v>41915</v>
      </c>
      <c r="P277">
        <v>109</v>
      </c>
      <c r="Q277">
        <f>U276+W276</f>
        <v>41.1</v>
      </c>
      <c r="R277">
        <f>V276+X276</f>
        <v>9.8299999999999947</v>
      </c>
      <c r="S277">
        <f>ROUND(IF(lpg_3[[#This Row],[zbiornik LPG]]&gt;15,0,(lpg_3[[#This Row],[km]]/2)*6/100),2)</f>
        <v>3.27</v>
      </c>
      <c r="T277">
        <f>ROUND(IF(lpg_3[[#This Row],[zbiornik LPG]]&gt;15,lpg_3[[#This Row],[km]]*9/100,(lpg_3[[#This Row],[km]]/2)*9/100),2)</f>
        <v>4.91</v>
      </c>
      <c r="U277">
        <f>lpg_3[[#This Row],[zbiornik PB95]]-lpg_3[[#This Row],[zuzycie PB95]]</f>
        <v>37.83</v>
      </c>
      <c r="V277">
        <f>lpg_3[[#This Row],[zbiornik LPG]]-lpg_3[[#This Row],[zyzucie lpg]]</f>
        <v>4.9199999999999946</v>
      </c>
      <c r="W277">
        <f>IF(lpg_3[[#This Row],[dzien]]=4,IF(lpg_3[[#This Row],[pb po trasie]]&lt;40,45-lpg_3[[#This Row],[pb po trasie]],0),0)</f>
        <v>0</v>
      </c>
      <c r="X277">
        <f>IF(lpg_3[[#This Row],[lpg po trasie]]&lt;5,30-lpg_3[[#This Row],[lpg po trasie]],0)</f>
        <v>25.080000000000005</v>
      </c>
      <c r="Y277">
        <f>WEEKDAY(lpg_3[[#This Row],[data]],2)</f>
        <v>5</v>
      </c>
    </row>
    <row r="278" spans="1:25" x14ac:dyDescent="0.25">
      <c r="A278" s="1">
        <v>41916</v>
      </c>
      <c r="B278">
        <v>106</v>
      </c>
      <c r="C278">
        <f>G277+I277</f>
        <v>37.83</v>
      </c>
      <c r="D278">
        <f>H277+J277</f>
        <v>30</v>
      </c>
      <c r="E278">
        <f>ROUND(IF(lpg[[#This Row],[zbiornik LPG]]&gt;15,0,(lpg[[#This Row],[km]]/2)*6/100),2)</f>
        <v>0</v>
      </c>
      <c r="F278">
        <f>ROUND(IF(lpg[[#This Row],[zbiornik LPG]]&gt;15,lpg[[#This Row],[km]]*9/100,(lpg[[#This Row],[km]]/2)*9/100),2)</f>
        <v>9.5399999999999991</v>
      </c>
      <c r="G278">
        <f>lpg[[#This Row],[zbiornik PB95]]-lpg[[#This Row],[zuzycie PB95]]</f>
        <v>37.83</v>
      </c>
      <c r="H278">
        <f>lpg[[#This Row],[zbiornik LPG]]-lpg[[#This Row],[zyzucie lpg]]</f>
        <v>20.46</v>
      </c>
      <c r="I278">
        <f>IF(lpg[[#This Row],[dzien]]=4,IF(lpg[[#This Row],[pb po trasie]]&lt;40,45-lpg[[#This Row],[pb po trasie]],0),0)</f>
        <v>0</v>
      </c>
      <c r="J278">
        <f>IF(lpg[[#This Row],[lpg po trasie]]&lt;5,30-lpg[[#This Row],[lpg po trasie]],0)</f>
        <v>0</v>
      </c>
      <c r="K278">
        <f>WEEKDAY(lpg[[#This Row],[data]],2)</f>
        <v>6</v>
      </c>
      <c r="O278" s="1">
        <v>41916</v>
      </c>
      <c r="P278">
        <v>106</v>
      </c>
      <c r="Q278">
        <f>U277+W277</f>
        <v>37.83</v>
      </c>
      <c r="R278">
        <f>V277+X277</f>
        <v>30</v>
      </c>
      <c r="S278">
        <f>ROUND(IF(lpg_3[[#This Row],[zbiornik LPG]]&gt;15,0,(lpg_3[[#This Row],[km]]/2)*6/100),2)</f>
        <v>0</v>
      </c>
      <c r="T278">
        <f>ROUND(IF(lpg_3[[#This Row],[zbiornik LPG]]&gt;15,lpg_3[[#This Row],[km]]*9/100,(lpg_3[[#This Row],[km]]/2)*9/100),2)</f>
        <v>9.5399999999999991</v>
      </c>
      <c r="U278">
        <f>lpg_3[[#This Row],[zbiornik PB95]]-lpg_3[[#This Row],[zuzycie PB95]]</f>
        <v>37.83</v>
      </c>
      <c r="V278">
        <f>lpg_3[[#This Row],[zbiornik LPG]]-lpg_3[[#This Row],[zyzucie lpg]]</f>
        <v>20.46</v>
      </c>
      <c r="W278">
        <f>IF(lpg_3[[#This Row],[dzien]]=4,IF(lpg_3[[#This Row],[pb po trasie]]&lt;40,45-lpg_3[[#This Row],[pb po trasie]],0),0)</f>
        <v>0</v>
      </c>
      <c r="X278">
        <f>IF(lpg_3[[#This Row],[lpg po trasie]]&lt;5,30-lpg_3[[#This Row],[lpg po trasie]],0)</f>
        <v>0</v>
      </c>
      <c r="Y278">
        <f>WEEKDAY(lpg_3[[#This Row],[data]],2)</f>
        <v>6</v>
      </c>
    </row>
    <row r="279" spans="1:25" x14ac:dyDescent="0.25">
      <c r="A279" s="1">
        <v>41917</v>
      </c>
      <c r="B279">
        <v>17</v>
      </c>
      <c r="C279">
        <f>G278+I278</f>
        <v>37.83</v>
      </c>
      <c r="D279">
        <f>H278+J278</f>
        <v>20.46</v>
      </c>
      <c r="E279">
        <f>ROUND(IF(lpg[[#This Row],[zbiornik LPG]]&gt;15,0,(lpg[[#This Row],[km]]/2)*6/100),2)</f>
        <v>0</v>
      </c>
      <c r="F279">
        <f>ROUND(IF(lpg[[#This Row],[zbiornik LPG]]&gt;15,lpg[[#This Row],[km]]*9/100,(lpg[[#This Row],[km]]/2)*9/100),2)</f>
        <v>1.53</v>
      </c>
      <c r="G279">
        <f>lpg[[#This Row],[zbiornik PB95]]-lpg[[#This Row],[zuzycie PB95]]</f>
        <v>37.83</v>
      </c>
      <c r="H279">
        <f>lpg[[#This Row],[zbiornik LPG]]-lpg[[#This Row],[zyzucie lpg]]</f>
        <v>18.93</v>
      </c>
      <c r="I279">
        <f>IF(lpg[[#This Row],[dzien]]=4,IF(lpg[[#This Row],[pb po trasie]]&lt;40,45-lpg[[#This Row],[pb po trasie]],0),0)</f>
        <v>0</v>
      </c>
      <c r="J279">
        <f>IF(lpg[[#This Row],[lpg po trasie]]&lt;5,30-lpg[[#This Row],[lpg po trasie]],0)</f>
        <v>0</v>
      </c>
      <c r="K279">
        <f>WEEKDAY(lpg[[#This Row],[data]],2)</f>
        <v>7</v>
      </c>
      <c r="O279" s="1">
        <v>41917</v>
      </c>
      <c r="P279">
        <v>17</v>
      </c>
      <c r="Q279">
        <f>U278+W278</f>
        <v>37.83</v>
      </c>
      <c r="R279">
        <f>V278+X278</f>
        <v>20.46</v>
      </c>
      <c r="S279">
        <f>ROUND(IF(lpg_3[[#This Row],[zbiornik LPG]]&gt;15,0,(lpg_3[[#This Row],[km]]/2)*6/100),2)</f>
        <v>0</v>
      </c>
      <c r="T279">
        <f>ROUND(IF(lpg_3[[#This Row],[zbiornik LPG]]&gt;15,lpg_3[[#This Row],[km]]*9/100,(lpg_3[[#This Row],[km]]/2)*9/100),2)</f>
        <v>1.53</v>
      </c>
      <c r="U279">
        <f>lpg_3[[#This Row],[zbiornik PB95]]-lpg_3[[#This Row],[zuzycie PB95]]</f>
        <v>37.83</v>
      </c>
      <c r="V279">
        <f>lpg_3[[#This Row],[zbiornik LPG]]-lpg_3[[#This Row],[zyzucie lpg]]</f>
        <v>18.93</v>
      </c>
      <c r="W279">
        <f>IF(lpg_3[[#This Row],[dzien]]=4,IF(lpg_3[[#This Row],[pb po trasie]]&lt;40,45-lpg_3[[#This Row],[pb po trasie]],0),0)</f>
        <v>0</v>
      </c>
      <c r="X279">
        <f>IF(lpg_3[[#This Row],[lpg po trasie]]&lt;5,30-lpg_3[[#This Row],[lpg po trasie]],0)</f>
        <v>0</v>
      </c>
      <c r="Y279">
        <f>WEEKDAY(lpg_3[[#This Row],[data]],2)</f>
        <v>7</v>
      </c>
    </row>
    <row r="280" spans="1:25" x14ac:dyDescent="0.25">
      <c r="A280" s="1">
        <v>41918</v>
      </c>
      <c r="B280">
        <v>99</v>
      </c>
      <c r="C280">
        <f>G279+I279</f>
        <v>37.83</v>
      </c>
      <c r="D280">
        <f>H279+J279</f>
        <v>18.93</v>
      </c>
      <c r="E280">
        <f>ROUND(IF(lpg[[#This Row],[zbiornik LPG]]&gt;15,0,(lpg[[#This Row],[km]]/2)*6/100),2)</f>
        <v>0</v>
      </c>
      <c r="F280">
        <f>ROUND(IF(lpg[[#This Row],[zbiornik LPG]]&gt;15,lpg[[#This Row],[km]]*9/100,(lpg[[#This Row],[km]]/2)*9/100),2)</f>
        <v>8.91</v>
      </c>
      <c r="G280">
        <f>lpg[[#This Row],[zbiornik PB95]]-lpg[[#This Row],[zuzycie PB95]]</f>
        <v>37.83</v>
      </c>
      <c r="H280">
        <f>lpg[[#This Row],[zbiornik LPG]]-lpg[[#This Row],[zyzucie lpg]]</f>
        <v>10.02</v>
      </c>
      <c r="I280">
        <f>IF(lpg[[#This Row],[dzien]]=4,IF(lpg[[#This Row],[pb po trasie]]&lt;40,45-lpg[[#This Row],[pb po trasie]],0),0)</f>
        <v>0</v>
      </c>
      <c r="J280">
        <f>IF(lpg[[#This Row],[lpg po trasie]]&lt;5,30-lpg[[#This Row],[lpg po trasie]],0)</f>
        <v>0</v>
      </c>
      <c r="K280">
        <f>WEEKDAY(lpg[[#This Row],[data]],2)</f>
        <v>1</v>
      </c>
      <c r="O280" s="1">
        <v>41918</v>
      </c>
      <c r="P280">
        <v>99</v>
      </c>
      <c r="Q280">
        <f>U279+W279</f>
        <v>37.83</v>
      </c>
      <c r="R280">
        <f>V279+X279</f>
        <v>18.93</v>
      </c>
      <c r="S280">
        <f>ROUND(IF(lpg_3[[#This Row],[zbiornik LPG]]&gt;15,0,(lpg_3[[#This Row],[km]]/2)*6/100),2)</f>
        <v>0</v>
      </c>
      <c r="T280">
        <f>ROUND(IF(lpg_3[[#This Row],[zbiornik LPG]]&gt;15,lpg_3[[#This Row],[km]]*9/100,(lpg_3[[#This Row],[km]]/2)*9/100),2)</f>
        <v>8.91</v>
      </c>
      <c r="U280">
        <f>lpg_3[[#This Row],[zbiornik PB95]]-lpg_3[[#This Row],[zuzycie PB95]]</f>
        <v>37.83</v>
      </c>
      <c r="V280">
        <f>lpg_3[[#This Row],[zbiornik LPG]]-lpg_3[[#This Row],[zyzucie lpg]]</f>
        <v>10.02</v>
      </c>
      <c r="W280">
        <f>IF(lpg_3[[#This Row],[dzien]]=4,IF(lpg_3[[#This Row],[pb po trasie]]&lt;40,45-lpg_3[[#This Row],[pb po trasie]],0),0)</f>
        <v>0</v>
      </c>
      <c r="X280">
        <f>IF(lpg_3[[#This Row],[lpg po trasie]]&lt;5,30-lpg_3[[#This Row],[lpg po trasie]],0)</f>
        <v>0</v>
      </c>
      <c r="Y280">
        <f>WEEKDAY(lpg_3[[#This Row],[data]],2)</f>
        <v>1</v>
      </c>
    </row>
    <row r="281" spans="1:25" x14ac:dyDescent="0.25">
      <c r="A281" s="1">
        <v>41919</v>
      </c>
      <c r="B281">
        <v>30</v>
      </c>
      <c r="C281">
        <f>G280+I280</f>
        <v>37.83</v>
      </c>
      <c r="D281">
        <f>H280+J280</f>
        <v>10.02</v>
      </c>
      <c r="E281">
        <f>ROUND(IF(lpg[[#This Row],[zbiornik LPG]]&gt;15,0,(lpg[[#This Row],[km]]/2)*6/100),2)</f>
        <v>0.9</v>
      </c>
      <c r="F281">
        <f>ROUND(IF(lpg[[#This Row],[zbiornik LPG]]&gt;15,lpg[[#This Row],[km]]*9/100,(lpg[[#This Row],[km]]/2)*9/100),2)</f>
        <v>1.35</v>
      </c>
      <c r="G281">
        <f>lpg[[#This Row],[zbiornik PB95]]-lpg[[#This Row],[zuzycie PB95]]</f>
        <v>36.93</v>
      </c>
      <c r="H281">
        <f>lpg[[#This Row],[zbiornik LPG]]-lpg[[#This Row],[zyzucie lpg]]</f>
        <v>8.67</v>
      </c>
      <c r="I281">
        <f>IF(lpg[[#This Row],[dzien]]=4,IF(lpg[[#This Row],[pb po trasie]]&lt;40,45-lpg[[#This Row],[pb po trasie]],0),0)</f>
        <v>0</v>
      </c>
      <c r="J281">
        <f>IF(lpg[[#This Row],[lpg po trasie]]&lt;5,30-lpg[[#This Row],[lpg po trasie]],0)</f>
        <v>0</v>
      </c>
      <c r="K281">
        <f>WEEKDAY(lpg[[#This Row],[data]],2)</f>
        <v>2</v>
      </c>
      <c r="O281" s="1">
        <v>41919</v>
      </c>
      <c r="P281">
        <v>30</v>
      </c>
      <c r="Q281">
        <f>U280+W280</f>
        <v>37.83</v>
      </c>
      <c r="R281">
        <f>V280+X280</f>
        <v>10.02</v>
      </c>
      <c r="S281">
        <f>ROUND(IF(lpg_3[[#This Row],[zbiornik LPG]]&gt;15,0,(lpg_3[[#This Row],[km]]/2)*6/100),2)</f>
        <v>0.9</v>
      </c>
      <c r="T281">
        <f>ROUND(IF(lpg_3[[#This Row],[zbiornik LPG]]&gt;15,lpg_3[[#This Row],[km]]*9/100,(lpg_3[[#This Row],[km]]/2)*9/100),2)</f>
        <v>1.35</v>
      </c>
      <c r="U281">
        <f>lpg_3[[#This Row],[zbiornik PB95]]-lpg_3[[#This Row],[zuzycie PB95]]</f>
        <v>36.93</v>
      </c>
      <c r="V281">
        <f>lpg_3[[#This Row],[zbiornik LPG]]-lpg_3[[#This Row],[zyzucie lpg]]</f>
        <v>8.67</v>
      </c>
      <c r="W281">
        <f>IF(lpg_3[[#This Row],[dzien]]=4,IF(lpg_3[[#This Row],[pb po trasie]]&lt;40,45-lpg_3[[#This Row],[pb po trasie]],0),0)</f>
        <v>0</v>
      </c>
      <c r="X281">
        <f>IF(lpg_3[[#This Row],[lpg po trasie]]&lt;5,30-lpg_3[[#This Row],[lpg po trasie]],0)</f>
        <v>0</v>
      </c>
      <c r="Y281">
        <f>WEEKDAY(lpg_3[[#This Row],[data]],2)</f>
        <v>2</v>
      </c>
    </row>
    <row r="282" spans="1:25" x14ac:dyDescent="0.25">
      <c r="A282" s="1">
        <v>41920</v>
      </c>
      <c r="B282">
        <v>33</v>
      </c>
      <c r="C282">
        <f>G281+I281</f>
        <v>36.93</v>
      </c>
      <c r="D282">
        <f>H281+J281</f>
        <v>8.67</v>
      </c>
      <c r="E282">
        <f>ROUND(IF(lpg[[#This Row],[zbiornik LPG]]&gt;15,0,(lpg[[#This Row],[km]]/2)*6/100),2)</f>
        <v>0.99</v>
      </c>
      <c r="F282">
        <f>ROUND(IF(lpg[[#This Row],[zbiornik LPG]]&gt;15,lpg[[#This Row],[km]]*9/100,(lpg[[#This Row],[km]]/2)*9/100),2)</f>
        <v>1.49</v>
      </c>
      <c r="G282">
        <f>lpg[[#This Row],[zbiornik PB95]]-lpg[[#This Row],[zuzycie PB95]]</f>
        <v>35.94</v>
      </c>
      <c r="H282">
        <f>lpg[[#This Row],[zbiornik LPG]]-lpg[[#This Row],[zyzucie lpg]]</f>
        <v>7.18</v>
      </c>
      <c r="I282">
        <f>IF(lpg[[#This Row],[dzien]]=4,IF(lpg[[#This Row],[pb po trasie]]&lt;40,45-lpg[[#This Row],[pb po trasie]],0),0)</f>
        <v>0</v>
      </c>
      <c r="J282">
        <f>IF(lpg[[#This Row],[lpg po trasie]]&lt;5,30-lpg[[#This Row],[lpg po trasie]],0)</f>
        <v>0</v>
      </c>
      <c r="K282">
        <f>WEEKDAY(lpg[[#This Row],[data]],2)</f>
        <v>3</v>
      </c>
      <c r="O282" s="1">
        <v>41920</v>
      </c>
      <c r="P282">
        <v>33</v>
      </c>
      <c r="Q282">
        <f>U281+W281</f>
        <v>36.93</v>
      </c>
      <c r="R282">
        <f>V281+X281</f>
        <v>8.67</v>
      </c>
      <c r="S282">
        <f>ROUND(IF(lpg_3[[#This Row],[zbiornik LPG]]&gt;15,0,(lpg_3[[#This Row],[km]]/2)*6/100),2)</f>
        <v>0.99</v>
      </c>
      <c r="T282">
        <f>ROUND(IF(lpg_3[[#This Row],[zbiornik LPG]]&gt;15,lpg_3[[#This Row],[km]]*9/100,(lpg_3[[#This Row],[km]]/2)*9/100),2)</f>
        <v>1.49</v>
      </c>
      <c r="U282">
        <f>lpg_3[[#This Row],[zbiornik PB95]]-lpg_3[[#This Row],[zuzycie PB95]]</f>
        <v>35.94</v>
      </c>
      <c r="V282">
        <f>lpg_3[[#This Row],[zbiornik LPG]]-lpg_3[[#This Row],[zyzucie lpg]]</f>
        <v>7.18</v>
      </c>
      <c r="W282">
        <f>IF(lpg_3[[#This Row],[dzien]]=4,IF(lpg_3[[#This Row],[pb po trasie]]&lt;40,45-lpg_3[[#This Row],[pb po trasie]],0),0)</f>
        <v>0</v>
      </c>
      <c r="X282">
        <f>IF(lpg_3[[#This Row],[lpg po trasie]]&lt;5,30-lpg_3[[#This Row],[lpg po trasie]],0)</f>
        <v>0</v>
      </c>
      <c r="Y282">
        <f>WEEKDAY(lpg_3[[#This Row],[data]],2)</f>
        <v>3</v>
      </c>
    </row>
    <row r="283" spans="1:25" x14ac:dyDescent="0.25">
      <c r="A283" s="1">
        <v>41921</v>
      </c>
      <c r="B283">
        <v>102</v>
      </c>
      <c r="C283">
        <f>G282+I282</f>
        <v>35.94</v>
      </c>
      <c r="D283">
        <f>H282+J282</f>
        <v>7.18</v>
      </c>
      <c r="E283">
        <f>ROUND(IF(lpg[[#This Row],[zbiornik LPG]]&gt;15,0,(lpg[[#This Row],[km]]/2)*6/100),2)</f>
        <v>3.06</v>
      </c>
      <c r="F283">
        <f>ROUND(IF(lpg[[#This Row],[zbiornik LPG]]&gt;15,lpg[[#This Row],[km]]*9/100,(lpg[[#This Row],[km]]/2)*9/100),2)</f>
        <v>4.59</v>
      </c>
      <c r="G283">
        <f>lpg[[#This Row],[zbiornik PB95]]-lpg[[#This Row],[zuzycie PB95]]</f>
        <v>32.879999999999995</v>
      </c>
      <c r="H283">
        <f>lpg[[#This Row],[zbiornik LPG]]-lpg[[#This Row],[zyzucie lpg]]</f>
        <v>2.59</v>
      </c>
      <c r="I283">
        <f>IF(lpg[[#This Row],[dzien]]=4,IF(lpg[[#This Row],[pb po trasie]]&lt;40,45-lpg[[#This Row],[pb po trasie]],0),0)</f>
        <v>12.120000000000005</v>
      </c>
      <c r="J283">
        <f>IF(lpg[[#This Row],[lpg po trasie]]&lt;5,30-lpg[[#This Row],[lpg po trasie]],0)</f>
        <v>27.41</v>
      </c>
      <c r="K283">
        <f>WEEKDAY(lpg[[#This Row],[data]],2)</f>
        <v>4</v>
      </c>
      <c r="O283" s="1">
        <v>41921</v>
      </c>
      <c r="P283">
        <v>102</v>
      </c>
      <c r="Q283">
        <f>U282+W282</f>
        <v>35.94</v>
      </c>
      <c r="R283">
        <f>V282+X282</f>
        <v>7.18</v>
      </c>
      <c r="S283">
        <f>ROUND(IF(lpg_3[[#This Row],[zbiornik LPG]]&gt;15,0,(lpg_3[[#This Row],[km]]/2)*6/100),2)</f>
        <v>3.06</v>
      </c>
      <c r="T283">
        <f>ROUND(IF(lpg_3[[#This Row],[zbiornik LPG]]&gt;15,lpg_3[[#This Row],[km]]*9/100,(lpg_3[[#This Row],[km]]/2)*9/100),2)</f>
        <v>4.59</v>
      </c>
      <c r="U283">
        <f>lpg_3[[#This Row],[zbiornik PB95]]-lpg_3[[#This Row],[zuzycie PB95]]</f>
        <v>32.879999999999995</v>
      </c>
      <c r="V283">
        <f>lpg_3[[#This Row],[zbiornik LPG]]-lpg_3[[#This Row],[zyzucie lpg]]</f>
        <v>2.59</v>
      </c>
      <c r="W283">
        <f>IF(lpg_3[[#This Row],[dzien]]=4,IF(lpg_3[[#This Row],[pb po trasie]]&lt;40,45-lpg_3[[#This Row],[pb po trasie]],0),0)</f>
        <v>12.120000000000005</v>
      </c>
      <c r="X283">
        <f>IF(lpg_3[[#This Row],[lpg po trasie]]&lt;5,30-lpg_3[[#This Row],[lpg po trasie]],0)</f>
        <v>27.41</v>
      </c>
      <c r="Y283">
        <f>WEEKDAY(lpg_3[[#This Row],[data]],2)</f>
        <v>4</v>
      </c>
    </row>
    <row r="284" spans="1:25" x14ac:dyDescent="0.25">
      <c r="A284" s="1">
        <v>41922</v>
      </c>
      <c r="B284">
        <v>175</v>
      </c>
      <c r="C284">
        <f>G283+I283</f>
        <v>45</v>
      </c>
      <c r="D284">
        <f>H283+J283</f>
        <v>30</v>
      </c>
      <c r="E284">
        <f>ROUND(IF(lpg[[#This Row],[zbiornik LPG]]&gt;15,0,(lpg[[#This Row],[km]]/2)*6/100),2)</f>
        <v>0</v>
      </c>
      <c r="F284">
        <f>ROUND(IF(lpg[[#This Row],[zbiornik LPG]]&gt;15,lpg[[#This Row],[km]]*9/100,(lpg[[#This Row],[km]]/2)*9/100),2)</f>
        <v>15.75</v>
      </c>
      <c r="G284">
        <f>lpg[[#This Row],[zbiornik PB95]]-lpg[[#This Row],[zuzycie PB95]]</f>
        <v>45</v>
      </c>
      <c r="H284">
        <f>lpg[[#This Row],[zbiornik LPG]]-lpg[[#This Row],[zyzucie lpg]]</f>
        <v>14.25</v>
      </c>
      <c r="I284">
        <f>IF(lpg[[#This Row],[dzien]]=4,IF(lpg[[#This Row],[pb po trasie]]&lt;40,45-lpg[[#This Row],[pb po trasie]],0),0)</f>
        <v>0</v>
      </c>
      <c r="J284">
        <f>IF(lpg[[#This Row],[lpg po trasie]]&lt;5,30-lpg[[#This Row],[lpg po trasie]],0)</f>
        <v>0</v>
      </c>
      <c r="K284">
        <f>WEEKDAY(lpg[[#This Row],[data]],2)</f>
        <v>5</v>
      </c>
      <c r="O284" s="1">
        <v>41922</v>
      </c>
      <c r="P284">
        <v>175</v>
      </c>
      <c r="Q284">
        <f>U283+W283</f>
        <v>45</v>
      </c>
      <c r="R284">
        <f>V283+X283</f>
        <v>30</v>
      </c>
      <c r="S284">
        <f>ROUND(IF(lpg_3[[#This Row],[zbiornik LPG]]&gt;15,0,(lpg_3[[#This Row],[km]]/2)*6/100),2)</f>
        <v>0</v>
      </c>
      <c r="T284">
        <f>ROUND(IF(lpg_3[[#This Row],[zbiornik LPG]]&gt;15,lpg_3[[#This Row],[km]]*9/100,(lpg_3[[#This Row],[km]]/2)*9/100),2)</f>
        <v>15.75</v>
      </c>
      <c r="U284">
        <f>lpg_3[[#This Row],[zbiornik PB95]]-lpg_3[[#This Row],[zuzycie PB95]]</f>
        <v>45</v>
      </c>
      <c r="V284">
        <f>lpg_3[[#This Row],[zbiornik LPG]]-lpg_3[[#This Row],[zyzucie lpg]]</f>
        <v>14.25</v>
      </c>
      <c r="W284">
        <f>IF(lpg_3[[#This Row],[dzien]]=4,IF(lpg_3[[#This Row],[pb po trasie]]&lt;40,45-lpg_3[[#This Row],[pb po trasie]],0),0)</f>
        <v>0</v>
      </c>
      <c r="X284">
        <f>IF(lpg_3[[#This Row],[lpg po trasie]]&lt;5,30-lpg_3[[#This Row],[lpg po trasie]],0)</f>
        <v>0</v>
      </c>
      <c r="Y284">
        <f>WEEKDAY(lpg_3[[#This Row],[data]],2)</f>
        <v>5</v>
      </c>
    </row>
    <row r="285" spans="1:25" x14ac:dyDescent="0.25">
      <c r="A285" s="1">
        <v>41923</v>
      </c>
      <c r="B285">
        <v>124</v>
      </c>
      <c r="C285">
        <f>G284+I284</f>
        <v>45</v>
      </c>
      <c r="D285">
        <f>H284+J284</f>
        <v>14.25</v>
      </c>
      <c r="E285">
        <f>ROUND(IF(lpg[[#This Row],[zbiornik LPG]]&gt;15,0,(lpg[[#This Row],[km]]/2)*6/100),2)</f>
        <v>3.72</v>
      </c>
      <c r="F285">
        <f>ROUND(IF(lpg[[#This Row],[zbiornik LPG]]&gt;15,lpg[[#This Row],[km]]*9/100,(lpg[[#This Row],[km]]/2)*9/100),2)</f>
        <v>5.58</v>
      </c>
      <c r="G285">
        <f>lpg[[#This Row],[zbiornik PB95]]-lpg[[#This Row],[zuzycie PB95]]</f>
        <v>41.28</v>
      </c>
      <c r="H285">
        <f>lpg[[#This Row],[zbiornik LPG]]-lpg[[#This Row],[zyzucie lpg]]</f>
        <v>8.67</v>
      </c>
      <c r="I285">
        <f>IF(lpg[[#This Row],[dzien]]=4,IF(lpg[[#This Row],[pb po trasie]]&lt;40,45-lpg[[#This Row],[pb po trasie]],0),0)</f>
        <v>0</v>
      </c>
      <c r="J285">
        <f>IF(lpg[[#This Row],[lpg po trasie]]&lt;5,30-lpg[[#This Row],[lpg po trasie]],0)</f>
        <v>0</v>
      </c>
      <c r="K285">
        <f>WEEKDAY(lpg[[#This Row],[data]],2)</f>
        <v>6</v>
      </c>
      <c r="O285" s="1">
        <v>41923</v>
      </c>
      <c r="P285">
        <v>124</v>
      </c>
      <c r="Q285">
        <f>U284+W284</f>
        <v>45</v>
      </c>
      <c r="R285">
        <f>V284+X284</f>
        <v>14.25</v>
      </c>
      <c r="S285">
        <f>ROUND(IF(lpg_3[[#This Row],[zbiornik LPG]]&gt;15,0,(lpg_3[[#This Row],[km]]/2)*6/100),2)</f>
        <v>3.72</v>
      </c>
      <c r="T285">
        <f>ROUND(IF(lpg_3[[#This Row],[zbiornik LPG]]&gt;15,lpg_3[[#This Row],[km]]*9/100,(lpg_3[[#This Row],[km]]/2)*9/100),2)</f>
        <v>5.58</v>
      </c>
      <c r="U285">
        <f>lpg_3[[#This Row],[zbiornik PB95]]-lpg_3[[#This Row],[zuzycie PB95]]</f>
        <v>41.28</v>
      </c>
      <c r="V285">
        <f>lpg_3[[#This Row],[zbiornik LPG]]-lpg_3[[#This Row],[zyzucie lpg]]</f>
        <v>8.67</v>
      </c>
      <c r="W285">
        <f>IF(lpg_3[[#This Row],[dzien]]=4,IF(lpg_3[[#This Row],[pb po trasie]]&lt;40,45-lpg_3[[#This Row],[pb po trasie]],0),0)</f>
        <v>0</v>
      </c>
      <c r="X285">
        <f>IF(lpg_3[[#This Row],[lpg po trasie]]&lt;5,30-lpg_3[[#This Row],[lpg po trasie]],0)</f>
        <v>0</v>
      </c>
      <c r="Y285">
        <f>WEEKDAY(lpg_3[[#This Row],[data]],2)</f>
        <v>6</v>
      </c>
    </row>
    <row r="286" spans="1:25" x14ac:dyDescent="0.25">
      <c r="A286" s="1">
        <v>41924</v>
      </c>
      <c r="B286">
        <v>121</v>
      </c>
      <c r="C286">
        <f>G285+I285</f>
        <v>41.28</v>
      </c>
      <c r="D286">
        <f>H285+J285</f>
        <v>8.67</v>
      </c>
      <c r="E286">
        <f>ROUND(IF(lpg[[#This Row],[zbiornik LPG]]&gt;15,0,(lpg[[#This Row],[km]]/2)*6/100),2)</f>
        <v>3.63</v>
      </c>
      <c r="F286">
        <f>ROUND(IF(lpg[[#This Row],[zbiornik LPG]]&gt;15,lpg[[#This Row],[km]]*9/100,(lpg[[#This Row],[km]]/2)*9/100),2)</f>
        <v>5.45</v>
      </c>
      <c r="G286">
        <f>lpg[[#This Row],[zbiornik PB95]]-lpg[[#This Row],[zuzycie PB95]]</f>
        <v>37.65</v>
      </c>
      <c r="H286">
        <f>lpg[[#This Row],[zbiornik LPG]]-lpg[[#This Row],[zyzucie lpg]]</f>
        <v>3.2199999999999998</v>
      </c>
      <c r="I286">
        <f>IF(lpg[[#This Row],[dzien]]=4,IF(lpg[[#This Row],[pb po trasie]]&lt;40,45-lpg[[#This Row],[pb po trasie]],0),0)</f>
        <v>0</v>
      </c>
      <c r="J286">
        <f>IF(lpg[[#This Row],[lpg po trasie]]&lt;5,30-lpg[[#This Row],[lpg po trasie]],0)</f>
        <v>26.78</v>
      </c>
      <c r="K286">
        <f>WEEKDAY(lpg[[#This Row],[data]],2)</f>
        <v>7</v>
      </c>
      <c r="O286" s="1">
        <v>41924</v>
      </c>
      <c r="P286">
        <v>121</v>
      </c>
      <c r="Q286">
        <f>U285+W285</f>
        <v>41.28</v>
      </c>
      <c r="R286">
        <f>V285+X285</f>
        <v>8.67</v>
      </c>
      <c r="S286">
        <f>ROUND(IF(lpg_3[[#This Row],[zbiornik LPG]]&gt;15,0,(lpg_3[[#This Row],[km]]/2)*6/100),2)</f>
        <v>3.63</v>
      </c>
      <c r="T286">
        <f>ROUND(IF(lpg_3[[#This Row],[zbiornik LPG]]&gt;15,lpg_3[[#This Row],[km]]*9/100,(lpg_3[[#This Row],[km]]/2)*9/100),2)</f>
        <v>5.45</v>
      </c>
      <c r="U286">
        <f>lpg_3[[#This Row],[zbiornik PB95]]-lpg_3[[#This Row],[zuzycie PB95]]</f>
        <v>37.65</v>
      </c>
      <c r="V286">
        <f>lpg_3[[#This Row],[zbiornik LPG]]-lpg_3[[#This Row],[zyzucie lpg]]</f>
        <v>3.2199999999999998</v>
      </c>
      <c r="W286">
        <f>IF(lpg_3[[#This Row],[dzien]]=4,IF(lpg_3[[#This Row],[pb po trasie]]&lt;40,45-lpg_3[[#This Row],[pb po trasie]],0),0)</f>
        <v>0</v>
      </c>
      <c r="X286">
        <f>IF(lpg_3[[#This Row],[lpg po trasie]]&lt;5,30-lpg_3[[#This Row],[lpg po trasie]],0)</f>
        <v>26.78</v>
      </c>
      <c r="Y286">
        <f>WEEKDAY(lpg_3[[#This Row],[data]],2)</f>
        <v>7</v>
      </c>
    </row>
    <row r="287" spans="1:25" x14ac:dyDescent="0.25">
      <c r="A287" s="1">
        <v>41925</v>
      </c>
      <c r="B287">
        <v>60</v>
      </c>
      <c r="C287">
        <f>G286+I286</f>
        <v>37.65</v>
      </c>
      <c r="D287">
        <f>H286+J286</f>
        <v>30</v>
      </c>
      <c r="E287">
        <f>ROUND(IF(lpg[[#This Row],[zbiornik LPG]]&gt;15,0,(lpg[[#This Row],[km]]/2)*6/100),2)</f>
        <v>0</v>
      </c>
      <c r="F287">
        <f>ROUND(IF(lpg[[#This Row],[zbiornik LPG]]&gt;15,lpg[[#This Row],[km]]*9/100,(lpg[[#This Row],[km]]/2)*9/100),2)</f>
        <v>5.4</v>
      </c>
      <c r="G287">
        <f>lpg[[#This Row],[zbiornik PB95]]-lpg[[#This Row],[zuzycie PB95]]</f>
        <v>37.65</v>
      </c>
      <c r="H287">
        <f>lpg[[#This Row],[zbiornik LPG]]-lpg[[#This Row],[zyzucie lpg]]</f>
        <v>24.6</v>
      </c>
      <c r="I287">
        <f>IF(lpg[[#This Row],[dzien]]=4,IF(lpg[[#This Row],[pb po trasie]]&lt;40,45-lpg[[#This Row],[pb po trasie]],0),0)</f>
        <v>0</v>
      </c>
      <c r="J287">
        <f>IF(lpg[[#This Row],[lpg po trasie]]&lt;5,30-lpg[[#This Row],[lpg po trasie]],0)</f>
        <v>0</v>
      </c>
      <c r="K287">
        <f>WEEKDAY(lpg[[#This Row],[data]],2)</f>
        <v>1</v>
      </c>
      <c r="O287" s="1">
        <v>41925</v>
      </c>
      <c r="P287">
        <v>60</v>
      </c>
      <c r="Q287">
        <f>U286+W286</f>
        <v>37.65</v>
      </c>
      <c r="R287">
        <f>V286+X286</f>
        <v>30</v>
      </c>
      <c r="S287">
        <f>ROUND(IF(lpg_3[[#This Row],[zbiornik LPG]]&gt;15,0,(lpg_3[[#This Row],[km]]/2)*6/100),2)</f>
        <v>0</v>
      </c>
      <c r="T287">
        <f>ROUND(IF(lpg_3[[#This Row],[zbiornik LPG]]&gt;15,lpg_3[[#This Row],[km]]*9/100,(lpg_3[[#This Row],[km]]/2)*9/100),2)</f>
        <v>5.4</v>
      </c>
      <c r="U287">
        <f>lpg_3[[#This Row],[zbiornik PB95]]-lpg_3[[#This Row],[zuzycie PB95]]</f>
        <v>37.65</v>
      </c>
      <c r="V287">
        <f>lpg_3[[#This Row],[zbiornik LPG]]-lpg_3[[#This Row],[zyzucie lpg]]</f>
        <v>24.6</v>
      </c>
      <c r="W287">
        <f>IF(lpg_3[[#This Row],[dzien]]=4,IF(lpg_3[[#This Row],[pb po trasie]]&lt;40,45-lpg_3[[#This Row],[pb po trasie]],0),0)</f>
        <v>0</v>
      </c>
      <c r="X287">
        <f>IF(lpg_3[[#This Row],[lpg po trasie]]&lt;5,30-lpg_3[[#This Row],[lpg po trasie]],0)</f>
        <v>0</v>
      </c>
      <c r="Y287">
        <f>WEEKDAY(lpg_3[[#This Row],[data]],2)</f>
        <v>1</v>
      </c>
    </row>
    <row r="288" spans="1:25" x14ac:dyDescent="0.25">
      <c r="A288" s="1">
        <v>41926</v>
      </c>
      <c r="B288">
        <v>55</v>
      </c>
      <c r="C288">
        <f>G287+I287</f>
        <v>37.65</v>
      </c>
      <c r="D288">
        <f>H287+J287</f>
        <v>24.6</v>
      </c>
      <c r="E288">
        <f>ROUND(IF(lpg[[#This Row],[zbiornik LPG]]&gt;15,0,(lpg[[#This Row],[km]]/2)*6/100),2)</f>
        <v>0</v>
      </c>
      <c r="F288">
        <f>ROUND(IF(lpg[[#This Row],[zbiornik LPG]]&gt;15,lpg[[#This Row],[km]]*9/100,(lpg[[#This Row],[km]]/2)*9/100),2)</f>
        <v>4.95</v>
      </c>
      <c r="G288">
        <f>lpg[[#This Row],[zbiornik PB95]]-lpg[[#This Row],[zuzycie PB95]]</f>
        <v>37.65</v>
      </c>
      <c r="H288">
        <f>lpg[[#This Row],[zbiornik LPG]]-lpg[[#This Row],[zyzucie lpg]]</f>
        <v>19.650000000000002</v>
      </c>
      <c r="I288">
        <f>IF(lpg[[#This Row],[dzien]]=4,IF(lpg[[#This Row],[pb po trasie]]&lt;40,45-lpg[[#This Row],[pb po trasie]],0),0)</f>
        <v>0</v>
      </c>
      <c r="J288">
        <f>IF(lpg[[#This Row],[lpg po trasie]]&lt;5,30-lpg[[#This Row],[lpg po trasie]],0)</f>
        <v>0</v>
      </c>
      <c r="K288">
        <f>WEEKDAY(lpg[[#This Row],[data]],2)</f>
        <v>2</v>
      </c>
      <c r="O288" s="1">
        <v>41926</v>
      </c>
      <c r="P288">
        <v>55</v>
      </c>
      <c r="Q288">
        <f>U287+W287</f>
        <v>37.65</v>
      </c>
      <c r="R288">
        <f>V287+X287</f>
        <v>24.6</v>
      </c>
      <c r="S288">
        <f>ROUND(IF(lpg_3[[#This Row],[zbiornik LPG]]&gt;15,0,(lpg_3[[#This Row],[km]]/2)*6/100),2)</f>
        <v>0</v>
      </c>
      <c r="T288">
        <f>ROUND(IF(lpg_3[[#This Row],[zbiornik LPG]]&gt;15,lpg_3[[#This Row],[km]]*9/100,(lpg_3[[#This Row],[km]]/2)*9/100),2)</f>
        <v>4.95</v>
      </c>
      <c r="U288">
        <f>lpg_3[[#This Row],[zbiornik PB95]]-lpg_3[[#This Row],[zuzycie PB95]]</f>
        <v>37.65</v>
      </c>
      <c r="V288">
        <f>lpg_3[[#This Row],[zbiornik LPG]]-lpg_3[[#This Row],[zyzucie lpg]]</f>
        <v>19.650000000000002</v>
      </c>
      <c r="W288">
        <f>IF(lpg_3[[#This Row],[dzien]]=4,IF(lpg_3[[#This Row],[pb po trasie]]&lt;40,45-lpg_3[[#This Row],[pb po trasie]],0),0)</f>
        <v>0</v>
      </c>
      <c r="X288">
        <f>IF(lpg_3[[#This Row],[lpg po trasie]]&lt;5,30-lpg_3[[#This Row],[lpg po trasie]],0)</f>
        <v>0</v>
      </c>
      <c r="Y288">
        <f>WEEKDAY(lpg_3[[#This Row],[data]],2)</f>
        <v>2</v>
      </c>
    </row>
    <row r="289" spans="1:25" x14ac:dyDescent="0.25">
      <c r="A289" s="1">
        <v>41927</v>
      </c>
      <c r="B289">
        <v>116</v>
      </c>
      <c r="C289">
        <f>G288+I288</f>
        <v>37.65</v>
      </c>
      <c r="D289">
        <f>H288+J288</f>
        <v>19.650000000000002</v>
      </c>
      <c r="E289">
        <f>ROUND(IF(lpg[[#This Row],[zbiornik LPG]]&gt;15,0,(lpg[[#This Row],[km]]/2)*6/100),2)</f>
        <v>0</v>
      </c>
      <c r="F289">
        <f>ROUND(IF(lpg[[#This Row],[zbiornik LPG]]&gt;15,lpg[[#This Row],[km]]*9/100,(lpg[[#This Row],[km]]/2)*9/100),2)</f>
        <v>10.44</v>
      </c>
      <c r="G289">
        <f>lpg[[#This Row],[zbiornik PB95]]-lpg[[#This Row],[zuzycie PB95]]</f>
        <v>37.65</v>
      </c>
      <c r="H289">
        <f>lpg[[#This Row],[zbiornik LPG]]-lpg[[#This Row],[zyzucie lpg]]</f>
        <v>9.2100000000000026</v>
      </c>
      <c r="I289">
        <f>IF(lpg[[#This Row],[dzien]]=4,IF(lpg[[#This Row],[pb po trasie]]&lt;40,45-lpg[[#This Row],[pb po trasie]],0),0)</f>
        <v>0</v>
      </c>
      <c r="J289">
        <f>IF(lpg[[#This Row],[lpg po trasie]]&lt;5,30-lpg[[#This Row],[lpg po trasie]],0)</f>
        <v>0</v>
      </c>
      <c r="K289">
        <f>WEEKDAY(lpg[[#This Row],[data]],2)</f>
        <v>3</v>
      </c>
      <c r="O289" s="1">
        <v>41927</v>
      </c>
      <c r="P289">
        <v>116</v>
      </c>
      <c r="Q289">
        <f>U288+W288</f>
        <v>37.65</v>
      </c>
      <c r="R289">
        <f>V288+X288</f>
        <v>19.650000000000002</v>
      </c>
      <c r="S289">
        <f>ROUND(IF(lpg_3[[#This Row],[zbiornik LPG]]&gt;15,0,(lpg_3[[#This Row],[km]]/2)*6/100),2)</f>
        <v>0</v>
      </c>
      <c r="T289">
        <f>ROUND(IF(lpg_3[[#This Row],[zbiornik LPG]]&gt;15,lpg_3[[#This Row],[km]]*9/100,(lpg_3[[#This Row],[km]]/2)*9/100),2)</f>
        <v>10.44</v>
      </c>
      <c r="U289">
        <f>lpg_3[[#This Row],[zbiornik PB95]]-lpg_3[[#This Row],[zuzycie PB95]]</f>
        <v>37.65</v>
      </c>
      <c r="V289">
        <f>lpg_3[[#This Row],[zbiornik LPG]]-lpg_3[[#This Row],[zyzucie lpg]]</f>
        <v>9.2100000000000026</v>
      </c>
      <c r="W289">
        <f>IF(lpg_3[[#This Row],[dzien]]=4,IF(lpg_3[[#This Row],[pb po trasie]]&lt;40,45-lpg_3[[#This Row],[pb po trasie]],0),0)</f>
        <v>0</v>
      </c>
      <c r="X289">
        <f>IF(lpg_3[[#This Row],[lpg po trasie]]&lt;5,30-lpg_3[[#This Row],[lpg po trasie]],0)</f>
        <v>0</v>
      </c>
      <c r="Y289">
        <f>WEEKDAY(lpg_3[[#This Row],[data]],2)</f>
        <v>3</v>
      </c>
    </row>
    <row r="290" spans="1:25" x14ac:dyDescent="0.25">
      <c r="A290" s="1">
        <v>41928</v>
      </c>
      <c r="B290">
        <v>123</v>
      </c>
      <c r="C290">
        <f>G289+I289</f>
        <v>37.65</v>
      </c>
      <c r="D290">
        <f>H289+J289</f>
        <v>9.2100000000000026</v>
      </c>
      <c r="E290">
        <f>ROUND(IF(lpg[[#This Row],[zbiornik LPG]]&gt;15,0,(lpg[[#This Row],[km]]/2)*6/100),2)</f>
        <v>3.69</v>
      </c>
      <c r="F290">
        <f>ROUND(IF(lpg[[#This Row],[zbiornik LPG]]&gt;15,lpg[[#This Row],[km]]*9/100,(lpg[[#This Row],[km]]/2)*9/100),2)</f>
        <v>5.54</v>
      </c>
      <c r="G290">
        <f>lpg[[#This Row],[zbiornik PB95]]-lpg[[#This Row],[zuzycie PB95]]</f>
        <v>33.96</v>
      </c>
      <c r="H290">
        <f>lpg[[#This Row],[zbiornik LPG]]-lpg[[#This Row],[zyzucie lpg]]</f>
        <v>3.6700000000000026</v>
      </c>
      <c r="I290">
        <f>IF(lpg[[#This Row],[dzien]]=4,IF(lpg[[#This Row],[pb po trasie]]&lt;40,45-lpg[[#This Row],[pb po trasie]],0),0)</f>
        <v>11.04</v>
      </c>
      <c r="J290">
        <f>IF(lpg[[#This Row],[lpg po trasie]]&lt;5,30-lpg[[#This Row],[lpg po trasie]],0)</f>
        <v>26.33</v>
      </c>
      <c r="K290">
        <f>WEEKDAY(lpg[[#This Row],[data]],2)</f>
        <v>4</v>
      </c>
      <c r="O290" s="1">
        <v>41928</v>
      </c>
      <c r="P290">
        <v>123</v>
      </c>
      <c r="Q290">
        <f>U289+W289</f>
        <v>37.65</v>
      </c>
      <c r="R290">
        <f>V289+X289</f>
        <v>9.2100000000000026</v>
      </c>
      <c r="S290">
        <f>ROUND(IF(lpg_3[[#This Row],[zbiornik LPG]]&gt;15,0,(lpg_3[[#This Row],[km]]/2)*6/100),2)</f>
        <v>3.69</v>
      </c>
      <c r="T290">
        <f>ROUND(IF(lpg_3[[#This Row],[zbiornik LPG]]&gt;15,lpg_3[[#This Row],[km]]*9/100,(lpg_3[[#This Row],[km]]/2)*9/100),2)</f>
        <v>5.54</v>
      </c>
      <c r="U290">
        <f>lpg_3[[#This Row],[zbiornik PB95]]-lpg_3[[#This Row],[zuzycie PB95]]</f>
        <v>33.96</v>
      </c>
      <c r="V290">
        <f>lpg_3[[#This Row],[zbiornik LPG]]-lpg_3[[#This Row],[zyzucie lpg]]</f>
        <v>3.6700000000000026</v>
      </c>
      <c r="W290">
        <f>IF(lpg_3[[#This Row],[dzien]]=4,IF(lpg_3[[#This Row],[pb po trasie]]&lt;40,45-lpg_3[[#This Row],[pb po trasie]],0),0)</f>
        <v>11.04</v>
      </c>
      <c r="X290">
        <f>IF(lpg_3[[#This Row],[lpg po trasie]]&lt;5,30-lpg_3[[#This Row],[lpg po trasie]],0)</f>
        <v>26.33</v>
      </c>
      <c r="Y290">
        <f>WEEKDAY(lpg_3[[#This Row],[data]],2)</f>
        <v>4</v>
      </c>
    </row>
    <row r="291" spans="1:25" x14ac:dyDescent="0.25">
      <c r="A291" s="1">
        <v>41929</v>
      </c>
      <c r="B291">
        <v>123</v>
      </c>
      <c r="C291">
        <f>G290+I290</f>
        <v>45</v>
      </c>
      <c r="D291">
        <f>H290+J290</f>
        <v>30</v>
      </c>
      <c r="E291">
        <f>ROUND(IF(lpg[[#This Row],[zbiornik LPG]]&gt;15,0,(lpg[[#This Row],[km]]/2)*6/100),2)</f>
        <v>0</v>
      </c>
      <c r="F291">
        <f>ROUND(IF(lpg[[#This Row],[zbiornik LPG]]&gt;15,lpg[[#This Row],[km]]*9/100,(lpg[[#This Row],[km]]/2)*9/100),2)</f>
        <v>11.07</v>
      </c>
      <c r="G291">
        <f>lpg[[#This Row],[zbiornik PB95]]-lpg[[#This Row],[zuzycie PB95]]</f>
        <v>45</v>
      </c>
      <c r="H291">
        <f>lpg[[#This Row],[zbiornik LPG]]-lpg[[#This Row],[zyzucie lpg]]</f>
        <v>18.93</v>
      </c>
      <c r="I291">
        <f>IF(lpg[[#This Row],[dzien]]=4,IF(lpg[[#This Row],[pb po trasie]]&lt;40,45-lpg[[#This Row],[pb po trasie]],0),0)</f>
        <v>0</v>
      </c>
      <c r="J291">
        <f>IF(lpg[[#This Row],[lpg po trasie]]&lt;5,30-lpg[[#This Row],[lpg po trasie]],0)</f>
        <v>0</v>
      </c>
      <c r="K291">
        <f>WEEKDAY(lpg[[#This Row],[data]],2)</f>
        <v>5</v>
      </c>
      <c r="O291" s="1">
        <v>41929</v>
      </c>
      <c r="P291">
        <v>123</v>
      </c>
      <c r="Q291">
        <f>U290+W290</f>
        <v>45</v>
      </c>
      <c r="R291">
        <f>V290+X290</f>
        <v>30</v>
      </c>
      <c r="S291">
        <f>ROUND(IF(lpg_3[[#This Row],[zbiornik LPG]]&gt;15,0,(lpg_3[[#This Row],[km]]/2)*6/100),2)</f>
        <v>0</v>
      </c>
      <c r="T291">
        <f>ROUND(IF(lpg_3[[#This Row],[zbiornik LPG]]&gt;15,lpg_3[[#This Row],[km]]*9/100,(lpg_3[[#This Row],[km]]/2)*9/100),2)</f>
        <v>11.07</v>
      </c>
      <c r="U291">
        <f>lpg_3[[#This Row],[zbiornik PB95]]-lpg_3[[#This Row],[zuzycie PB95]]</f>
        <v>45</v>
      </c>
      <c r="V291">
        <f>lpg_3[[#This Row],[zbiornik LPG]]-lpg_3[[#This Row],[zyzucie lpg]]</f>
        <v>18.93</v>
      </c>
      <c r="W291">
        <f>IF(lpg_3[[#This Row],[dzien]]=4,IF(lpg_3[[#This Row],[pb po trasie]]&lt;40,45-lpg_3[[#This Row],[pb po trasie]],0),0)</f>
        <v>0</v>
      </c>
      <c r="X291">
        <f>IF(lpg_3[[#This Row],[lpg po trasie]]&lt;5,30-lpg_3[[#This Row],[lpg po trasie]],0)</f>
        <v>0</v>
      </c>
      <c r="Y291">
        <f>WEEKDAY(lpg_3[[#This Row],[data]],2)</f>
        <v>5</v>
      </c>
    </row>
    <row r="292" spans="1:25" x14ac:dyDescent="0.25">
      <c r="A292" s="1">
        <v>41930</v>
      </c>
      <c r="B292">
        <v>145</v>
      </c>
      <c r="C292">
        <f>G291+I291</f>
        <v>45</v>
      </c>
      <c r="D292">
        <f>H291+J291</f>
        <v>18.93</v>
      </c>
      <c r="E292">
        <f>ROUND(IF(lpg[[#This Row],[zbiornik LPG]]&gt;15,0,(lpg[[#This Row],[km]]/2)*6/100),2)</f>
        <v>0</v>
      </c>
      <c r="F292">
        <f>ROUND(IF(lpg[[#This Row],[zbiornik LPG]]&gt;15,lpg[[#This Row],[km]]*9/100,(lpg[[#This Row],[km]]/2)*9/100),2)</f>
        <v>13.05</v>
      </c>
      <c r="G292">
        <f>lpg[[#This Row],[zbiornik PB95]]-lpg[[#This Row],[zuzycie PB95]]</f>
        <v>45</v>
      </c>
      <c r="H292">
        <f>lpg[[#This Row],[zbiornik LPG]]-lpg[[#This Row],[zyzucie lpg]]</f>
        <v>5.879999999999999</v>
      </c>
      <c r="I292">
        <f>IF(lpg[[#This Row],[dzien]]=4,IF(lpg[[#This Row],[pb po trasie]]&lt;40,45-lpg[[#This Row],[pb po trasie]],0),0)</f>
        <v>0</v>
      </c>
      <c r="J292">
        <f>IF(lpg[[#This Row],[lpg po trasie]]&lt;5,30-lpg[[#This Row],[lpg po trasie]],0)</f>
        <v>0</v>
      </c>
      <c r="K292">
        <f>WEEKDAY(lpg[[#This Row],[data]],2)</f>
        <v>6</v>
      </c>
      <c r="O292" s="1">
        <v>41930</v>
      </c>
      <c r="P292">
        <v>145</v>
      </c>
      <c r="Q292">
        <f>U291+W291</f>
        <v>45</v>
      </c>
      <c r="R292">
        <f>V291+X291</f>
        <v>18.93</v>
      </c>
      <c r="S292">
        <f>ROUND(IF(lpg_3[[#This Row],[zbiornik LPG]]&gt;15,0,(lpg_3[[#This Row],[km]]/2)*6/100),2)</f>
        <v>0</v>
      </c>
      <c r="T292">
        <f>ROUND(IF(lpg_3[[#This Row],[zbiornik LPG]]&gt;15,lpg_3[[#This Row],[km]]*9/100,(lpg_3[[#This Row],[km]]/2)*9/100),2)</f>
        <v>13.05</v>
      </c>
      <c r="U292">
        <f>lpg_3[[#This Row],[zbiornik PB95]]-lpg_3[[#This Row],[zuzycie PB95]]</f>
        <v>45</v>
      </c>
      <c r="V292">
        <f>lpg_3[[#This Row],[zbiornik LPG]]-lpg_3[[#This Row],[zyzucie lpg]]</f>
        <v>5.879999999999999</v>
      </c>
      <c r="W292">
        <f>IF(lpg_3[[#This Row],[dzien]]=4,IF(lpg_3[[#This Row],[pb po trasie]]&lt;40,45-lpg_3[[#This Row],[pb po trasie]],0),0)</f>
        <v>0</v>
      </c>
      <c r="X292">
        <f>IF(lpg_3[[#This Row],[lpg po trasie]]&lt;5,30-lpg_3[[#This Row],[lpg po trasie]],0)</f>
        <v>0</v>
      </c>
      <c r="Y292">
        <f>WEEKDAY(lpg_3[[#This Row],[data]],2)</f>
        <v>6</v>
      </c>
    </row>
    <row r="293" spans="1:25" x14ac:dyDescent="0.25">
      <c r="A293" s="1">
        <v>41931</v>
      </c>
      <c r="B293">
        <v>87</v>
      </c>
      <c r="C293">
        <f>G292+I292</f>
        <v>45</v>
      </c>
      <c r="D293">
        <f>H292+J292</f>
        <v>5.879999999999999</v>
      </c>
      <c r="E293">
        <f>ROUND(IF(lpg[[#This Row],[zbiornik LPG]]&gt;15,0,(lpg[[#This Row],[km]]/2)*6/100),2)</f>
        <v>2.61</v>
      </c>
      <c r="F293">
        <f>ROUND(IF(lpg[[#This Row],[zbiornik LPG]]&gt;15,lpg[[#This Row],[km]]*9/100,(lpg[[#This Row],[km]]/2)*9/100),2)</f>
        <v>3.92</v>
      </c>
      <c r="G293">
        <f>lpg[[#This Row],[zbiornik PB95]]-lpg[[#This Row],[zuzycie PB95]]</f>
        <v>42.39</v>
      </c>
      <c r="H293">
        <f>lpg[[#This Row],[zbiornik LPG]]-lpg[[#This Row],[zyzucie lpg]]</f>
        <v>1.9599999999999991</v>
      </c>
      <c r="I293">
        <f>IF(lpg[[#This Row],[dzien]]=4,IF(lpg[[#This Row],[pb po trasie]]&lt;40,45-lpg[[#This Row],[pb po trasie]],0),0)</f>
        <v>0</v>
      </c>
      <c r="J293">
        <f>IF(lpg[[#This Row],[lpg po trasie]]&lt;5,30-lpg[[#This Row],[lpg po trasie]],0)</f>
        <v>28.04</v>
      </c>
      <c r="K293">
        <f>WEEKDAY(lpg[[#This Row],[data]],2)</f>
        <v>7</v>
      </c>
      <c r="O293" s="1">
        <v>41931</v>
      </c>
      <c r="P293">
        <v>87</v>
      </c>
      <c r="Q293">
        <f>U292+W292</f>
        <v>45</v>
      </c>
      <c r="R293">
        <f>V292+X292</f>
        <v>5.879999999999999</v>
      </c>
      <c r="S293">
        <f>ROUND(IF(lpg_3[[#This Row],[zbiornik LPG]]&gt;15,0,(lpg_3[[#This Row],[km]]/2)*6/100),2)</f>
        <v>2.61</v>
      </c>
      <c r="T293">
        <f>ROUND(IF(lpg_3[[#This Row],[zbiornik LPG]]&gt;15,lpg_3[[#This Row],[km]]*9/100,(lpg_3[[#This Row],[km]]/2)*9/100),2)</f>
        <v>3.92</v>
      </c>
      <c r="U293">
        <f>lpg_3[[#This Row],[zbiornik PB95]]-lpg_3[[#This Row],[zuzycie PB95]]</f>
        <v>42.39</v>
      </c>
      <c r="V293">
        <f>lpg_3[[#This Row],[zbiornik LPG]]-lpg_3[[#This Row],[zyzucie lpg]]</f>
        <v>1.9599999999999991</v>
      </c>
      <c r="W293">
        <f>IF(lpg_3[[#This Row],[dzien]]=4,IF(lpg_3[[#This Row],[pb po trasie]]&lt;40,45-lpg_3[[#This Row],[pb po trasie]],0),0)</f>
        <v>0</v>
      </c>
      <c r="X293">
        <f>IF(lpg_3[[#This Row],[lpg po trasie]]&lt;5,30-lpg_3[[#This Row],[lpg po trasie]],0)</f>
        <v>28.04</v>
      </c>
      <c r="Y293">
        <f>WEEKDAY(lpg_3[[#This Row],[data]],2)</f>
        <v>7</v>
      </c>
    </row>
    <row r="294" spans="1:25" x14ac:dyDescent="0.25">
      <c r="A294" s="1">
        <v>41932</v>
      </c>
      <c r="B294">
        <v>117</v>
      </c>
      <c r="C294">
        <f>G293+I293</f>
        <v>42.39</v>
      </c>
      <c r="D294">
        <f>H293+J293</f>
        <v>30</v>
      </c>
      <c r="E294">
        <f>ROUND(IF(lpg[[#This Row],[zbiornik LPG]]&gt;15,0,(lpg[[#This Row],[km]]/2)*6/100),2)</f>
        <v>0</v>
      </c>
      <c r="F294">
        <f>ROUND(IF(lpg[[#This Row],[zbiornik LPG]]&gt;15,lpg[[#This Row],[km]]*9/100,(lpg[[#This Row],[km]]/2)*9/100),2)</f>
        <v>10.53</v>
      </c>
      <c r="G294">
        <f>lpg[[#This Row],[zbiornik PB95]]-lpg[[#This Row],[zuzycie PB95]]</f>
        <v>42.39</v>
      </c>
      <c r="H294">
        <f>lpg[[#This Row],[zbiornik LPG]]-lpg[[#This Row],[zyzucie lpg]]</f>
        <v>19.47</v>
      </c>
      <c r="I294">
        <f>IF(lpg[[#This Row],[dzien]]=4,IF(lpg[[#This Row],[pb po trasie]]&lt;40,45-lpg[[#This Row],[pb po trasie]],0),0)</f>
        <v>0</v>
      </c>
      <c r="J294">
        <f>IF(lpg[[#This Row],[lpg po trasie]]&lt;5,30-lpg[[#This Row],[lpg po trasie]],0)</f>
        <v>0</v>
      </c>
      <c r="K294">
        <f>WEEKDAY(lpg[[#This Row],[data]],2)</f>
        <v>1</v>
      </c>
      <c r="O294" s="1">
        <v>41932</v>
      </c>
      <c r="P294">
        <v>117</v>
      </c>
      <c r="Q294">
        <f>U293+W293</f>
        <v>42.39</v>
      </c>
      <c r="R294">
        <f>V293+X293</f>
        <v>30</v>
      </c>
      <c r="S294">
        <f>ROUND(IF(lpg_3[[#This Row],[zbiornik LPG]]&gt;15,0,(lpg_3[[#This Row],[km]]/2)*6/100),2)</f>
        <v>0</v>
      </c>
      <c r="T294">
        <f>ROUND(IF(lpg_3[[#This Row],[zbiornik LPG]]&gt;15,lpg_3[[#This Row],[km]]*9/100,(lpg_3[[#This Row],[km]]/2)*9/100),2)</f>
        <v>10.53</v>
      </c>
      <c r="U294">
        <f>lpg_3[[#This Row],[zbiornik PB95]]-lpg_3[[#This Row],[zuzycie PB95]]</f>
        <v>42.39</v>
      </c>
      <c r="V294">
        <f>lpg_3[[#This Row],[zbiornik LPG]]-lpg_3[[#This Row],[zyzucie lpg]]</f>
        <v>19.47</v>
      </c>
      <c r="W294">
        <f>IF(lpg_3[[#This Row],[dzien]]=4,IF(lpg_3[[#This Row],[pb po trasie]]&lt;40,45-lpg_3[[#This Row],[pb po trasie]],0),0)</f>
        <v>0</v>
      </c>
      <c r="X294">
        <f>IF(lpg_3[[#This Row],[lpg po trasie]]&lt;5,30-lpg_3[[#This Row],[lpg po trasie]],0)</f>
        <v>0</v>
      </c>
      <c r="Y294">
        <f>WEEKDAY(lpg_3[[#This Row],[data]],2)</f>
        <v>1</v>
      </c>
    </row>
    <row r="295" spans="1:25" x14ac:dyDescent="0.25">
      <c r="A295" s="1">
        <v>41933</v>
      </c>
      <c r="B295">
        <v>61</v>
      </c>
      <c r="C295">
        <f>G294+I294</f>
        <v>42.39</v>
      </c>
      <c r="D295">
        <f>H294+J294</f>
        <v>19.47</v>
      </c>
      <c r="E295">
        <f>ROUND(IF(lpg[[#This Row],[zbiornik LPG]]&gt;15,0,(lpg[[#This Row],[km]]/2)*6/100),2)</f>
        <v>0</v>
      </c>
      <c r="F295">
        <f>ROUND(IF(lpg[[#This Row],[zbiornik LPG]]&gt;15,lpg[[#This Row],[km]]*9/100,(lpg[[#This Row],[km]]/2)*9/100),2)</f>
        <v>5.49</v>
      </c>
      <c r="G295">
        <f>lpg[[#This Row],[zbiornik PB95]]-lpg[[#This Row],[zuzycie PB95]]</f>
        <v>42.39</v>
      </c>
      <c r="H295">
        <f>lpg[[#This Row],[zbiornik LPG]]-lpg[[#This Row],[zyzucie lpg]]</f>
        <v>13.979999999999999</v>
      </c>
      <c r="I295">
        <f>IF(lpg[[#This Row],[dzien]]=4,IF(lpg[[#This Row],[pb po trasie]]&lt;40,45-lpg[[#This Row],[pb po trasie]],0),0)</f>
        <v>0</v>
      </c>
      <c r="J295">
        <f>IF(lpg[[#This Row],[lpg po trasie]]&lt;5,30-lpg[[#This Row],[lpg po trasie]],0)</f>
        <v>0</v>
      </c>
      <c r="K295">
        <f>WEEKDAY(lpg[[#This Row],[data]],2)</f>
        <v>2</v>
      </c>
      <c r="O295" s="1">
        <v>41933</v>
      </c>
      <c r="P295">
        <v>61</v>
      </c>
      <c r="Q295">
        <f>U294+W294</f>
        <v>42.39</v>
      </c>
      <c r="R295">
        <f>V294+X294</f>
        <v>19.47</v>
      </c>
      <c r="S295">
        <f>ROUND(IF(lpg_3[[#This Row],[zbiornik LPG]]&gt;15,0,(lpg_3[[#This Row],[km]]/2)*6/100),2)</f>
        <v>0</v>
      </c>
      <c r="T295">
        <f>ROUND(IF(lpg_3[[#This Row],[zbiornik LPG]]&gt;15,lpg_3[[#This Row],[km]]*9/100,(lpg_3[[#This Row],[km]]/2)*9/100),2)</f>
        <v>5.49</v>
      </c>
      <c r="U295">
        <f>lpg_3[[#This Row],[zbiornik PB95]]-lpg_3[[#This Row],[zuzycie PB95]]</f>
        <v>42.39</v>
      </c>
      <c r="V295">
        <f>lpg_3[[#This Row],[zbiornik LPG]]-lpg_3[[#This Row],[zyzucie lpg]]</f>
        <v>13.979999999999999</v>
      </c>
      <c r="W295">
        <f>IF(lpg_3[[#This Row],[dzien]]=4,IF(lpg_3[[#This Row],[pb po trasie]]&lt;40,45-lpg_3[[#This Row],[pb po trasie]],0),0)</f>
        <v>0</v>
      </c>
      <c r="X295">
        <f>IF(lpg_3[[#This Row],[lpg po trasie]]&lt;5,30-lpg_3[[#This Row],[lpg po trasie]],0)</f>
        <v>0</v>
      </c>
      <c r="Y295">
        <f>WEEKDAY(lpg_3[[#This Row],[data]],2)</f>
        <v>2</v>
      </c>
    </row>
    <row r="296" spans="1:25" x14ac:dyDescent="0.25">
      <c r="A296" s="1">
        <v>41934</v>
      </c>
      <c r="B296">
        <v>94</v>
      </c>
      <c r="C296">
        <f>G295+I295</f>
        <v>42.39</v>
      </c>
      <c r="D296">
        <f>H295+J295</f>
        <v>13.979999999999999</v>
      </c>
      <c r="E296">
        <f>ROUND(IF(lpg[[#This Row],[zbiornik LPG]]&gt;15,0,(lpg[[#This Row],[km]]/2)*6/100),2)</f>
        <v>2.82</v>
      </c>
      <c r="F296">
        <f>ROUND(IF(lpg[[#This Row],[zbiornik LPG]]&gt;15,lpg[[#This Row],[km]]*9/100,(lpg[[#This Row],[km]]/2)*9/100),2)</f>
        <v>4.2300000000000004</v>
      </c>
      <c r="G296">
        <f>lpg[[#This Row],[zbiornik PB95]]-lpg[[#This Row],[zuzycie PB95]]</f>
        <v>39.57</v>
      </c>
      <c r="H296">
        <f>lpg[[#This Row],[zbiornik LPG]]-lpg[[#This Row],[zyzucie lpg]]</f>
        <v>9.7499999999999982</v>
      </c>
      <c r="I296">
        <f>IF(lpg[[#This Row],[dzien]]=4,IF(lpg[[#This Row],[pb po trasie]]&lt;40,45-lpg[[#This Row],[pb po trasie]],0),0)</f>
        <v>0</v>
      </c>
      <c r="J296">
        <f>IF(lpg[[#This Row],[lpg po trasie]]&lt;5,30-lpg[[#This Row],[lpg po trasie]],0)</f>
        <v>0</v>
      </c>
      <c r="K296">
        <f>WEEKDAY(lpg[[#This Row],[data]],2)</f>
        <v>3</v>
      </c>
      <c r="O296" s="1">
        <v>41934</v>
      </c>
      <c r="P296">
        <v>94</v>
      </c>
      <c r="Q296">
        <f>U295+W295</f>
        <v>42.39</v>
      </c>
      <c r="R296">
        <f>V295+X295</f>
        <v>13.979999999999999</v>
      </c>
      <c r="S296">
        <f>ROUND(IF(lpg_3[[#This Row],[zbiornik LPG]]&gt;15,0,(lpg_3[[#This Row],[km]]/2)*6/100),2)</f>
        <v>2.82</v>
      </c>
      <c r="T296">
        <f>ROUND(IF(lpg_3[[#This Row],[zbiornik LPG]]&gt;15,lpg_3[[#This Row],[km]]*9/100,(lpg_3[[#This Row],[km]]/2)*9/100),2)</f>
        <v>4.2300000000000004</v>
      </c>
      <c r="U296">
        <f>lpg_3[[#This Row],[zbiornik PB95]]-lpg_3[[#This Row],[zuzycie PB95]]</f>
        <v>39.57</v>
      </c>
      <c r="V296">
        <f>lpg_3[[#This Row],[zbiornik LPG]]-lpg_3[[#This Row],[zyzucie lpg]]</f>
        <v>9.7499999999999982</v>
      </c>
      <c r="W296">
        <f>IF(lpg_3[[#This Row],[dzien]]=4,IF(lpg_3[[#This Row],[pb po trasie]]&lt;40,45-lpg_3[[#This Row],[pb po trasie]],0),0)</f>
        <v>0</v>
      </c>
      <c r="X296">
        <f>IF(lpg_3[[#This Row],[lpg po trasie]]&lt;5,30-lpg_3[[#This Row],[lpg po trasie]],0)</f>
        <v>0</v>
      </c>
      <c r="Y296">
        <f>WEEKDAY(lpg_3[[#This Row],[data]],2)</f>
        <v>3</v>
      </c>
    </row>
    <row r="297" spans="1:25" x14ac:dyDescent="0.25">
      <c r="A297" s="1">
        <v>41935</v>
      </c>
      <c r="B297">
        <v>113</v>
      </c>
      <c r="C297">
        <f>G296+I296</f>
        <v>39.57</v>
      </c>
      <c r="D297">
        <f>H296+J296</f>
        <v>9.7499999999999982</v>
      </c>
      <c r="E297">
        <f>ROUND(IF(lpg[[#This Row],[zbiornik LPG]]&gt;15,0,(lpg[[#This Row],[km]]/2)*6/100),2)</f>
        <v>3.39</v>
      </c>
      <c r="F297">
        <f>ROUND(IF(lpg[[#This Row],[zbiornik LPG]]&gt;15,lpg[[#This Row],[km]]*9/100,(lpg[[#This Row],[km]]/2)*9/100),2)</f>
        <v>5.09</v>
      </c>
      <c r="G297">
        <f>lpg[[#This Row],[zbiornik PB95]]-lpg[[#This Row],[zuzycie PB95]]</f>
        <v>36.18</v>
      </c>
      <c r="H297">
        <f>lpg[[#This Row],[zbiornik LPG]]-lpg[[#This Row],[zyzucie lpg]]</f>
        <v>4.6599999999999984</v>
      </c>
      <c r="I297">
        <f>IF(lpg[[#This Row],[dzien]]=4,IF(lpg[[#This Row],[pb po trasie]]&lt;40,45-lpg[[#This Row],[pb po trasie]],0),0)</f>
        <v>8.82</v>
      </c>
      <c r="J297">
        <f>IF(lpg[[#This Row],[lpg po trasie]]&lt;5,30-lpg[[#This Row],[lpg po trasie]],0)</f>
        <v>25.340000000000003</v>
      </c>
      <c r="K297">
        <f>WEEKDAY(lpg[[#This Row],[data]],2)</f>
        <v>4</v>
      </c>
      <c r="O297" s="1">
        <v>41935</v>
      </c>
      <c r="P297">
        <v>113</v>
      </c>
      <c r="Q297">
        <f>U296+W296</f>
        <v>39.57</v>
      </c>
      <c r="R297">
        <f>V296+X296</f>
        <v>9.7499999999999982</v>
      </c>
      <c r="S297">
        <f>ROUND(IF(lpg_3[[#This Row],[zbiornik LPG]]&gt;15,0,(lpg_3[[#This Row],[km]]/2)*6/100),2)</f>
        <v>3.39</v>
      </c>
      <c r="T297">
        <f>ROUND(IF(lpg_3[[#This Row],[zbiornik LPG]]&gt;15,lpg_3[[#This Row],[km]]*9/100,(lpg_3[[#This Row],[km]]/2)*9/100),2)</f>
        <v>5.09</v>
      </c>
      <c r="U297">
        <f>lpg_3[[#This Row],[zbiornik PB95]]-lpg_3[[#This Row],[zuzycie PB95]]</f>
        <v>36.18</v>
      </c>
      <c r="V297">
        <f>lpg_3[[#This Row],[zbiornik LPG]]-lpg_3[[#This Row],[zyzucie lpg]]</f>
        <v>4.6599999999999984</v>
      </c>
      <c r="W297">
        <f>IF(lpg_3[[#This Row],[dzien]]=4,IF(lpg_3[[#This Row],[pb po trasie]]&lt;40,45-lpg_3[[#This Row],[pb po trasie]],0),0)</f>
        <v>8.82</v>
      </c>
      <c r="X297">
        <f>IF(lpg_3[[#This Row],[lpg po trasie]]&lt;5,30-lpg_3[[#This Row],[lpg po trasie]],0)</f>
        <v>25.340000000000003</v>
      </c>
      <c r="Y297">
        <f>WEEKDAY(lpg_3[[#This Row],[data]],2)</f>
        <v>4</v>
      </c>
    </row>
    <row r="298" spans="1:25" x14ac:dyDescent="0.25">
      <c r="A298" s="1">
        <v>41936</v>
      </c>
      <c r="B298">
        <v>144</v>
      </c>
      <c r="C298">
        <f>G297+I297</f>
        <v>45</v>
      </c>
      <c r="D298">
        <f>H297+J297</f>
        <v>30</v>
      </c>
      <c r="E298">
        <f>ROUND(IF(lpg[[#This Row],[zbiornik LPG]]&gt;15,0,(lpg[[#This Row],[km]]/2)*6/100),2)</f>
        <v>0</v>
      </c>
      <c r="F298">
        <f>ROUND(IF(lpg[[#This Row],[zbiornik LPG]]&gt;15,lpg[[#This Row],[km]]*9/100,(lpg[[#This Row],[km]]/2)*9/100),2)</f>
        <v>12.96</v>
      </c>
      <c r="G298">
        <f>lpg[[#This Row],[zbiornik PB95]]-lpg[[#This Row],[zuzycie PB95]]</f>
        <v>45</v>
      </c>
      <c r="H298">
        <f>lpg[[#This Row],[zbiornik LPG]]-lpg[[#This Row],[zyzucie lpg]]</f>
        <v>17.04</v>
      </c>
      <c r="I298">
        <f>IF(lpg[[#This Row],[dzien]]=4,IF(lpg[[#This Row],[pb po trasie]]&lt;40,45-lpg[[#This Row],[pb po trasie]],0),0)</f>
        <v>0</v>
      </c>
      <c r="J298">
        <f>IF(lpg[[#This Row],[lpg po trasie]]&lt;5,30-lpg[[#This Row],[lpg po trasie]],0)</f>
        <v>0</v>
      </c>
      <c r="K298">
        <f>WEEKDAY(lpg[[#This Row],[data]],2)</f>
        <v>5</v>
      </c>
      <c r="O298" s="1">
        <v>41936</v>
      </c>
      <c r="P298">
        <v>144</v>
      </c>
      <c r="Q298">
        <f>U297+W297</f>
        <v>45</v>
      </c>
      <c r="R298">
        <f>V297+X297</f>
        <v>30</v>
      </c>
      <c r="S298">
        <f>ROUND(IF(lpg_3[[#This Row],[zbiornik LPG]]&gt;15,0,(lpg_3[[#This Row],[km]]/2)*6/100),2)</f>
        <v>0</v>
      </c>
      <c r="T298">
        <f>ROUND(IF(lpg_3[[#This Row],[zbiornik LPG]]&gt;15,lpg_3[[#This Row],[km]]*9/100,(lpg_3[[#This Row],[km]]/2)*9/100),2)</f>
        <v>12.96</v>
      </c>
      <c r="U298">
        <f>lpg_3[[#This Row],[zbiornik PB95]]-lpg_3[[#This Row],[zuzycie PB95]]</f>
        <v>45</v>
      </c>
      <c r="V298">
        <f>lpg_3[[#This Row],[zbiornik LPG]]-lpg_3[[#This Row],[zyzucie lpg]]</f>
        <v>17.04</v>
      </c>
      <c r="W298">
        <f>IF(lpg_3[[#This Row],[dzien]]=4,IF(lpg_3[[#This Row],[pb po trasie]]&lt;40,45-lpg_3[[#This Row],[pb po trasie]],0),0)</f>
        <v>0</v>
      </c>
      <c r="X298">
        <f>IF(lpg_3[[#This Row],[lpg po trasie]]&lt;5,30-lpg_3[[#This Row],[lpg po trasie]],0)</f>
        <v>0</v>
      </c>
      <c r="Y298">
        <f>WEEKDAY(lpg_3[[#This Row],[data]],2)</f>
        <v>5</v>
      </c>
    </row>
    <row r="299" spans="1:25" x14ac:dyDescent="0.25">
      <c r="A299" s="1">
        <v>41937</v>
      </c>
      <c r="B299">
        <v>66</v>
      </c>
      <c r="C299">
        <f>G298+I298</f>
        <v>45</v>
      </c>
      <c r="D299">
        <f>H298+J298</f>
        <v>17.04</v>
      </c>
      <c r="E299">
        <f>ROUND(IF(lpg[[#This Row],[zbiornik LPG]]&gt;15,0,(lpg[[#This Row],[km]]/2)*6/100),2)</f>
        <v>0</v>
      </c>
      <c r="F299">
        <f>ROUND(IF(lpg[[#This Row],[zbiornik LPG]]&gt;15,lpg[[#This Row],[km]]*9/100,(lpg[[#This Row],[km]]/2)*9/100),2)</f>
        <v>5.94</v>
      </c>
      <c r="G299">
        <f>lpg[[#This Row],[zbiornik PB95]]-lpg[[#This Row],[zuzycie PB95]]</f>
        <v>45</v>
      </c>
      <c r="H299">
        <f>lpg[[#This Row],[zbiornik LPG]]-lpg[[#This Row],[zyzucie lpg]]</f>
        <v>11.099999999999998</v>
      </c>
      <c r="I299">
        <f>IF(lpg[[#This Row],[dzien]]=4,IF(lpg[[#This Row],[pb po trasie]]&lt;40,45-lpg[[#This Row],[pb po trasie]],0),0)</f>
        <v>0</v>
      </c>
      <c r="J299">
        <f>IF(lpg[[#This Row],[lpg po trasie]]&lt;5,30-lpg[[#This Row],[lpg po trasie]],0)</f>
        <v>0</v>
      </c>
      <c r="K299">
        <f>WEEKDAY(lpg[[#This Row],[data]],2)</f>
        <v>6</v>
      </c>
      <c r="O299" s="1">
        <v>41937</v>
      </c>
      <c r="P299">
        <v>66</v>
      </c>
      <c r="Q299">
        <f>U298+W298</f>
        <v>45</v>
      </c>
      <c r="R299">
        <f>V298+X298</f>
        <v>17.04</v>
      </c>
      <c r="S299">
        <f>ROUND(IF(lpg_3[[#This Row],[zbiornik LPG]]&gt;15,0,(lpg_3[[#This Row],[km]]/2)*6/100),2)</f>
        <v>0</v>
      </c>
      <c r="T299">
        <f>ROUND(IF(lpg_3[[#This Row],[zbiornik LPG]]&gt;15,lpg_3[[#This Row],[km]]*9/100,(lpg_3[[#This Row],[km]]/2)*9/100),2)</f>
        <v>5.94</v>
      </c>
      <c r="U299">
        <f>lpg_3[[#This Row],[zbiornik PB95]]-lpg_3[[#This Row],[zuzycie PB95]]</f>
        <v>45</v>
      </c>
      <c r="V299">
        <f>lpg_3[[#This Row],[zbiornik LPG]]-lpg_3[[#This Row],[zyzucie lpg]]</f>
        <v>11.099999999999998</v>
      </c>
      <c r="W299">
        <f>IF(lpg_3[[#This Row],[dzien]]=4,IF(lpg_3[[#This Row],[pb po trasie]]&lt;40,45-lpg_3[[#This Row],[pb po trasie]],0),0)</f>
        <v>0</v>
      </c>
      <c r="X299">
        <f>IF(lpg_3[[#This Row],[lpg po trasie]]&lt;5,30-lpg_3[[#This Row],[lpg po trasie]],0)</f>
        <v>0</v>
      </c>
      <c r="Y299">
        <f>WEEKDAY(lpg_3[[#This Row],[data]],2)</f>
        <v>6</v>
      </c>
    </row>
    <row r="300" spans="1:25" x14ac:dyDescent="0.25">
      <c r="A300" s="1">
        <v>41938</v>
      </c>
      <c r="B300">
        <v>69</v>
      </c>
      <c r="C300">
        <f>G299+I299</f>
        <v>45</v>
      </c>
      <c r="D300">
        <f>H299+J299</f>
        <v>11.099999999999998</v>
      </c>
      <c r="E300">
        <f>ROUND(IF(lpg[[#This Row],[zbiornik LPG]]&gt;15,0,(lpg[[#This Row],[km]]/2)*6/100),2)</f>
        <v>2.0699999999999998</v>
      </c>
      <c r="F300">
        <f>ROUND(IF(lpg[[#This Row],[zbiornik LPG]]&gt;15,lpg[[#This Row],[km]]*9/100,(lpg[[#This Row],[km]]/2)*9/100),2)</f>
        <v>3.11</v>
      </c>
      <c r="G300">
        <f>lpg[[#This Row],[zbiornik PB95]]-lpg[[#This Row],[zuzycie PB95]]</f>
        <v>42.93</v>
      </c>
      <c r="H300">
        <f>lpg[[#This Row],[zbiornik LPG]]-lpg[[#This Row],[zyzucie lpg]]</f>
        <v>7.9899999999999984</v>
      </c>
      <c r="I300">
        <f>IF(lpg[[#This Row],[dzien]]=4,IF(lpg[[#This Row],[pb po trasie]]&lt;40,45-lpg[[#This Row],[pb po trasie]],0),0)</f>
        <v>0</v>
      </c>
      <c r="J300">
        <f>IF(lpg[[#This Row],[lpg po trasie]]&lt;5,30-lpg[[#This Row],[lpg po trasie]],0)</f>
        <v>0</v>
      </c>
      <c r="K300">
        <f>WEEKDAY(lpg[[#This Row],[data]],2)</f>
        <v>7</v>
      </c>
      <c r="O300" s="1">
        <v>41938</v>
      </c>
      <c r="P300">
        <v>69</v>
      </c>
      <c r="Q300">
        <f>U299+W299</f>
        <v>45</v>
      </c>
      <c r="R300">
        <f>V299+X299</f>
        <v>11.099999999999998</v>
      </c>
      <c r="S300">
        <f>ROUND(IF(lpg_3[[#This Row],[zbiornik LPG]]&gt;15,0,(lpg_3[[#This Row],[km]]/2)*6/100),2)</f>
        <v>2.0699999999999998</v>
      </c>
      <c r="T300">
        <f>ROUND(IF(lpg_3[[#This Row],[zbiornik LPG]]&gt;15,lpg_3[[#This Row],[km]]*9/100,(lpg_3[[#This Row],[km]]/2)*9/100),2)</f>
        <v>3.11</v>
      </c>
      <c r="U300">
        <f>lpg_3[[#This Row],[zbiornik PB95]]-lpg_3[[#This Row],[zuzycie PB95]]</f>
        <v>42.93</v>
      </c>
      <c r="V300">
        <f>lpg_3[[#This Row],[zbiornik LPG]]-lpg_3[[#This Row],[zyzucie lpg]]</f>
        <v>7.9899999999999984</v>
      </c>
      <c r="W300">
        <f>IF(lpg_3[[#This Row],[dzien]]=4,IF(lpg_3[[#This Row],[pb po trasie]]&lt;40,45-lpg_3[[#This Row],[pb po trasie]],0),0)</f>
        <v>0</v>
      </c>
      <c r="X300">
        <f>IF(lpg_3[[#This Row],[lpg po trasie]]&lt;5,30-lpg_3[[#This Row],[lpg po trasie]],0)</f>
        <v>0</v>
      </c>
      <c r="Y300">
        <f>WEEKDAY(lpg_3[[#This Row],[data]],2)</f>
        <v>7</v>
      </c>
    </row>
    <row r="301" spans="1:25" x14ac:dyDescent="0.25">
      <c r="A301" s="1">
        <v>41939</v>
      </c>
      <c r="B301">
        <v>127</v>
      </c>
      <c r="C301">
        <f>G300+I300</f>
        <v>42.93</v>
      </c>
      <c r="D301">
        <f>H300+J300</f>
        <v>7.9899999999999984</v>
      </c>
      <c r="E301">
        <f>ROUND(IF(lpg[[#This Row],[zbiornik LPG]]&gt;15,0,(lpg[[#This Row],[km]]/2)*6/100),2)</f>
        <v>3.81</v>
      </c>
      <c r="F301">
        <f>ROUND(IF(lpg[[#This Row],[zbiornik LPG]]&gt;15,lpg[[#This Row],[km]]*9/100,(lpg[[#This Row],[km]]/2)*9/100),2)</f>
        <v>5.72</v>
      </c>
      <c r="G301">
        <f>lpg[[#This Row],[zbiornik PB95]]-lpg[[#This Row],[zuzycie PB95]]</f>
        <v>39.119999999999997</v>
      </c>
      <c r="H301">
        <f>lpg[[#This Row],[zbiornik LPG]]-lpg[[#This Row],[zyzucie lpg]]</f>
        <v>2.2699999999999987</v>
      </c>
      <c r="I301">
        <f>IF(lpg[[#This Row],[dzien]]=4,IF(lpg[[#This Row],[pb po trasie]]&lt;40,45-lpg[[#This Row],[pb po trasie]],0),0)</f>
        <v>0</v>
      </c>
      <c r="J301">
        <f>IF(lpg[[#This Row],[lpg po trasie]]&lt;5,30-lpg[[#This Row],[lpg po trasie]],0)</f>
        <v>27.73</v>
      </c>
      <c r="K301">
        <f>WEEKDAY(lpg[[#This Row],[data]],2)</f>
        <v>1</v>
      </c>
      <c r="O301" s="1">
        <v>41939</v>
      </c>
      <c r="P301">
        <v>127</v>
      </c>
      <c r="Q301">
        <f>U300+W300</f>
        <v>42.93</v>
      </c>
      <c r="R301">
        <f>V300+X300</f>
        <v>7.9899999999999984</v>
      </c>
      <c r="S301">
        <f>ROUND(IF(lpg_3[[#This Row],[zbiornik LPG]]&gt;15,0,(lpg_3[[#This Row],[km]]/2)*6/100),2)</f>
        <v>3.81</v>
      </c>
      <c r="T301">
        <f>ROUND(IF(lpg_3[[#This Row],[zbiornik LPG]]&gt;15,lpg_3[[#This Row],[km]]*9/100,(lpg_3[[#This Row],[km]]/2)*9/100),2)</f>
        <v>5.72</v>
      </c>
      <c r="U301">
        <f>lpg_3[[#This Row],[zbiornik PB95]]-lpg_3[[#This Row],[zuzycie PB95]]</f>
        <v>39.119999999999997</v>
      </c>
      <c r="V301">
        <f>lpg_3[[#This Row],[zbiornik LPG]]-lpg_3[[#This Row],[zyzucie lpg]]</f>
        <v>2.2699999999999987</v>
      </c>
      <c r="W301">
        <f>IF(lpg_3[[#This Row],[dzien]]=4,IF(lpg_3[[#This Row],[pb po trasie]]&lt;40,45-lpg_3[[#This Row],[pb po trasie]],0),0)</f>
        <v>0</v>
      </c>
      <c r="X301">
        <f>IF(lpg_3[[#This Row],[lpg po trasie]]&lt;5,30-lpg_3[[#This Row],[lpg po trasie]],0)</f>
        <v>27.73</v>
      </c>
      <c r="Y301">
        <f>WEEKDAY(lpg_3[[#This Row],[data]],2)</f>
        <v>1</v>
      </c>
    </row>
    <row r="302" spans="1:25" x14ac:dyDescent="0.25">
      <c r="A302" s="1">
        <v>41940</v>
      </c>
      <c r="B302">
        <v>112</v>
      </c>
      <c r="C302">
        <f>G301+I301</f>
        <v>39.119999999999997</v>
      </c>
      <c r="D302">
        <f>H301+J301</f>
        <v>30</v>
      </c>
      <c r="E302">
        <f>ROUND(IF(lpg[[#This Row],[zbiornik LPG]]&gt;15,0,(lpg[[#This Row],[km]]/2)*6/100),2)</f>
        <v>0</v>
      </c>
      <c r="F302">
        <f>ROUND(IF(lpg[[#This Row],[zbiornik LPG]]&gt;15,lpg[[#This Row],[km]]*9/100,(lpg[[#This Row],[km]]/2)*9/100),2)</f>
        <v>10.08</v>
      </c>
      <c r="G302">
        <f>lpg[[#This Row],[zbiornik PB95]]-lpg[[#This Row],[zuzycie PB95]]</f>
        <v>39.119999999999997</v>
      </c>
      <c r="H302">
        <f>lpg[[#This Row],[zbiornik LPG]]-lpg[[#This Row],[zyzucie lpg]]</f>
        <v>19.920000000000002</v>
      </c>
      <c r="I302">
        <f>IF(lpg[[#This Row],[dzien]]=4,IF(lpg[[#This Row],[pb po trasie]]&lt;40,45-lpg[[#This Row],[pb po trasie]],0),0)</f>
        <v>0</v>
      </c>
      <c r="J302">
        <f>IF(lpg[[#This Row],[lpg po trasie]]&lt;5,30-lpg[[#This Row],[lpg po trasie]],0)</f>
        <v>0</v>
      </c>
      <c r="K302">
        <f>WEEKDAY(lpg[[#This Row],[data]],2)</f>
        <v>2</v>
      </c>
      <c r="O302" s="1">
        <v>41940</v>
      </c>
      <c r="P302">
        <v>112</v>
      </c>
      <c r="Q302">
        <f>U301+W301</f>
        <v>39.119999999999997</v>
      </c>
      <c r="R302">
        <f>V301+X301</f>
        <v>30</v>
      </c>
      <c r="S302">
        <f>ROUND(IF(lpg_3[[#This Row],[zbiornik LPG]]&gt;15,0,(lpg_3[[#This Row],[km]]/2)*6/100),2)</f>
        <v>0</v>
      </c>
      <c r="T302">
        <f>ROUND(IF(lpg_3[[#This Row],[zbiornik LPG]]&gt;15,lpg_3[[#This Row],[km]]*9/100,(lpg_3[[#This Row],[km]]/2)*9/100),2)</f>
        <v>10.08</v>
      </c>
      <c r="U302">
        <f>lpg_3[[#This Row],[zbiornik PB95]]-lpg_3[[#This Row],[zuzycie PB95]]</f>
        <v>39.119999999999997</v>
      </c>
      <c r="V302">
        <f>lpg_3[[#This Row],[zbiornik LPG]]-lpg_3[[#This Row],[zyzucie lpg]]</f>
        <v>19.920000000000002</v>
      </c>
      <c r="W302">
        <f>IF(lpg_3[[#This Row],[dzien]]=4,IF(lpg_3[[#This Row],[pb po trasie]]&lt;40,45-lpg_3[[#This Row],[pb po trasie]],0),0)</f>
        <v>0</v>
      </c>
      <c r="X302">
        <f>IF(lpg_3[[#This Row],[lpg po trasie]]&lt;5,30-lpg_3[[#This Row],[lpg po trasie]],0)</f>
        <v>0</v>
      </c>
      <c r="Y302">
        <f>WEEKDAY(lpg_3[[#This Row],[data]],2)</f>
        <v>2</v>
      </c>
    </row>
    <row r="303" spans="1:25" x14ac:dyDescent="0.25">
      <c r="A303" s="1">
        <v>41941</v>
      </c>
      <c r="B303">
        <v>99</v>
      </c>
      <c r="C303">
        <f>G302+I302</f>
        <v>39.119999999999997</v>
      </c>
      <c r="D303">
        <f>H302+J302</f>
        <v>19.920000000000002</v>
      </c>
      <c r="E303">
        <f>ROUND(IF(lpg[[#This Row],[zbiornik LPG]]&gt;15,0,(lpg[[#This Row],[km]]/2)*6/100),2)</f>
        <v>0</v>
      </c>
      <c r="F303">
        <f>ROUND(IF(lpg[[#This Row],[zbiornik LPG]]&gt;15,lpg[[#This Row],[km]]*9/100,(lpg[[#This Row],[km]]/2)*9/100),2)</f>
        <v>8.91</v>
      </c>
      <c r="G303">
        <f>lpg[[#This Row],[zbiornik PB95]]-lpg[[#This Row],[zuzycie PB95]]</f>
        <v>39.119999999999997</v>
      </c>
      <c r="H303">
        <f>lpg[[#This Row],[zbiornik LPG]]-lpg[[#This Row],[zyzucie lpg]]</f>
        <v>11.010000000000002</v>
      </c>
      <c r="I303">
        <f>IF(lpg[[#This Row],[dzien]]=4,IF(lpg[[#This Row],[pb po trasie]]&lt;40,45-lpg[[#This Row],[pb po trasie]],0),0)</f>
        <v>0</v>
      </c>
      <c r="J303">
        <f>IF(lpg[[#This Row],[lpg po trasie]]&lt;5,30-lpg[[#This Row],[lpg po trasie]],0)</f>
        <v>0</v>
      </c>
      <c r="K303">
        <f>WEEKDAY(lpg[[#This Row],[data]],2)</f>
        <v>3</v>
      </c>
      <c r="O303" s="1">
        <v>41941</v>
      </c>
      <c r="P303">
        <v>99</v>
      </c>
      <c r="Q303">
        <f>U302+W302</f>
        <v>39.119999999999997</v>
      </c>
      <c r="R303">
        <f>V302+X302</f>
        <v>19.920000000000002</v>
      </c>
      <c r="S303">
        <f>ROUND(IF(lpg_3[[#This Row],[zbiornik LPG]]&gt;15,0,(lpg_3[[#This Row],[km]]/2)*6/100),2)</f>
        <v>0</v>
      </c>
      <c r="T303">
        <f>ROUND(IF(lpg_3[[#This Row],[zbiornik LPG]]&gt;15,lpg_3[[#This Row],[km]]*9/100,(lpg_3[[#This Row],[km]]/2)*9/100),2)</f>
        <v>8.91</v>
      </c>
      <c r="U303">
        <f>lpg_3[[#This Row],[zbiornik PB95]]-lpg_3[[#This Row],[zuzycie PB95]]</f>
        <v>39.119999999999997</v>
      </c>
      <c r="V303">
        <f>lpg_3[[#This Row],[zbiornik LPG]]-lpg_3[[#This Row],[zyzucie lpg]]</f>
        <v>11.010000000000002</v>
      </c>
      <c r="W303">
        <f>IF(lpg_3[[#This Row],[dzien]]=4,IF(lpg_3[[#This Row],[pb po trasie]]&lt;40,45-lpg_3[[#This Row],[pb po trasie]],0),0)</f>
        <v>0</v>
      </c>
      <c r="X303">
        <f>IF(lpg_3[[#This Row],[lpg po trasie]]&lt;5,30-lpg_3[[#This Row],[lpg po trasie]],0)</f>
        <v>0</v>
      </c>
      <c r="Y303">
        <f>WEEKDAY(lpg_3[[#This Row],[data]],2)</f>
        <v>3</v>
      </c>
    </row>
    <row r="304" spans="1:25" x14ac:dyDescent="0.25">
      <c r="A304" s="1">
        <v>41942</v>
      </c>
      <c r="B304">
        <v>60</v>
      </c>
      <c r="C304">
        <f>G303+I303</f>
        <v>39.119999999999997</v>
      </c>
      <c r="D304">
        <f>H303+J303</f>
        <v>11.010000000000002</v>
      </c>
      <c r="E304">
        <f>ROUND(IF(lpg[[#This Row],[zbiornik LPG]]&gt;15,0,(lpg[[#This Row],[km]]/2)*6/100),2)</f>
        <v>1.8</v>
      </c>
      <c r="F304">
        <f>ROUND(IF(lpg[[#This Row],[zbiornik LPG]]&gt;15,lpg[[#This Row],[km]]*9/100,(lpg[[#This Row],[km]]/2)*9/100),2)</f>
        <v>2.7</v>
      </c>
      <c r="G304">
        <f>lpg[[#This Row],[zbiornik PB95]]-lpg[[#This Row],[zuzycie PB95]]</f>
        <v>37.32</v>
      </c>
      <c r="H304">
        <f>lpg[[#This Row],[zbiornik LPG]]-lpg[[#This Row],[zyzucie lpg]]</f>
        <v>8.3100000000000023</v>
      </c>
      <c r="I304">
        <f>IF(lpg[[#This Row],[dzien]]=4,IF(lpg[[#This Row],[pb po trasie]]&lt;40,45-lpg[[#This Row],[pb po trasie]],0),0)</f>
        <v>7.68</v>
      </c>
      <c r="J304">
        <f>IF(lpg[[#This Row],[lpg po trasie]]&lt;5,30-lpg[[#This Row],[lpg po trasie]],0)</f>
        <v>0</v>
      </c>
      <c r="K304">
        <f>WEEKDAY(lpg[[#This Row],[data]],2)</f>
        <v>4</v>
      </c>
      <c r="O304" s="1">
        <v>41942</v>
      </c>
      <c r="P304">
        <v>60</v>
      </c>
      <c r="Q304">
        <f>U303+W303</f>
        <v>39.119999999999997</v>
      </c>
      <c r="R304">
        <f>V303+X303</f>
        <v>11.010000000000002</v>
      </c>
      <c r="S304">
        <f>ROUND(IF(lpg_3[[#This Row],[zbiornik LPG]]&gt;15,0,(lpg_3[[#This Row],[km]]/2)*6/100),2)</f>
        <v>1.8</v>
      </c>
      <c r="T304">
        <f>ROUND(IF(lpg_3[[#This Row],[zbiornik LPG]]&gt;15,lpg_3[[#This Row],[km]]*9/100,(lpg_3[[#This Row],[km]]/2)*9/100),2)</f>
        <v>2.7</v>
      </c>
      <c r="U304">
        <f>lpg_3[[#This Row],[zbiornik PB95]]-lpg_3[[#This Row],[zuzycie PB95]]</f>
        <v>37.32</v>
      </c>
      <c r="V304">
        <f>lpg_3[[#This Row],[zbiornik LPG]]-lpg_3[[#This Row],[zyzucie lpg]]</f>
        <v>8.3100000000000023</v>
      </c>
      <c r="W304">
        <f>IF(lpg_3[[#This Row],[dzien]]=4,IF(lpg_3[[#This Row],[pb po trasie]]&lt;40,45-lpg_3[[#This Row],[pb po trasie]],0),0)</f>
        <v>7.68</v>
      </c>
      <c r="X304">
        <f>IF(lpg_3[[#This Row],[lpg po trasie]]&lt;5,30-lpg_3[[#This Row],[lpg po trasie]],0)</f>
        <v>0</v>
      </c>
      <c r="Y304">
        <f>WEEKDAY(lpg_3[[#This Row],[data]],2)</f>
        <v>4</v>
      </c>
    </row>
    <row r="305" spans="1:25" x14ac:dyDescent="0.25">
      <c r="A305" s="1">
        <v>41943</v>
      </c>
      <c r="B305">
        <v>118</v>
      </c>
      <c r="C305">
        <f>G304+I304</f>
        <v>45</v>
      </c>
      <c r="D305">
        <f>H304+J304</f>
        <v>8.3100000000000023</v>
      </c>
      <c r="E305">
        <f>ROUND(IF(lpg[[#This Row],[zbiornik LPG]]&gt;15,0,(lpg[[#This Row],[km]]/2)*6/100),2)</f>
        <v>3.54</v>
      </c>
      <c r="F305">
        <f>ROUND(IF(lpg[[#This Row],[zbiornik LPG]]&gt;15,lpg[[#This Row],[km]]*9/100,(lpg[[#This Row],[km]]/2)*9/100),2)</f>
        <v>5.31</v>
      </c>
      <c r="G305">
        <f>lpg[[#This Row],[zbiornik PB95]]-lpg[[#This Row],[zuzycie PB95]]</f>
        <v>41.46</v>
      </c>
      <c r="H305">
        <f>lpg[[#This Row],[zbiornik LPG]]-lpg[[#This Row],[zyzucie lpg]]</f>
        <v>3.0000000000000027</v>
      </c>
      <c r="I305">
        <f>IF(lpg[[#This Row],[dzien]]=4,IF(lpg[[#This Row],[pb po trasie]]&lt;40,45-lpg[[#This Row],[pb po trasie]],0),0)</f>
        <v>0</v>
      </c>
      <c r="J305">
        <f>IF(lpg[[#This Row],[lpg po trasie]]&lt;5,30-lpg[[#This Row],[lpg po trasie]],0)</f>
        <v>26.999999999999996</v>
      </c>
      <c r="K305">
        <f>WEEKDAY(lpg[[#This Row],[data]],2)</f>
        <v>5</v>
      </c>
      <c r="O305" s="1">
        <v>41943</v>
      </c>
      <c r="P305">
        <v>118</v>
      </c>
      <c r="Q305">
        <f>U304+W304</f>
        <v>45</v>
      </c>
      <c r="R305">
        <f>V304+X304</f>
        <v>8.3100000000000023</v>
      </c>
      <c r="S305">
        <f>ROUND(IF(lpg_3[[#This Row],[zbiornik LPG]]&gt;15,0,(lpg_3[[#This Row],[km]]/2)*6/100),2)</f>
        <v>3.54</v>
      </c>
      <c r="T305">
        <f>ROUND(IF(lpg_3[[#This Row],[zbiornik LPG]]&gt;15,lpg_3[[#This Row],[km]]*9/100,(lpg_3[[#This Row],[km]]/2)*9/100),2)</f>
        <v>5.31</v>
      </c>
      <c r="U305">
        <f>lpg_3[[#This Row],[zbiornik PB95]]-lpg_3[[#This Row],[zuzycie PB95]]</f>
        <v>41.46</v>
      </c>
      <c r="V305">
        <f>lpg_3[[#This Row],[zbiornik LPG]]-lpg_3[[#This Row],[zyzucie lpg]]</f>
        <v>3.0000000000000027</v>
      </c>
      <c r="W305">
        <f>IF(lpg_3[[#This Row],[dzien]]=4,IF(lpg_3[[#This Row],[pb po trasie]]&lt;40,45-lpg_3[[#This Row],[pb po trasie]],0),0)</f>
        <v>0</v>
      </c>
      <c r="X305">
        <f>IF(lpg_3[[#This Row],[lpg po trasie]]&lt;5,30-lpg_3[[#This Row],[lpg po trasie]],0)</f>
        <v>26.999999999999996</v>
      </c>
      <c r="Y305">
        <f>WEEKDAY(lpg_3[[#This Row],[data]],2)</f>
        <v>5</v>
      </c>
    </row>
    <row r="306" spans="1:25" x14ac:dyDescent="0.25">
      <c r="A306" s="1">
        <v>41944</v>
      </c>
      <c r="B306">
        <v>55</v>
      </c>
      <c r="C306">
        <f>G305+I305</f>
        <v>41.46</v>
      </c>
      <c r="D306">
        <f>H305+J305</f>
        <v>30</v>
      </c>
      <c r="E306">
        <f>ROUND(IF(lpg[[#This Row],[zbiornik LPG]]&gt;15,0,(lpg[[#This Row],[km]]/2)*6/100),2)</f>
        <v>0</v>
      </c>
      <c r="F306">
        <f>ROUND(IF(lpg[[#This Row],[zbiornik LPG]]&gt;15,lpg[[#This Row],[km]]*9/100,(lpg[[#This Row],[km]]/2)*9/100),2)</f>
        <v>4.95</v>
      </c>
      <c r="G306">
        <f>lpg[[#This Row],[zbiornik PB95]]-lpg[[#This Row],[zuzycie PB95]]</f>
        <v>41.46</v>
      </c>
      <c r="H306">
        <f>lpg[[#This Row],[zbiornik LPG]]-lpg[[#This Row],[zyzucie lpg]]</f>
        <v>25.05</v>
      </c>
      <c r="I306">
        <f>IF(lpg[[#This Row],[dzien]]=4,IF(lpg[[#This Row],[pb po trasie]]&lt;40,45-lpg[[#This Row],[pb po trasie]],0),0)</f>
        <v>0</v>
      </c>
      <c r="J306">
        <f>IF(lpg[[#This Row],[lpg po trasie]]&lt;5,30-lpg[[#This Row],[lpg po trasie]],0)</f>
        <v>0</v>
      </c>
      <c r="K306">
        <f>WEEKDAY(lpg[[#This Row],[data]],2)</f>
        <v>6</v>
      </c>
      <c r="O306" s="1">
        <v>41944</v>
      </c>
      <c r="P306">
        <v>55</v>
      </c>
      <c r="Q306">
        <f>U305+W305</f>
        <v>41.46</v>
      </c>
      <c r="R306">
        <f>V305+X305</f>
        <v>30</v>
      </c>
      <c r="S306">
        <f>ROUND(IF(lpg_3[[#This Row],[zbiornik LPG]]&gt;15,0,(lpg_3[[#This Row],[km]]/2)*6/100),2)</f>
        <v>0</v>
      </c>
      <c r="T306">
        <f>ROUND(IF(lpg_3[[#This Row],[zbiornik LPG]]&gt;15,lpg_3[[#This Row],[km]]*9/100,(lpg_3[[#This Row],[km]]/2)*9/100),2)</f>
        <v>4.95</v>
      </c>
      <c r="U306">
        <f>lpg_3[[#This Row],[zbiornik PB95]]-lpg_3[[#This Row],[zuzycie PB95]]</f>
        <v>41.46</v>
      </c>
      <c r="V306">
        <f>lpg_3[[#This Row],[zbiornik LPG]]-lpg_3[[#This Row],[zyzucie lpg]]</f>
        <v>25.05</v>
      </c>
      <c r="W306">
        <f>IF(lpg_3[[#This Row],[dzien]]=4,IF(lpg_3[[#This Row],[pb po trasie]]&lt;40,45-lpg_3[[#This Row],[pb po trasie]],0),0)</f>
        <v>0</v>
      </c>
      <c r="X306">
        <f>IF(lpg_3[[#This Row],[lpg po trasie]]&lt;5,30-lpg_3[[#This Row],[lpg po trasie]],0)</f>
        <v>0</v>
      </c>
      <c r="Y306">
        <f>WEEKDAY(lpg_3[[#This Row],[data]],2)</f>
        <v>6</v>
      </c>
    </row>
    <row r="307" spans="1:25" x14ac:dyDescent="0.25">
      <c r="A307" s="1">
        <v>41945</v>
      </c>
      <c r="B307">
        <v>133</v>
      </c>
      <c r="C307">
        <f>G306+I306</f>
        <v>41.46</v>
      </c>
      <c r="D307">
        <f>H306+J306</f>
        <v>25.05</v>
      </c>
      <c r="E307">
        <f>ROUND(IF(lpg[[#This Row],[zbiornik LPG]]&gt;15,0,(lpg[[#This Row],[km]]/2)*6/100),2)</f>
        <v>0</v>
      </c>
      <c r="F307">
        <f>ROUND(IF(lpg[[#This Row],[zbiornik LPG]]&gt;15,lpg[[#This Row],[km]]*9/100,(lpg[[#This Row],[km]]/2)*9/100),2)</f>
        <v>11.97</v>
      </c>
      <c r="G307">
        <f>lpg[[#This Row],[zbiornik PB95]]-lpg[[#This Row],[zuzycie PB95]]</f>
        <v>41.46</v>
      </c>
      <c r="H307">
        <f>lpg[[#This Row],[zbiornik LPG]]-lpg[[#This Row],[zyzucie lpg]]</f>
        <v>13.08</v>
      </c>
      <c r="I307">
        <f>IF(lpg[[#This Row],[dzien]]=4,IF(lpg[[#This Row],[pb po trasie]]&lt;40,45-lpg[[#This Row],[pb po trasie]],0),0)</f>
        <v>0</v>
      </c>
      <c r="J307">
        <f>IF(lpg[[#This Row],[lpg po trasie]]&lt;5,30-lpg[[#This Row],[lpg po trasie]],0)</f>
        <v>0</v>
      </c>
      <c r="K307">
        <f>WEEKDAY(lpg[[#This Row],[data]],2)</f>
        <v>7</v>
      </c>
      <c r="O307" s="1">
        <v>41945</v>
      </c>
      <c r="P307">
        <v>133</v>
      </c>
      <c r="Q307">
        <f>U306+W306</f>
        <v>41.46</v>
      </c>
      <c r="R307">
        <f>V306+X306</f>
        <v>25.05</v>
      </c>
      <c r="S307">
        <f>ROUND(IF(lpg_3[[#This Row],[zbiornik LPG]]&gt;15,0,(lpg_3[[#This Row],[km]]/2)*6/100),2)</f>
        <v>0</v>
      </c>
      <c r="T307">
        <f>ROUND(IF(lpg_3[[#This Row],[zbiornik LPG]]&gt;15,lpg_3[[#This Row],[km]]*9/100,(lpg_3[[#This Row],[km]]/2)*9/100),2)</f>
        <v>11.97</v>
      </c>
      <c r="U307">
        <f>lpg_3[[#This Row],[zbiornik PB95]]-lpg_3[[#This Row],[zuzycie PB95]]</f>
        <v>41.46</v>
      </c>
      <c r="V307">
        <f>lpg_3[[#This Row],[zbiornik LPG]]-lpg_3[[#This Row],[zyzucie lpg]]</f>
        <v>13.08</v>
      </c>
      <c r="W307">
        <f>IF(lpg_3[[#This Row],[dzien]]=4,IF(lpg_3[[#This Row],[pb po trasie]]&lt;40,45-lpg_3[[#This Row],[pb po trasie]],0),0)</f>
        <v>0</v>
      </c>
      <c r="X307">
        <f>IF(lpg_3[[#This Row],[lpg po trasie]]&lt;5,30-lpg_3[[#This Row],[lpg po trasie]],0)</f>
        <v>0</v>
      </c>
      <c r="Y307">
        <f>WEEKDAY(lpg_3[[#This Row],[data]],2)</f>
        <v>7</v>
      </c>
    </row>
    <row r="308" spans="1:25" x14ac:dyDescent="0.25">
      <c r="A308" s="1">
        <v>41946</v>
      </c>
      <c r="B308">
        <v>110</v>
      </c>
      <c r="C308">
        <f>G307+I307</f>
        <v>41.46</v>
      </c>
      <c r="D308">
        <f>H307+J307</f>
        <v>13.08</v>
      </c>
      <c r="E308">
        <f>ROUND(IF(lpg[[#This Row],[zbiornik LPG]]&gt;15,0,(lpg[[#This Row],[km]]/2)*6/100),2)</f>
        <v>3.3</v>
      </c>
      <c r="F308">
        <f>ROUND(IF(lpg[[#This Row],[zbiornik LPG]]&gt;15,lpg[[#This Row],[km]]*9/100,(lpg[[#This Row],[km]]/2)*9/100),2)</f>
        <v>4.95</v>
      </c>
      <c r="G308">
        <f>lpg[[#This Row],[zbiornik PB95]]-lpg[[#This Row],[zuzycie PB95]]</f>
        <v>38.160000000000004</v>
      </c>
      <c r="H308">
        <f>lpg[[#This Row],[zbiornik LPG]]-lpg[[#This Row],[zyzucie lpg]]</f>
        <v>8.129999999999999</v>
      </c>
      <c r="I308">
        <f>IF(lpg[[#This Row],[dzien]]=4,IF(lpg[[#This Row],[pb po trasie]]&lt;40,45-lpg[[#This Row],[pb po trasie]],0),0)</f>
        <v>0</v>
      </c>
      <c r="J308">
        <f>IF(lpg[[#This Row],[lpg po trasie]]&lt;5,30-lpg[[#This Row],[lpg po trasie]],0)</f>
        <v>0</v>
      </c>
      <c r="K308">
        <f>WEEKDAY(lpg[[#This Row],[data]],2)</f>
        <v>1</v>
      </c>
      <c r="O308" s="1">
        <v>41946</v>
      </c>
      <c r="P308">
        <v>110</v>
      </c>
      <c r="Q308">
        <f>U307+W307</f>
        <v>41.46</v>
      </c>
      <c r="R308">
        <f>V307+X307</f>
        <v>13.08</v>
      </c>
      <c r="S308">
        <f>ROUND(IF(lpg_3[[#This Row],[zbiornik LPG]]&gt;15,0,(lpg_3[[#This Row],[km]]/2)*6/100),2)</f>
        <v>3.3</v>
      </c>
      <c r="T308">
        <f>ROUND(IF(lpg_3[[#This Row],[zbiornik LPG]]&gt;15,lpg_3[[#This Row],[km]]*9/100,(lpg_3[[#This Row],[km]]/2)*9/100),2)</f>
        <v>4.95</v>
      </c>
      <c r="U308">
        <f>lpg_3[[#This Row],[zbiornik PB95]]-lpg_3[[#This Row],[zuzycie PB95]]</f>
        <v>38.160000000000004</v>
      </c>
      <c r="V308">
        <f>lpg_3[[#This Row],[zbiornik LPG]]-lpg_3[[#This Row],[zyzucie lpg]]</f>
        <v>8.129999999999999</v>
      </c>
      <c r="W308">
        <f>IF(lpg_3[[#This Row],[dzien]]=4,IF(lpg_3[[#This Row],[pb po trasie]]&lt;40,45-lpg_3[[#This Row],[pb po trasie]],0),0)</f>
        <v>0</v>
      </c>
      <c r="X308">
        <f>IF(lpg_3[[#This Row],[lpg po trasie]]&lt;5,30-lpg_3[[#This Row],[lpg po trasie]],0)</f>
        <v>0</v>
      </c>
      <c r="Y308">
        <f>WEEKDAY(lpg_3[[#This Row],[data]],2)</f>
        <v>1</v>
      </c>
    </row>
    <row r="309" spans="1:25" x14ac:dyDescent="0.25">
      <c r="A309" s="1">
        <v>41947</v>
      </c>
      <c r="B309">
        <v>145</v>
      </c>
      <c r="C309">
        <f>G308+I308</f>
        <v>38.160000000000004</v>
      </c>
      <c r="D309">
        <f>H308+J308</f>
        <v>8.129999999999999</v>
      </c>
      <c r="E309">
        <f>ROUND(IF(lpg[[#This Row],[zbiornik LPG]]&gt;15,0,(lpg[[#This Row],[km]]/2)*6/100),2)</f>
        <v>4.3499999999999996</v>
      </c>
      <c r="F309">
        <f>ROUND(IF(lpg[[#This Row],[zbiornik LPG]]&gt;15,lpg[[#This Row],[km]]*9/100,(lpg[[#This Row],[km]]/2)*9/100),2)</f>
        <v>6.53</v>
      </c>
      <c r="G309">
        <f>lpg[[#This Row],[zbiornik PB95]]-lpg[[#This Row],[zuzycie PB95]]</f>
        <v>33.81</v>
      </c>
      <c r="H309">
        <f>lpg[[#This Row],[zbiornik LPG]]-lpg[[#This Row],[zyzucie lpg]]</f>
        <v>1.5999999999999988</v>
      </c>
      <c r="I309">
        <f>IF(lpg[[#This Row],[dzien]]=4,IF(lpg[[#This Row],[pb po trasie]]&lt;40,45-lpg[[#This Row],[pb po trasie]],0),0)</f>
        <v>0</v>
      </c>
      <c r="J309">
        <f>IF(lpg[[#This Row],[lpg po trasie]]&lt;5,30-lpg[[#This Row],[lpg po trasie]],0)</f>
        <v>28.400000000000002</v>
      </c>
      <c r="K309">
        <f>WEEKDAY(lpg[[#This Row],[data]],2)</f>
        <v>2</v>
      </c>
      <c r="O309" s="1">
        <v>41947</v>
      </c>
      <c r="P309">
        <v>145</v>
      </c>
      <c r="Q309">
        <f>U308+W308</f>
        <v>38.160000000000004</v>
      </c>
      <c r="R309">
        <f>V308+X308</f>
        <v>8.129999999999999</v>
      </c>
      <c r="S309">
        <f>ROUND(IF(lpg_3[[#This Row],[zbiornik LPG]]&gt;15,0,(lpg_3[[#This Row],[km]]/2)*6/100),2)</f>
        <v>4.3499999999999996</v>
      </c>
      <c r="T309">
        <f>ROUND(IF(lpg_3[[#This Row],[zbiornik LPG]]&gt;15,lpg_3[[#This Row],[km]]*9/100,(lpg_3[[#This Row],[km]]/2)*9/100),2)</f>
        <v>6.53</v>
      </c>
      <c r="U309">
        <f>lpg_3[[#This Row],[zbiornik PB95]]-lpg_3[[#This Row],[zuzycie PB95]]</f>
        <v>33.81</v>
      </c>
      <c r="V309">
        <f>lpg_3[[#This Row],[zbiornik LPG]]-lpg_3[[#This Row],[zyzucie lpg]]</f>
        <v>1.5999999999999988</v>
      </c>
      <c r="W309">
        <f>IF(lpg_3[[#This Row],[dzien]]=4,IF(lpg_3[[#This Row],[pb po trasie]]&lt;40,45-lpg_3[[#This Row],[pb po trasie]],0),0)</f>
        <v>0</v>
      </c>
      <c r="X309">
        <f>IF(lpg_3[[#This Row],[lpg po trasie]]&lt;5,30-lpg_3[[#This Row],[lpg po trasie]],0)</f>
        <v>28.400000000000002</v>
      </c>
      <c r="Y309">
        <f>WEEKDAY(lpg_3[[#This Row],[data]],2)</f>
        <v>2</v>
      </c>
    </row>
    <row r="310" spans="1:25" x14ac:dyDescent="0.25">
      <c r="A310" s="1">
        <v>41948</v>
      </c>
      <c r="B310">
        <v>125</v>
      </c>
      <c r="C310">
        <f>G309+I309</f>
        <v>33.81</v>
      </c>
      <c r="D310">
        <f>H309+J309</f>
        <v>30</v>
      </c>
      <c r="E310">
        <f>ROUND(IF(lpg[[#This Row],[zbiornik LPG]]&gt;15,0,(lpg[[#This Row],[km]]/2)*6/100),2)</f>
        <v>0</v>
      </c>
      <c r="F310">
        <f>ROUND(IF(lpg[[#This Row],[zbiornik LPG]]&gt;15,lpg[[#This Row],[km]]*9/100,(lpg[[#This Row],[km]]/2)*9/100),2)</f>
        <v>11.25</v>
      </c>
      <c r="G310">
        <f>lpg[[#This Row],[zbiornik PB95]]-lpg[[#This Row],[zuzycie PB95]]</f>
        <v>33.81</v>
      </c>
      <c r="H310">
        <f>lpg[[#This Row],[zbiornik LPG]]-lpg[[#This Row],[zyzucie lpg]]</f>
        <v>18.75</v>
      </c>
      <c r="I310">
        <f>IF(lpg[[#This Row],[dzien]]=4,IF(lpg[[#This Row],[pb po trasie]]&lt;40,45-lpg[[#This Row],[pb po trasie]],0),0)</f>
        <v>0</v>
      </c>
      <c r="J310">
        <f>IF(lpg[[#This Row],[lpg po trasie]]&lt;5,30-lpg[[#This Row],[lpg po trasie]],0)</f>
        <v>0</v>
      </c>
      <c r="K310">
        <f>WEEKDAY(lpg[[#This Row],[data]],2)</f>
        <v>3</v>
      </c>
      <c r="O310" s="1">
        <v>41948</v>
      </c>
      <c r="P310">
        <v>125</v>
      </c>
      <c r="Q310">
        <f>U309+W309</f>
        <v>33.81</v>
      </c>
      <c r="R310">
        <f>V309+X309</f>
        <v>30</v>
      </c>
      <c r="S310">
        <f>ROUND(IF(lpg_3[[#This Row],[zbiornik LPG]]&gt;15,0,(lpg_3[[#This Row],[km]]/2)*6/100),2)</f>
        <v>0</v>
      </c>
      <c r="T310">
        <f>ROUND(IF(lpg_3[[#This Row],[zbiornik LPG]]&gt;15,lpg_3[[#This Row],[km]]*9/100,(lpg_3[[#This Row],[km]]/2)*9/100),2)</f>
        <v>11.25</v>
      </c>
      <c r="U310">
        <f>lpg_3[[#This Row],[zbiornik PB95]]-lpg_3[[#This Row],[zuzycie PB95]]</f>
        <v>33.81</v>
      </c>
      <c r="V310">
        <f>lpg_3[[#This Row],[zbiornik LPG]]-lpg_3[[#This Row],[zyzucie lpg]]</f>
        <v>18.75</v>
      </c>
      <c r="W310">
        <f>IF(lpg_3[[#This Row],[dzien]]=4,IF(lpg_3[[#This Row],[pb po trasie]]&lt;40,45-lpg_3[[#This Row],[pb po trasie]],0),0)</f>
        <v>0</v>
      </c>
      <c r="X310">
        <f>IF(lpg_3[[#This Row],[lpg po trasie]]&lt;5,30-lpg_3[[#This Row],[lpg po trasie]],0)</f>
        <v>0</v>
      </c>
      <c r="Y310">
        <f>WEEKDAY(lpg_3[[#This Row],[data]],2)</f>
        <v>3</v>
      </c>
    </row>
    <row r="311" spans="1:25" x14ac:dyDescent="0.25">
      <c r="A311" s="1">
        <v>41949</v>
      </c>
      <c r="B311">
        <v>103</v>
      </c>
      <c r="C311">
        <f>G310+I310</f>
        <v>33.81</v>
      </c>
      <c r="D311">
        <f>H310+J310</f>
        <v>18.75</v>
      </c>
      <c r="E311">
        <f>ROUND(IF(lpg[[#This Row],[zbiornik LPG]]&gt;15,0,(lpg[[#This Row],[km]]/2)*6/100),2)</f>
        <v>0</v>
      </c>
      <c r="F311">
        <f>ROUND(IF(lpg[[#This Row],[zbiornik LPG]]&gt;15,lpg[[#This Row],[km]]*9/100,(lpg[[#This Row],[km]]/2)*9/100),2)</f>
        <v>9.27</v>
      </c>
      <c r="G311">
        <f>lpg[[#This Row],[zbiornik PB95]]-lpg[[#This Row],[zuzycie PB95]]</f>
        <v>33.81</v>
      </c>
      <c r="H311">
        <f>lpg[[#This Row],[zbiornik LPG]]-lpg[[#This Row],[zyzucie lpg]]</f>
        <v>9.48</v>
      </c>
      <c r="I311">
        <f>IF(lpg[[#This Row],[dzien]]=4,IF(lpg[[#This Row],[pb po trasie]]&lt;40,45-lpg[[#This Row],[pb po trasie]],0),0)</f>
        <v>11.189999999999998</v>
      </c>
      <c r="J311">
        <f>IF(lpg[[#This Row],[lpg po trasie]]&lt;5,30-lpg[[#This Row],[lpg po trasie]],0)</f>
        <v>0</v>
      </c>
      <c r="K311">
        <f>WEEKDAY(lpg[[#This Row],[data]],2)</f>
        <v>4</v>
      </c>
      <c r="O311" s="1">
        <v>41949</v>
      </c>
      <c r="P311">
        <v>103</v>
      </c>
      <c r="Q311">
        <f>U310+W310</f>
        <v>33.81</v>
      </c>
      <c r="R311">
        <f>V310+X310</f>
        <v>18.75</v>
      </c>
      <c r="S311">
        <f>ROUND(IF(lpg_3[[#This Row],[zbiornik LPG]]&gt;15,0,(lpg_3[[#This Row],[km]]/2)*6/100),2)</f>
        <v>0</v>
      </c>
      <c r="T311">
        <f>ROUND(IF(lpg_3[[#This Row],[zbiornik LPG]]&gt;15,lpg_3[[#This Row],[km]]*9/100,(lpg_3[[#This Row],[km]]/2)*9/100),2)</f>
        <v>9.27</v>
      </c>
      <c r="U311">
        <f>lpg_3[[#This Row],[zbiornik PB95]]-lpg_3[[#This Row],[zuzycie PB95]]</f>
        <v>33.81</v>
      </c>
      <c r="V311">
        <f>lpg_3[[#This Row],[zbiornik LPG]]-lpg_3[[#This Row],[zyzucie lpg]]</f>
        <v>9.48</v>
      </c>
      <c r="W311">
        <f>IF(lpg_3[[#This Row],[dzien]]=4,IF(lpg_3[[#This Row],[pb po trasie]]&lt;40,45-lpg_3[[#This Row],[pb po trasie]],0),0)</f>
        <v>11.189999999999998</v>
      </c>
      <c r="X311">
        <f>IF(lpg_3[[#This Row],[lpg po trasie]]&lt;5,30-lpg_3[[#This Row],[lpg po trasie]],0)</f>
        <v>0</v>
      </c>
      <c r="Y311">
        <f>WEEKDAY(lpg_3[[#This Row],[data]],2)</f>
        <v>4</v>
      </c>
    </row>
    <row r="312" spans="1:25" x14ac:dyDescent="0.25">
      <c r="A312" s="1">
        <v>41950</v>
      </c>
      <c r="B312">
        <v>143</v>
      </c>
      <c r="C312">
        <f>G311+I311</f>
        <v>45</v>
      </c>
      <c r="D312">
        <f>H311+J311</f>
        <v>9.48</v>
      </c>
      <c r="E312">
        <f>ROUND(IF(lpg[[#This Row],[zbiornik LPG]]&gt;15,0,(lpg[[#This Row],[km]]/2)*6/100),2)</f>
        <v>4.29</v>
      </c>
      <c r="F312">
        <f>ROUND(IF(lpg[[#This Row],[zbiornik LPG]]&gt;15,lpg[[#This Row],[km]]*9/100,(lpg[[#This Row],[km]]/2)*9/100),2)</f>
        <v>6.44</v>
      </c>
      <c r="G312">
        <f>lpg[[#This Row],[zbiornik PB95]]-lpg[[#This Row],[zuzycie PB95]]</f>
        <v>40.71</v>
      </c>
      <c r="H312">
        <f>lpg[[#This Row],[zbiornik LPG]]-lpg[[#This Row],[zyzucie lpg]]</f>
        <v>3.04</v>
      </c>
      <c r="I312">
        <f>IF(lpg[[#This Row],[dzien]]=4,IF(lpg[[#This Row],[pb po trasie]]&lt;40,45-lpg[[#This Row],[pb po trasie]],0),0)</f>
        <v>0</v>
      </c>
      <c r="J312">
        <f>IF(lpg[[#This Row],[lpg po trasie]]&lt;5,30-lpg[[#This Row],[lpg po trasie]],0)</f>
        <v>26.96</v>
      </c>
      <c r="K312">
        <f>WEEKDAY(lpg[[#This Row],[data]],2)</f>
        <v>5</v>
      </c>
      <c r="O312" s="1">
        <v>41950</v>
      </c>
      <c r="P312">
        <v>143</v>
      </c>
      <c r="Q312">
        <f>U311+W311</f>
        <v>45</v>
      </c>
      <c r="R312">
        <f>V311+X311</f>
        <v>9.48</v>
      </c>
      <c r="S312">
        <f>ROUND(IF(lpg_3[[#This Row],[zbiornik LPG]]&gt;15,0,(lpg_3[[#This Row],[km]]/2)*6/100),2)</f>
        <v>4.29</v>
      </c>
      <c r="T312">
        <f>ROUND(IF(lpg_3[[#This Row],[zbiornik LPG]]&gt;15,lpg_3[[#This Row],[km]]*9/100,(lpg_3[[#This Row],[km]]/2)*9/100),2)</f>
        <v>6.44</v>
      </c>
      <c r="U312">
        <f>lpg_3[[#This Row],[zbiornik PB95]]-lpg_3[[#This Row],[zuzycie PB95]]</f>
        <v>40.71</v>
      </c>
      <c r="V312">
        <f>lpg_3[[#This Row],[zbiornik LPG]]-lpg_3[[#This Row],[zyzucie lpg]]</f>
        <v>3.04</v>
      </c>
      <c r="W312">
        <f>IF(lpg_3[[#This Row],[dzien]]=4,IF(lpg_3[[#This Row],[pb po trasie]]&lt;40,45-lpg_3[[#This Row],[pb po trasie]],0),0)</f>
        <v>0</v>
      </c>
      <c r="X312">
        <f>IF(lpg_3[[#This Row],[lpg po trasie]]&lt;5,30-lpg_3[[#This Row],[lpg po trasie]],0)</f>
        <v>26.96</v>
      </c>
      <c r="Y312">
        <f>WEEKDAY(lpg_3[[#This Row],[data]],2)</f>
        <v>5</v>
      </c>
    </row>
    <row r="313" spans="1:25" x14ac:dyDescent="0.25">
      <c r="A313" s="1">
        <v>41951</v>
      </c>
      <c r="B313">
        <v>50</v>
      </c>
      <c r="C313">
        <f>G312+I312</f>
        <v>40.71</v>
      </c>
      <c r="D313">
        <f>H312+J312</f>
        <v>30</v>
      </c>
      <c r="E313">
        <f>ROUND(IF(lpg[[#This Row],[zbiornik LPG]]&gt;15,0,(lpg[[#This Row],[km]]/2)*6/100),2)</f>
        <v>0</v>
      </c>
      <c r="F313">
        <f>ROUND(IF(lpg[[#This Row],[zbiornik LPG]]&gt;15,lpg[[#This Row],[km]]*9/100,(lpg[[#This Row],[km]]/2)*9/100),2)</f>
        <v>4.5</v>
      </c>
      <c r="G313">
        <f>lpg[[#This Row],[zbiornik PB95]]-lpg[[#This Row],[zuzycie PB95]]</f>
        <v>40.71</v>
      </c>
      <c r="H313">
        <f>lpg[[#This Row],[zbiornik LPG]]-lpg[[#This Row],[zyzucie lpg]]</f>
        <v>25.5</v>
      </c>
      <c r="I313">
        <f>IF(lpg[[#This Row],[dzien]]=4,IF(lpg[[#This Row],[pb po trasie]]&lt;40,45-lpg[[#This Row],[pb po trasie]],0),0)</f>
        <v>0</v>
      </c>
      <c r="J313">
        <f>IF(lpg[[#This Row],[lpg po trasie]]&lt;5,30-lpg[[#This Row],[lpg po trasie]],0)</f>
        <v>0</v>
      </c>
      <c r="K313">
        <f>WEEKDAY(lpg[[#This Row],[data]],2)</f>
        <v>6</v>
      </c>
      <c r="O313" s="1">
        <v>41951</v>
      </c>
      <c r="P313">
        <v>50</v>
      </c>
      <c r="Q313">
        <f>U312+W312</f>
        <v>40.71</v>
      </c>
      <c r="R313">
        <f>V312+X312</f>
        <v>30</v>
      </c>
      <c r="S313">
        <f>ROUND(IF(lpg_3[[#This Row],[zbiornik LPG]]&gt;15,0,(lpg_3[[#This Row],[km]]/2)*6/100),2)</f>
        <v>0</v>
      </c>
      <c r="T313">
        <f>ROUND(IF(lpg_3[[#This Row],[zbiornik LPG]]&gt;15,lpg_3[[#This Row],[km]]*9/100,(lpg_3[[#This Row],[km]]/2)*9/100),2)</f>
        <v>4.5</v>
      </c>
      <c r="U313">
        <f>lpg_3[[#This Row],[zbiornik PB95]]-lpg_3[[#This Row],[zuzycie PB95]]</f>
        <v>40.71</v>
      </c>
      <c r="V313">
        <f>lpg_3[[#This Row],[zbiornik LPG]]-lpg_3[[#This Row],[zyzucie lpg]]</f>
        <v>25.5</v>
      </c>
      <c r="W313">
        <f>IF(lpg_3[[#This Row],[dzien]]=4,IF(lpg_3[[#This Row],[pb po trasie]]&lt;40,45-lpg_3[[#This Row],[pb po trasie]],0),0)</f>
        <v>0</v>
      </c>
      <c r="X313">
        <f>IF(lpg_3[[#This Row],[lpg po trasie]]&lt;5,30-lpg_3[[#This Row],[lpg po trasie]],0)</f>
        <v>0</v>
      </c>
      <c r="Y313">
        <f>WEEKDAY(lpg_3[[#This Row],[data]],2)</f>
        <v>6</v>
      </c>
    </row>
    <row r="314" spans="1:25" x14ac:dyDescent="0.25">
      <c r="A314" s="1">
        <v>41952</v>
      </c>
      <c r="B314">
        <v>105</v>
      </c>
      <c r="C314">
        <f>G313+I313</f>
        <v>40.71</v>
      </c>
      <c r="D314">
        <f>H313+J313</f>
        <v>25.5</v>
      </c>
      <c r="E314">
        <f>ROUND(IF(lpg[[#This Row],[zbiornik LPG]]&gt;15,0,(lpg[[#This Row],[km]]/2)*6/100),2)</f>
        <v>0</v>
      </c>
      <c r="F314">
        <f>ROUND(IF(lpg[[#This Row],[zbiornik LPG]]&gt;15,lpg[[#This Row],[km]]*9/100,(lpg[[#This Row],[km]]/2)*9/100),2)</f>
        <v>9.4499999999999993</v>
      </c>
      <c r="G314">
        <f>lpg[[#This Row],[zbiornik PB95]]-lpg[[#This Row],[zuzycie PB95]]</f>
        <v>40.71</v>
      </c>
      <c r="H314">
        <f>lpg[[#This Row],[zbiornik LPG]]-lpg[[#This Row],[zyzucie lpg]]</f>
        <v>16.05</v>
      </c>
      <c r="I314">
        <f>IF(lpg[[#This Row],[dzien]]=4,IF(lpg[[#This Row],[pb po trasie]]&lt;40,45-lpg[[#This Row],[pb po trasie]],0),0)</f>
        <v>0</v>
      </c>
      <c r="J314">
        <f>IF(lpg[[#This Row],[lpg po trasie]]&lt;5,30-lpg[[#This Row],[lpg po trasie]],0)</f>
        <v>0</v>
      </c>
      <c r="K314">
        <f>WEEKDAY(lpg[[#This Row],[data]],2)</f>
        <v>7</v>
      </c>
      <c r="O314" s="1">
        <v>41952</v>
      </c>
      <c r="P314">
        <v>105</v>
      </c>
      <c r="Q314">
        <f>U313+W313</f>
        <v>40.71</v>
      </c>
      <c r="R314">
        <f>V313+X313</f>
        <v>25.5</v>
      </c>
      <c r="S314">
        <f>ROUND(IF(lpg_3[[#This Row],[zbiornik LPG]]&gt;15,0,(lpg_3[[#This Row],[km]]/2)*6/100),2)</f>
        <v>0</v>
      </c>
      <c r="T314">
        <f>ROUND(IF(lpg_3[[#This Row],[zbiornik LPG]]&gt;15,lpg_3[[#This Row],[km]]*9/100,(lpg_3[[#This Row],[km]]/2)*9/100),2)</f>
        <v>9.4499999999999993</v>
      </c>
      <c r="U314">
        <f>lpg_3[[#This Row],[zbiornik PB95]]-lpg_3[[#This Row],[zuzycie PB95]]</f>
        <v>40.71</v>
      </c>
      <c r="V314">
        <f>lpg_3[[#This Row],[zbiornik LPG]]-lpg_3[[#This Row],[zyzucie lpg]]</f>
        <v>16.05</v>
      </c>
      <c r="W314">
        <f>IF(lpg_3[[#This Row],[dzien]]=4,IF(lpg_3[[#This Row],[pb po trasie]]&lt;40,45-lpg_3[[#This Row],[pb po trasie]],0),0)</f>
        <v>0</v>
      </c>
      <c r="X314">
        <f>IF(lpg_3[[#This Row],[lpg po trasie]]&lt;5,30-lpg_3[[#This Row],[lpg po trasie]],0)</f>
        <v>0</v>
      </c>
      <c r="Y314">
        <f>WEEKDAY(lpg_3[[#This Row],[data]],2)</f>
        <v>7</v>
      </c>
    </row>
    <row r="315" spans="1:25" x14ac:dyDescent="0.25">
      <c r="A315" s="1">
        <v>41953</v>
      </c>
      <c r="B315">
        <v>101</v>
      </c>
      <c r="C315">
        <f>G314+I314</f>
        <v>40.71</v>
      </c>
      <c r="D315">
        <f>H314+J314</f>
        <v>16.05</v>
      </c>
      <c r="E315">
        <f>ROUND(IF(lpg[[#This Row],[zbiornik LPG]]&gt;15,0,(lpg[[#This Row],[km]]/2)*6/100),2)</f>
        <v>0</v>
      </c>
      <c r="F315">
        <f>ROUND(IF(lpg[[#This Row],[zbiornik LPG]]&gt;15,lpg[[#This Row],[km]]*9/100,(lpg[[#This Row],[km]]/2)*9/100),2)</f>
        <v>9.09</v>
      </c>
      <c r="G315">
        <f>lpg[[#This Row],[zbiornik PB95]]-lpg[[#This Row],[zuzycie PB95]]</f>
        <v>40.71</v>
      </c>
      <c r="H315">
        <f>lpg[[#This Row],[zbiornik LPG]]-lpg[[#This Row],[zyzucie lpg]]</f>
        <v>6.9600000000000009</v>
      </c>
      <c r="I315">
        <f>IF(lpg[[#This Row],[dzien]]=4,IF(lpg[[#This Row],[pb po trasie]]&lt;40,45-lpg[[#This Row],[pb po trasie]],0),0)</f>
        <v>0</v>
      </c>
      <c r="J315">
        <f>IF(lpg[[#This Row],[lpg po trasie]]&lt;5,30-lpg[[#This Row],[lpg po trasie]],0)</f>
        <v>0</v>
      </c>
      <c r="K315">
        <f>WEEKDAY(lpg[[#This Row],[data]],2)</f>
        <v>1</v>
      </c>
      <c r="O315" s="1">
        <v>41953</v>
      </c>
      <c r="P315">
        <v>101</v>
      </c>
      <c r="Q315">
        <f>U314+W314</f>
        <v>40.71</v>
      </c>
      <c r="R315">
        <f>V314+X314</f>
        <v>16.05</v>
      </c>
      <c r="S315">
        <f>ROUND(IF(lpg_3[[#This Row],[zbiornik LPG]]&gt;15,0,(lpg_3[[#This Row],[km]]/2)*6/100),2)</f>
        <v>0</v>
      </c>
      <c r="T315">
        <f>ROUND(IF(lpg_3[[#This Row],[zbiornik LPG]]&gt;15,lpg_3[[#This Row],[km]]*9/100,(lpg_3[[#This Row],[km]]/2)*9/100),2)</f>
        <v>9.09</v>
      </c>
      <c r="U315">
        <f>lpg_3[[#This Row],[zbiornik PB95]]-lpg_3[[#This Row],[zuzycie PB95]]</f>
        <v>40.71</v>
      </c>
      <c r="V315">
        <f>lpg_3[[#This Row],[zbiornik LPG]]-lpg_3[[#This Row],[zyzucie lpg]]</f>
        <v>6.9600000000000009</v>
      </c>
      <c r="W315">
        <f>IF(lpg_3[[#This Row],[dzien]]=4,IF(lpg_3[[#This Row],[pb po trasie]]&lt;40,45-lpg_3[[#This Row],[pb po trasie]],0),0)</f>
        <v>0</v>
      </c>
      <c r="X315">
        <f>IF(lpg_3[[#This Row],[lpg po trasie]]&lt;5,30-lpg_3[[#This Row],[lpg po trasie]],0)</f>
        <v>0</v>
      </c>
      <c r="Y315">
        <f>WEEKDAY(lpg_3[[#This Row],[data]],2)</f>
        <v>1</v>
      </c>
    </row>
    <row r="316" spans="1:25" x14ac:dyDescent="0.25">
      <c r="A316" s="1">
        <v>41954</v>
      </c>
      <c r="B316">
        <v>114</v>
      </c>
      <c r="C316">
        <f>G315+I315</f>
        <v>40.71</v>
      </c>
      <c r="D316">
        <f>H315+J315</f>
        <v>6.9600000000000009</v>
      </c>
      <c r="E316">
        <f>ROUND(IF(lpg[[#This Row],[zbiornik LPG]]&gt;15,0,(lpg[[#This Row],[km]]/2)*6/100),2)</f>
        <v>3.42</v>
      </c>
      <c r="F316">
        <f>ROUND(IF(lpg[[#This Row],[zbiornik LPG]]&gt;15,lpg[[#This Row],[km]]*9/100,(lpg[[#This Row],[km]]/2)*9/100),2)</f>
        <v>5.13</v>
      </c>
      <c r="G316">
        <f>lpg[[#This Row],[zbiornik PB95]]-lpg[[#This Row],[zuzycie PB95]]</f>
        <v>37.29</v>
      </c>
      <c r="H316">
        <f>lpg[[#This Row],[zbiornik LPG]]-lpg[[#This Row],[zyzucie lpg]]</f>
        <v>1.830000000000001</v>
      </c>
      <c r="I316">
        <f>IF(lpg[[#This Row],[dzien]]=4,IF(lpg[[#This Row],[pb po trasie]]&lt;40,45-lpg[[#This Row],[pb po trasie]],0),0)</f>
        <v>0</v>
      </c>
      <c r="J316">
        <f>IF(lpg[[#This Row],[lpg po trasie]]&lt;5,30-lpg[[#This Row],[lpg po trasie]],0)</f>
        <v>28.169999999999998</v>
      </c>
      <c r="K316">
        <f>WEEKDAY(lpg[[#This Row],[data]],2)</f>
        <v>2</v>
      </c>
      <c r="O316" s="1">
        <v>41954</v>
      </c>
      <c r="P316">
        <v>114</v>
      </c>
      <c r="Q316">
        <f>U315+W315</f>
        <v>40.71</v>
      </c>
      <c r="R316">
        <f>V315+X315</f>
        <v>6.9600000000000009</v>
      </c>
      <c r="S316">
        <f>ROUND(IF(lpg_3[[#This Row],[zbiornik LPG]]&gt;15,0,(lpg_3[[#This Row],[km]]/2)*6/100),2)</f>
        <v>3.42</v>
      </c>
      <c r="T316">
        <f>ROUND(IF(lpg_3[[#This Row],[zbiornik LPG]]&gt;15,lpg_3[[#This Row],[km]]*9/100,(lpg_3[[#This Row],[km]]/2)*9/100),2)</f>
        <v>5.13</v>
      </c>
      <c r="U316">
        <f>lpg_3[[#This Row],[zbiornik PB95]]-lpg_3[[#This Row],[zuzycie PB95]]</f>
        <v>37.29</v>
      </c>
      <c r="V316">
        <f>lpg_3[[#This Row],[zbiornik LPG]]-lpg_3[[#This Row],[zyzucie lpg]]</f>
        <v>1.830000000000001</v>
      </c>
      <c r="W316">
        <f>IF(lpg_3[[#This Row],[dzien]]=4,IF(lpg_3[[#This Row],[pb po trasie]]&lt;40,45-lpg_3[[#This Row],[pb po trasie]],0),0)</f>
        <v>0</v>
      </c>
      <c r="X316">
        <f>IF(lpg_3[[#This Row],[lpg po trasie]]&lt;5,30-lpg_3[[#This Row],[lpg po trasie]],0)</f>
        <v>28.169999999999998</v>
      </c>
      <c r="Y316">
        <f>WEEKDAY(lpg_3[[#This Row],[data]],2)</f>
        <v>2</v>
      </c>
    </row>
    <row r="317" spans="1:25" x14ac:dyDescent="0.25">
      <c r="A317" s="1">
        <v>41955</v>
      </c>
      <c r="B317">
        <v>106</v>
      </c>
      <c r="C317">
        <f>G316+I316</f>
        <v>37.29</v>
      </c>
      <c r="D317">
        <f>H316+J316</f>
        <v>30</v>
      </c>
      <c r="E317">
        <f>ROUND(IF(lpg[[#This Row],[zbiornik LPG]]&gt;15,0,(lpg[[#This Row],[km]]/2)*6/100),2)</f>
        <v>0</v>
      </c>
      <c r="F317">
        <f>ROUND(IF(lpg[[#This Row],[zbiornik LPG]]&gt;15,lpg[[#This Row],[km]]*9/100,(lpg[[#This Row],[km]]/2)*9/100),2)</f>
        <v>9.5399999999999991</v>
      </c>
      <c r="G317">
        <f>lpg[[#This Row],[zbiornik PB95]]-lpg[[#This Row],[zuzycie PB95]]</f>
        <v>37.29</v>
      </c>
      <c r="H317">
        <f>lpg[[#This Row],[zbiornik LPG]]-lpg[[#This Row],[zyzucie lpg]]</f>
        <v>20.46</v>
      </c>
      <c r="I317">
        <f>IF(lpg[[#This Row],[dzien]]=4,IF(lpg[[#This Row],[pb po trasie]]&lt;40,45-lpg[[#This Row],[pb po trasie]],0),0)</f>
        <v>0</v>
      </c>
      <c r="J317">
        <f>IF(lpg[[#This Row],[lpg po trasie]]&lt;5,30-lpg[[#This Row],[lpg po trasie]],0)</f>
        <v>0</v>
      </c>
      <c r="K317">
        <f>WEEKDAY(lpg[[#This Row],[data]],2)</f>
        <v>3</v>
      </c>
      <c r="O317" s="1">
        <v>41955</v>
      </c>
      <c r="P317">
        <v>106</v>
      </c>
      <c r="Q317">
        <f>U316+W316</f>
        <v>37.29</v>
      </c>
      <c r="R317">
        <f>V316+X316</f>
        <v>30</v>
      </c>
      <c r="S317">
        <f>ROUND(IF(lpg_3[[#This Row],[zbiornik LPG]]&gt;15,0,(lpg_3[[#This Row],[km]]/2)*6/100),2)</f>
        <v>0</v>
      </c>
      <c r="T317">
        <f>ROUND(IF(lpg_3[[#This Row],[zbiornik LPG]]&gt;15,lpg_3[[#This Row],[km]]*9/100,(lpg_3[[#This Row],[km]]/2)*9/100),2)</f>
        <v>9.5399999999999991</v>
      </c>
      <c r="U317">
        <f>lpg_3[[#This Row],[zbiornik PB95]]-lpg_3[[#This Row],[zuzycie PB95]]</f>
        <v>37.29</v>
      </c>
      <c r="V317">
        <f>lpg_3[[#This Row],[zbiornik LPG]]-lpg_3[[#This Row],[zyzucie lpg]]</f>
        <v>20.46</v>
      </c>
      <c r="W317">
        <f>IF(lpg_3[[#This Row],[dzien]]=4,IF(lpg_3[[#This Row],[pb po trasie]]&lt;40,45-lpg_3[[#This Row],[pb po trasie]],0),0)</f>
        <v>0</v>
      </c>
      <c r="X317">
        <f>IF(lpg_3[[#This Row],[lpg po trasie]]&lt;5,30-lpg_3[[#This Row],[lpg po trasie]],0)</f>
        <v>0</v>
      </c>
      <c r="Y317">
        <f>WEEKDAY(lpg_3[[#This Row],[data]],2)</f>
        <v>3</v>
      </c>
    </row>
    <row r="318" spans="1:25" x14ac:dyDescent="0.25">
      <c r="A318" s="1">
        <v>41956</v>
      </c>
      <c r="B318">
        <v>79</v>
      </c>
      <c r="C318">
        <f>G317+I317</f>
        <v>37.29</v>
      </c>
      <c r="D318">
        <f>H317+J317</f>
        <v>20.46</v>
      </c>
      <c r="E318">
        <f>ROUND(IF(lpg[[#This Row],[zbiornik LPG]]&gt;15,0,(lpg[[#This Row],[km]]/2)*6/100),2)</f>
        <v>0</v>
      </c>
      <c r="F318">
        <f>ROUND(IF(lpg[[#This Row],[zbiornik LPG]]&gt;15,lpg[[#This Row],[km]]*9/100,(lpg[[#This Row],[km]]/2)*9/100),2)</f>
        <v>7.11</v>
      </c>
      <c r="G318">
        <f>lpg[[#This Row],[zbiornik PB95]]-lpg[[#This Row],[zuzycie PB95]]</f>
        <v>37.29</v>
      </c>
      <c r="H318">
        <f>lpg[[#This Row],[zbiornik LPG]]-lpg[[#This Row],[zyzucie lpg]]</f>
        <v>13.350000000000001</v>
      </c>
      <c r="I318">
        <f>IF(lpg[[#This Row],[dzien]]=4,IF(lpg[[#This Row],[pb po trasie]]&lt;40,45-lpg[[#This Row],[pb po trasie]],0),0)</f>
        <v>7.7100000000000009</v>
      </c>
      <c r="J318">
        <f>IF(lpg[[#This Row],[lpg po trasie]]&lt;5,30-lpg[[#This Row],[lpg po trasie]],0)</f>
        <v>0</v>
      </c>
      <c r="K318">
        <f>WEEKDAY(lpg[[#This Row],[data]],2)</f>
        <v>4</v>
      </c>
      <c r="O318" s="1">
        <v>41956</v>
      </c>
      <c r="P318">
        <v>79</v>
      </c>
      <c r="Q318">
        <f>U317+W317</f>
        <v>37.29</v>
      </c>
      <c r="R318">
        <f>V317+X317</f>
        <v>20.46</v>
      </c>
      <c r="S318">
        <f>ROUND(IF(lpg_3[[#This Row],[zbiornik LPG]]&gt;15,0,(lpg_3[[#This Row],[km]]/2)*6/100),2)</f>
        <v>0</v>
      </c>
      <c r="T318">
        <f>ROUND(IF(lpg_3[[#This Row],[zbiornik LPG]]&gt;15,lpg_3[[#This Row],[km]]*9/100,(lpg_3[[#This Row],[km]]/2)*9/100),2)</f>
        <v>7.11</v>
      </c>
      <c r="U318">
        <f>lpg_3[[#This Row],[zbiornik PB95]]-lpg_3[[#This Row],[zuzycie PB95]]</f>
        <v>37.29</v>
      </c>
      <c r="V318">
        <f>lpg_3[[#This Row],[zbiornik LPG]]-lpg_3[[#This Row],[zyzucie lpg]]</f>
        <v>13.350000000000001</v>
      </c>
      <c r="W318">
        <f>IF(lpg_3[[#This Row],[dzien]]=4,IF(lpg_3[[#This Row],[pb po trasie]]&lt;40,45-lpg_3[[#This Row],[pb po trasie]],0),0)</f>
        <v>7.7100000000000009</v>
      </c>
      <c r="X318">
        <f>IF(lpg_3[[#This Row],[lpg po trasie]]&lt;5,30-lpg_3[[#This Row],[lpg po trasie]],0)</f>
        <v>0</v>
      </c>
      <c r="Y318">
        <f>WEEKDAY(lpg_3[[#This Row],[data]],2)</f>
        <v>4</v>
      </c>
    </row>
    <row r="319" spans="1:25" x14ac:dyDescent="0.25">
      <c r="A319" s="1">
        <v>41957</v>
      </c>
      <c r="B319">
        <v>20</v>
      </c>
      <c r="C319">
        <f>G318+I318</f>
        <v>45</v>
      </c>
      <c r="D319">
        <f>H318+J318</f>
        <v>13.350000000000001</v>
      </c>
      <c r="E319">
        <f>ROUND(IF(lpg[[#This Row],[zbiornik LPG]]&gt;15,0,(lpg[[#This Row],[km]]/2)*6/100),2)</f>
        <v>0.6</v>
      </c>
      <c r="F319">
        <f>ROUND(IF(lpg[[#This Row],[zbiornik LPG]]&gt;15,lpg[[#This Row],[km]]*9/100,(lpg[[#This Row],[km]]/2)*9/100),2)</f>
        <v>0.9</v>
      </c>
      <c r="G319">
        <f>lpg[[#This Row],[zbiornik PB95]]-lpg[[#This Row],[zuzycie PB95]]</f>
        <v>44.4</v>
      </c>
      <c r="H319">
        <f>lpg[[#This Row],[zbiornik LPG]]-lpg[[#This Row],[zyzucie lpg]]</f>
        <v>12.450000000000001</v>
      </c>
      <c r="I319">
        <f>IF(lpg[[#This Row],[dzien]]=4,IF(lpg[[#This Row],[pb po trasie]]&lt;40,45-lpg[[#This Row],[pb po trasie]],0),0)</f>
        <v>0</v>
      </c>
      <c r="J319">
        <f>IF(lpg[[#This Row],[lpg po trasie]]&lt;5,30-lpg[[#This Row],[lpg po trasie]],0)</f>
        <v>0</v>
      </c>
      <c r="K319">
        <f>WEEKDAY(lpg[[#This Row],[data]],2)</f>
        <v>5</v>
      </c>
      <c r="O319" s="1">
        <v>41957</v>
      </c>
      <c r="P319">
        <v>20</v>
      </c>
      <c r="Q319">
        <f>U318+W318</f>
        <v>45</v>
      </c>
      <c r="R319">
        <f>V318+X318</f>
        <v>13.350000000000001</v>
      </c>
      <c r="S319">
        <f>ROUND(IF(lpg_3[[#This Row],[zbiornik LPG]]&gt;15,0,(lpg_3[[#This Row],[km]]/2)*6/100),2)</f>
        <v>0.6</v>
      </c>
      <c r="T319">
        <f>ROUND(IF(lpg_3[[#This Row],[zbiornik LPG]]&gt;15,lpg_3[[#This Row],[km]]*9/100,(lpg_3[[#This Row],[km]]/2)*9/100),2)</f>
        <v>0.9</v>
      </c>
      <c r="U319">
        <f>lpg_3[[#This Row],[zbiornik PB95]]-lpg_3[[#This Row],[zuzycie PB95]]</f>
        <v>44.4</v>
      </c>
      <c r="V319">
        <f>lpg_3[[#This Row],[zbiornik LPG]]-lpg_3[[#This Row],[zyzucie lpg]]</f>
        <v>12.450000000000001</v>
      </c>
      <c r="W319">
        <f>IF(lpg_3[[#This Row],[dzien]]=4,IF(lpg_3[[#This Row],[pb po trasie]]&lt;40,45-lpg_3[[#This Row],[pb po trasie]],0),0)</f>
        <v>0</v>
      </c>
      <c r="X319">
        <f>IF(lpg_3[[#This Row],[lpg po trasie]]&lt;5,30-lpg_3[[#This Row],[lpg po trasie]],0)</f>
        <v>0</v>
      </c>
      <c r="Y319">
        <f>WEEKDAY(lpg_3[[#This Row],[data]],2)</f>
        <v>5</v>
      </c>
    </row>
    <row r="320" spans="1:25" x14ac:dyDescent="0.25">
      <c r="A320" s="1">
        <v>41958</v>
      </c>
      <c r="B320">
        <v>27</v>
      </c>
      <c r="C320">
        <f>G319+I319</f>
        <v>44.4</v>
      </c>
      <c r="D320">
        <f>H319+J319</f>
        <v>12.450000000000001</v>
      </c>
      <c r="E320">
        <f>ROUND(IF(lpg[[#This Row],[zbiornik LPG]]&gt;15,0,(lpg[[#This Row],[km]]/2)*6/100),2)</f>
        <v>0.81</v>
      </c>
      <c r="F320">
        <f>ROUND(IF(lpg[[#This Row],[zbiornik LPG]]&gt;15,lpg[[#This Row],[km]]*9/100,(lpg[[#This Row],[km]]/2)*9/100),2)</f>
        <v>1.22</v>
      </c>
      <c r="G320">
        <f>lpg[[#This Row],[zbiornik PB95]]-lpg[[#This Row],[zuzycie PB95]]</f>
        <v>43.589999999999996</v>
      </c>
      <c r="H320">
        <f>lpg[[#This Row],[zbiornik LPG]]-lpg[[#This Row],[zyzucie lpg]]</f>
        <v>11.23</v>
      </c>
      <c r="I320">
        <f>IF(lpg[[#This Row],[dzien]]=4,IF(lpg[[#This Row],[pb po trasie]]&lt;40,45-lpg[[#This Row],[pb po trasie]],0),0)</f>
        <v>0</v>
      </c>
      <c r="J320">
        <f>IF(lpg[[#This Row],[lpg po trasie]]&lt;5,30-lpg[[#This Row],[lpg po trasie]],0)</f>
        <v>0</v>
      </c>
      <c r="K320">
        <f>WEEKDAY(lpg[[#This Row],[data]],2)</f>
        <v>6</v>
      </c>
      <c r="O320" s="1">
        <v>41958</v>
      </c>
      <c r="P320">
        <v>27</v>
      </c>
      <c r="Q320">
        <f>U319+W319</f>
        <v>44.4</v>
      </c>
      <c r="R320">
        <f>V319+X319</f>
        <v>12.450000000000001</v>
      </c>
      <c r="S320">
        <f>ROUND(IF(lpg_3[[#This Row],[zbiornik LPG]]&gt;15,0,(lpg_3[[#This Row],[km]]/2)*6/100),2)</f>
        <v>0.81</v>
      </c>
      <c r="T320">
        <f>ROUND(IF(lpg_3[[#This Row],[zbiornik LPG]]&gt;15,lpg_3[[#This Row],[km]]*9/100,(lpg_3[[#This Row],[km]]/2)*9/100),2)</f>
        <v>1.22</v>
      </c>
      <c r="U320">
        <f>lpg_3[[#This Row],[zbiornik PB95]]-lpg_3[[#This Row],[zuzycie PB95]]</f>
        <v>43.589999999999996</v>
      </c>
      <c r="V320">
        <f>lpg_3[[#This Row],[zbiornik LPG]]-lpg_3[[#This Row],[zyzucie lpg]]</f>
        <v>11.23</v>
      </c>
      <c r="W320">
        <f>IF(lpg_3[[#This Row],[dzien]]=4,IF(lpg_3[[#This Row],[pb po trasie]]&lt;40,45-lpg_3[[#This Row],[pb po trasie]],0),0)</f>
        <v>0</v>
      </c>
      <c r="X320">
        <f>IF(lpg_3[[#This Row],[lpg po trasie]]&lt;5,30-lpg_3[[#This Row],[lpg po trasie]],0)</f>
        <v>0</v>
      </c>
      <c r="Y320">
        <f>WEEKDAY(lpg_3[[#This Row],[data]],2)</f>
        <v>6</v>
      </c>
    </row>
    <row r="321" spans="1:25" x14ac:dyDescent="0.25">
      <c r="A321" s="1">
        <v>41959</v>
      </c>
      <c r="B321">
        <v>23</v>
      </c>
      <c r="C321">
        <f>G320+I320</f>
        <v>43.589999999999996</v>
      </c>
      <c r="D321">
        <f>H320+J320</f>
        <v>11.23</v>
      </c>
      <c r="E321">
        <f>ROUND(IF(lpg[[#This Row],[zbiornik LPG]]&gt;15,0,(lpg[[#This Row],[km]]/2)*6/100),2)</f>
        <v>0.69</v>
      </c>
      <c r="F321">
        <f>ROUND(IF(lpg[[#This Row],[zbiornik LPG]]&gt;15,lpg[[#This Row],[km]]*9/100,(lpg[[#This Row],[km]]/2)*9/100),2)</f>
        <v>1.04</v>
      </c>
      <c r="G321">
        <f>lpg[[#This Row],[zbiornik PB95]]-lpg[[#This Row],[zuzycie PB95]]</f>
        <v>42.9</v>
      </c>
      <c r="H321">
        <f>lpg[[#This Row],[zbiornik LPG]]-lpg[[#This Row],[zyzucie lpg]]</f>
        <v>10.190000000000001</v>
      </c>
      <c r="I321">
        <f>IF(lpg[[#This Row],[dzien]]=4,IF(lpg[[#This Row],[pb po trasie]]&lt;40,45-lpg[[#This Row],[pb po trasie]],0),0)</f>
        <v>0</v>
      </c>
      <c r="J321">
        <f>IF(lpg[[#This Row],[lpg po trasie]]&lt;5,30-lpg[[#This Row],[lpg po trasie]],0)</f>
        <v>0</v>
      </c>
      <c r="K321">
        <f>WEEKDAY(lpg[[#This Row],[data]],2)</f>
        <v>7</v>
      </c>
      <c r="O321" s="1">
        <v>41959</v>
      </c>
      <c r="P321">
        <v>23</v>
      </c>
      <c r="Q321">
        <f>U320+W320</f>
        <v>43.589999999999996</v>
      </c>
      <c r="R321">
        <f>V320+X320</f>
        <v>11.23</v>
      </c>
      <c r="S321">
        <f>ROUND(IF(lpg_3[[#This Row],[zbiornik LPG]]&gt;15,0,(lpg_3[[#This Row],[km]]/2)*6/100),2)</f>
        <v>0.69</v>
      </c>
      <c r="T321">
        <f>ROUND(IF(lpg_3[[#This Row],[zbiornik LPG]]&gt;15,lpg_3[[#This Row],[km]]*9/100,(lpg_3[[#This Row],[km]]/2)*9/100),2)</f>
        <v>1.04</v>
      </c>
      <c r="U321">
        <f>lpg_3[[#This Row],[zbiornik PB95]]-lpg_3[[#This Row],[zuzycie PB95]]</f>
        <v>42.9</v>
      </c>
      <c r="V321">
        <f>lpg_3[[#This Row],[zbiornik LPG]]-lpg_3[[#This Row],[zyzucie lpg]]</f>
        <v>10.190000000000001</v>
      </c>
      <c r="W321">
        <f>IF(lpg_3[[#This Row],[dzien]]=4,IF(lpg_3[[#This Row],[pb po trasie]]&lt;40,45-lpg_3[[#This Row],[pb po trasie]],0),0)</f>
        <v>0</v>
      </c>
      <c r="X321">
        <f>IF(lpg_3[[#This Row],[lpg po trasie]]&lt;5,30-lpg_3[[#This Row],[lpg po trasie]],0)</f>
        <v>0</v>
      </c>
      <c r="Y321">
        <f>WEEKDAY(lpg_3[[#This Row],[data]],2)</f>
        <v>7</v>
      </c>
    </row>
    <row r="322" spans="1:25" x14ac:dyDescent="0.25">
      <c r="A322" s="1">
        <v>41960</v>
      </c>
      <c r="B322">
        <v>106</v>
      </c>
      <c r="C322">
        <f>G321+I321</f>
        <v>42.9</v>
      </c>
      <c r="D322">
        <f>H321+J321</f>
        <v>10.190000000000001</v>
      </c>
      <c r="E322">
        <f>ROUND(IF(lpg[[#This Row],[zbiornik LPG]]&gt;15,0,(lpg[[#This Row],[km]]/2)*6/100),2)</f>
        <v>3.18</v>
      </c>
      <c r="F322">
        <f>ROUND(IF(lpg[[#This Row],[zbiornik LPG]]&gt;15,lpg[[#This Row],[km]]*9/100,(lpg[[#This Row],[km]]/2)*9/100),2)</f>
        <v>4.7699999999999996</v>
      </c>
      <c r="G322">
        <f>lpg[[#This Row],[zbiornik PB95]]-lpg[[#This Row],[zuzycie PB95]]</f>
        <v>39.72</v>
      </c>
      <c r="H322">
        <f>lpg[[#This Row],[zbiornik LPG]]-lpg[[#This Row],[zyzucie lpg]]</f>
        <v>5.4200000000000017</v>
      </c>
      <c r="I322">
        <f>IF(lpg[[#This Row],[dzien]]=4,IF(lpg[[#This Row],[pb po trasie]]&lt;40,45-lpg[[#This Row],[pb po trasie]],0),0)</f>
        <v>0</v>
      </c>
      <c r="J322">
        <f>IF(lpg[[#This Row],[lpg po trasie]]&lt;5,30-lpg[[#This Row],[lpg po trasie]],0)</f>
        <v>0</v>
      </c>
      <c r="K322">
        <f>WEEKDAY(lpg[[#This Row],[data]],2)</f>
        <v>1</v>
      </c>
      <c r="O322" s="1">
        <v>41960</v>
      </c>
      <c r="P322">
        <v>106</v>
      </c>
      <c r="Q322">
        <f>U321+W321</f>
        <v>42.9</v>
      </c>
      <c r="R322">
        <f>V321+X321</f>
        <v>10.190000000000001</v>
      </c>
      <c r="S322">
        <f>ROUND(IF(lpg_3[[#This Row],[zbiornik LPG]]&gt;15,0,(lpg_3[[#This Row],[km]]/2)*6/100),2)</f>
        <v>3.18</v>
      </c>
      <c r="T322">
        <f>ROUND(IF(lpg_3[[#This Row],[zbiornik LPG]]&gt;15,lpg_3[[#This Row],[km]]*9/100,(lpg_3[[#This Row],[km]]/2)*9/100),2)</f>
        <v>4.7699999999999996</v>
      </c>
      <c r="U322">
        <f>lpg_3[[#This Row],[zbiornik PB95]]-lpg_3[[#This Row],[zuzycie PB95]]</f>
        <v>39.72</v>
      </c>
      <c r="V322">
        <f>lpg_3[[#This Row],[zbiornik LPG]]-lpg_3[[#This Row],[zyzucie lpg]]</f>
        <v>5.4200000000000017</v>
      </c>
      <c r="W322">
        <f>IF(lpg_3[[#This Row],[dzien]]=4,IF(lpg_3[[#This Row],[pb po trasie]]&lt;40,45-lpg_3[[#This Row],[pb po trasie]],0),0)</f>
        <v>0</v>
      </c>
      <c r="X322">
        <f>IF(lpg_3[[#This Row],[lpg po trasie]]&lt;5,30-lpg_3[[#This Row],[lpg po trasie]],0)</f>
        <v>0</v>
      </c>
      <c r="Y322">
        <f>WEEKDAY(lpg_3[[#This Row],[data]],2)</f>
        <v>1</v>
      </c>
    </row>
    <row r="323" spans="1:25" x14ac:dyDescent="0.25">
      <c r="A323" s="1">
        <v>41961</v>
      </c>
      <c r="B323">
        <v>90</v>
      </c>
      <c r="C323">
        <f>G322+I322</f>
        <v>39.72</v>
      </c>
      <c r="D323">
        <f>H322+J322</f>
        <v>5.4200000000000017</v>
      </c>
      <c r="E323">
        <f>ROUND(IF(lpg[[#This Row],[zbiornik LPG]]&gt;15,0,(lpg[[#This Row],[km]]/2)*6/100),2)</f>
        <v>2.7</v>
      </c>
      <c r="F323">
        <f>ROUND(IF(lpg[[#This Row],[zbiornik LPG]]&gt;15,lpg[[#This Row],[km]]*9/100,(lpg[[#This Row],[km]]/2)*9/100),2)</f>
        <v>4.05</v>
      </c>
      <c r="G323">
        <f>lpg[[#This Row],[zbiornik PB95]]-lpg[[#This Row],[zuzycie PB95]]</f>
        <v>37.019999999999996</v>
      </c>
      <c r="H323">
        <f>lpg[[#This Row],[zbiornik LPG]]-lpg[[#This Row],[zyzucie lpg]]</f>
        <v>1.3700000000000019</v>
      </c>
      <c r="I323">
        <f>IF(lpg[[#This Row],[dzien]]=4,IF(lpg[[#This Row],[pb po trasie]]&lt;40,45-lpg[[#This Row],[pb po trasie]],0),0)</f>
        <v>0</v>
      </c>
      <c r="J323">
        <f>IF(lpg[[#This Row],[lpg po trasie]]&lt;5,30-lpg[[#This Row],[lpg po trasie]],0)</f>
        <v>28.63</v>
      </c>
      <c r="K323">
        <f>WEEKDAY(lpg[[#This Row],[data]],2)</f>
        <v>2</v>
      </c>
      <c r="O323" s="1">
        <v>41961</v>
      </c>
      <c r="P323">
        <v>90</v>
      </c>
      <c r="Q323">
        <f>U322+W322</f>
        <v>39.72</v>
      </c>
      <c r="R323">
        <f>V322+X322</f>
        <v>5.4200000000000017</v>
      </c>
      <c r="S323">
        <f>ROUND(IF(lpg_3[[#This Row],[zbiornik LPG]]&gt;15,0,(lpg_3[[#This Row],[km]]/2)*6/100),2)</f>
        <v>2.7</v>
      </c>
      <c r="T323">
        <f>ROUND(IF(lpg_3[[#This Row],[zbiornik LPG]]&gt;15,lpg_3[[#This Row],[km]]*9/100,(lpg_3[[#This Row],[km]]/2)*9/100),2)</f>
        <v>4.05</v>
      </c>
      <c r="U323">
        <f>lpg_3[[#This Row],[zbiornik PB95]]-lpg_3[[#This Row],[zuzycie PB95]]</f>
        <v>37.019999999999996</v>
      </c>
      <c r="V323">
        <f>lpg_3[[#This Row],[zbiornik LPG]]-lpg_3[[#This Row],[zyzucie lpg]]</f>
        <v>1.3700000000000019</v>
      </c>
      <c r="W323">
        <f>IF(lpg_3[[#This Row],[dzien]]=4,IF(lpg_3[[#This Row],[pb po trasie]]&lt;40,45-lpg_3[[#This Row],[pb po trasie]],0),0)</f>
        <v>0</v>
      </c>
      <c r="X323">
        <f>IF(lpg_3[[#This Row],[lpg po trasie]]&lt;5,30-lpg_3[[#This Row],[lpg po trasie]],0)</f>
        <v>28.63</v>
      </c>
      <c r="Y323">
        <f>WEEKDAY(lpg_3[[#This Row],[data]],2)</f>
        <v>2</v>
      </c>
    </row>
    <row r="324" spans="1:25" x14ac:dyDescent="0.25">
      <c r="A324" s="1">
        <v>41962</v>
      </c>
      <c r="B324">
        <v>119</v>
      </c>
      <c r="C324">
        <f>G323+I323</f>
        <v>37.019999999999996</v>
      </c>
      <c r="D324">
        <f>H323+J323</f>
        <v>30</v>
      </c>
      <c r="E324">
        <f>ROUND(IF(lpg[[#This Row],[zbiornik LPG]]&gt;15,0,(lpg[[#This Row],[km]]/2)*6/100),2)</f>
        <v>0</v>
      </c>
      <c r="F324">
        <f>ROUND(IF(lpg[[#This Row],[zbiornik LPG]]&gt;15,lpg[[#This Row],[km]]*9/100,(lpg[[#This Row],[km]]/2)*9/100),2)</f>
        <v>10.71</v>
      </c>
      <c r="G324">
        <f>lpg[[#This Row],[zbiornik PB95]]-lpg[[#This Row],[zuzycie PB95]]</f>
        <v>37.019999999999996</v>
      </c>
      <c r="H324">
        <f>lpg[[#This Row],[zbiornik LPG]]-lpg[[#This Row],[zyzucie lpg]]</f>
        <v>19.29</v>
      </c>
      <c r="I324">
        <f>IF(lpg[[#This Row],[dzien]]=4,IF(lpg[[#This Row],[pb po trasie]]&lt;40,45-lpg[[#This Row],[pb po trasie]],0),0)</f>
        <v>0</v>
      </c>
      <c r="J324">
        <f>IF(lpg[[#This Row],[lpg po trasie]]&lt;5,30-lpg[[#This Row],[lpg po trasie]],0)</f>
        <v>0</v>
      </c>
      <c r="K324">
        <f>WEEKDAY(lpg[[#This Row],[data]],2)</f>
        <v>3</v>
      </c>
      <c r="O324" s="1">
        <v>41962</v>
      </c>
      <c r="P324">
        <v>119</v>
      </c>
      <c r="Q324">
        <f>U323+W323</f>
        <v>37.019999999999996</v>
      </c>
      <c r="R324">
        <f>V323+X323</f>
        <v>30</v>
      </c>
      <c r="S324">
        <f>ROUND(IF(lpg_3[[#This Row],[zbiornik LPG]]&gt;15,0,(lpg_3[[#This Row],[km]]/2)*6/100),2)</f>
        <v>0</v>
      </c>
      <c r="T324">
        <f>ROUND(IF(lpg_3[[#This Row],[zbiornik LPG]]&gt;15,lpg_3[[#This Row],[km]]*9/100,(lpg_3[[#This Row],[km]]/2)*9/100),2)</f>
        <v>10.71</v>
      </c>
      <c r="U324">
        <f>lpg_3[[#This Row],[zbiornik PB95]]-lpg_3[[#This Row],[zuzycie PB95]]</f>
        <v>37.019999999999996</v>
      </c>
      <c r="V324">
        <f>lpg_3[[#This Row],[zbiornik LPG]]-lpg_3[[#This Row],[zyzucie lpg]]</f>
        <v>19.29</v>
      </c>
      <c r="W324">
        <f>IF(lpg_3[[#This Row],[dzien]]=4,IF(lpg_3[[#This Row],[pb po trasie]]&lt;40,45-lpg_3[[#This Row],[pb po trasie]],0),0)</f>
        <v>0</v>
      </c>
      <c r="X324">
        <f>IF(lpg_3[[#This Row],[lpg po trasie]]&lt;5,30-lpg_3[[#This Row],[lpg po trasie]],0)</f>
        <v>0</v>
      </c>
      <c r="Y324">
        <f>WEEKDAY(lpg_3[[#This Row],[data]],2)</f>
        <v>3</v>
      </c>
    </row>
    <row r="325" spans="1:25" x14ac:dyDescent="0.25">
      <c r="A325" s="1">
        <v>41963</v>
      </c>
      <c r="B325">
        <v>110</v>
      </c>
      <c r="C325">
        <f>G324+I324</f>
        <v>37.019999999999996</v>
      </c>
      <c r="D325">
        <f>H324+J324</f>
        <v>19.29</v>
      </c>
      <c r="E325">
        <f>ROUND(IF(lpg[[#This Row],[zbiornik LPG]]&gt;15,0,(lpg[[#This Row],[km]]/2)*6/100),2)</f>
        <v>0</v>
      </c>
      <c r="F325">
        <f>ROUND(IF(lpg[[#This Row],[zbiornik LPG]]&gt;15,lpg[[#This Row],[km]]*9/100,(lpg[[#This Row],[km]]/2)*9/100),2)</f>
        <v>9.9</v>
      </c>
      <c r="G325">
        <f>lpg[[#This Row],[zbiornik PB95]]-lpg[[#This Row],[zuzycie PB95]]</f>
        <v>37.019999999999996</v>
      </c>
      <c r="H325">
        <f>lpg[[#This Row],[zbiornik LPG]]-lpg[[#This Row],[zyzucie lpg]]</f>
        <v>9.3899999999999988</v>
      </c>
      <c r="I325">
        <f>IF(lpg[[#This Row],[dzien]]=4,IF(lpg[[#This Row],[pb po trasie]]&lt;40,45-lpg[[#This Row],[pb po trasie]],0),0)</f>
        <v>7.980000000000004</v>
      </c>
      <c r="J325">
        <f>IF(lpg[[#This Row],[lpg po trasie]]&lt;5,30-lpg[[#This Row],[lpg po trasie]],0)</f>
        <v>0</v>
      </c>
      <c r="K325">
        <f>WEEKDAY(lpg[[#This Row],[data]],2)</f>
        <v>4</v>
      </c>
      <c r="O325" s="1">
        <v>41963</v>
      </c>
      <c r="P325">
        <v>110</v>
      </c>
      <c r="Q325">
        <f>U324+W324</f>
        <v>37.019999999999996</v>
      </c>
      <c r="R325">
        <f>V324+X324</f>
        <v>19.29</v>
      </c>
      <c r="S325">
        <f>ROUND(IF(lpg_3[[#This Row],[zbiornik LPG]]&gt;15,0,(lpg_3[[#This Row],[km]]/2)*6/100),2)</f>
        <v>0</v>
      </c>
      <c r="T325">
        <f>ROUND(IF(lpg_3[[#This Row],[zbiornik LPG]]&gt;15,lpg_3[[#This Row],[km]]*9/100,(lpg_3[[#This Row],[km]]/2)*9/100),2)</f>
        <v>9.9</v>
      </c>
      <c r="U325">
        <f>lpg_3[[#This Row],[zbiornik PB95]]-lpg_3[[#This Row],[zuzycie PB95]]</f>
        <v>37.019999999999996</v>
      </c>
      <c r="V325">
        <f>lpg_3[[#This Row],[zbiornik LPG]]-lpg_3[[#This Row],[zyzucie lpg]]</f>
        <v>9.3899999999999988</v>
      </c>
      <c r="W325">
        <f>IF(lpg_3[[#This Row],[dzien]]=4,IF(lpg_3[[#This Row],[pb po trasie]]&lt;40,45-lpg_3[[#This Row],[pb po trasie]],0),0)</f>
        <v>7.980000000000004</v>
      </c>
      <c r="X325">
        <f>IF(lpg_3[[#This Row],[lpg po trasie]]&lt;5,30-lpg_3[[#This Row],[lpg po trasie]],0)</f>
        <v>0</v>
      </c>
      <c r="Y325">
        <f>WEEKDAY(lpg_3[[#This Row],[data]],2)</f>
        <v>4</v>
      </c>
    </row>
    <row r="326" spans="1:25" x14ac:dyDescent="0.25">
      <c r="A326" s="1">
        <v>41964</v>
      </c>
      <c r="B326">
        <v>23</v>
      </c>
      <c r="C326">
        <f>G325+I325</f>
        <v>45</v>
      </c>
      <c r="D326">
        <f>H325+J325</f>
        <v>9.3899999999999988</v>
      </c>
      <c r="E326">
        <f>ROUND(IF(lpg[[#This Row],[zbiornik LPG]]&gt;15,0,(lpg[[#This Row],[km]]/2)*6/100),2)</f>
        <v>0.69</v>
      </c>
      <c r="F326">
        <f>ROUND(IF(lpg[[#This Row],[zbiornik LPG]]&gt;15,lpg[[#This Row],[km]]*9/100,(lpg[[#This Row],[km]]/2)*9/100),2)</f>
        <v>1.04</v>
      </c>
      <c r="G326">
        <f>lpg[[#This Row],[zbiornik PB95]]-lpg[[#This Row],[zuzycie PB95]]</f>
        <v>44.31</v>
      </c>
      <c r="H326">
        <f>lpg[[#This Row],[zbiornik LPG]]-lpg[[#This Row],[zyzucie lpg]]</f>
        <v>8.3499999999999979</v>
      </c>
      <c r="I326">
        <f>IF(lpg[[#This Row],[dzien]]=4,IF(lpg[[#This Row],[pb po trasie]]&lt;40,45-lpg[[#This Row],[pb po trasie]],0),0)</f>
        <v>0</v>
      </c>
      <c r="J326">
        <f>IF(lpg[[#This Row],[lpg po trasie]]&lt;5,30-lpg[[#This Row],[lpg po trasie]],0)</f>
        <v>0</v>
      </c>
      <c r="K326">
        <f>WEEKDAY(lpg[[#This Row],[data]],2)</f>
        <v>5</v>
      </c>
      <c r="O326" s="1">
        <v>41964</v>
      </c>
      <c r="P326">
        <v>23</v>
      </c>
      <c r="Q326">
        <f>U325+W325</f>
        <v>45</v>
      </c>
      <c r="R326">
        <f>V325+X325</f>
        <v>9.3899999999999988</v>
      </c>
      <c r="S326">
        <f>ROUND(IF(lpg_3[[#This Row],[zbiornik LPG]]&gt;15,0,(lpg_3[[#This Row],[km]]/2)*6/100),2)</f>
        <v>0.69</v>
      </c>
      <c r="T326">
        <f>ROUND(IF(lpg_3[[#This Row],[zbiornik LPG]]&gt;15,lpg_3[[#This Row],[km]]*9/100,(lpg_3[[#This Row],[km]]/2)*9/100),2)</f>
        <v>1.04</v>
      </c>
      <c r="U326">
        <f>lpg_3[[#This Row],[zbiornik PB95]]-lpg_3[[#This Row],[zuzycie PB95]]</f>
        <v>44.31</v>
      </c>
      <c r="V326">
        <f>lpg_3[[#This Row],[zbiornik LPG]]-lpg_3[[#This Row],[zyzucie lpg]]</f>
        <v>8.3499999999999979</v>
      </c>
      <c r="W326">
        <f>IF(lpg_3[[#This Row],[dzien]]=4,IF(lpg_3[[#This Row],[pb po trasie]]&lt;40,45-lpg_3[[#This Row],[pb po trasie]],0),0)</f>
        <v>0</v>
      </c>
      <c r="X326">
        <f>IF(lpg_3[[#This Row],[lpg po trasie]]&lt;5,30-lpg_3[[#This Row],[lpg po trasie]],0)</f>
        <v>0</v>
      </c>
      <c r="Y326">
        <f>WEEKDAY(lpg_3[[#This Row],[data]],2)</f>
        <v>5</v>
      </c>
    </row>
    <row r="327" spans="1:25" x14ac:dyDescent="0.25">
      <c r="A327" s="1">
        <v>41965</v>
      </c>
      <c r="B327">
        <v>53</v>
      </c>
      <c r="C327">
        <f>G326+I326</f>
        <v>44.31</v>
      </c>
      <c r="D327">
        <f>H326+J326</f>
        <v>8.3499999999999979</v>
      </c>
      <c r="E327">
        <f>ROUND(IF(lpg[[#This Row],[zbiornik LPG]]&gt;15,0,(lpg[[#This Row],[km]]/2)*6/100),2)</f>
        <v>1.59</v>
      </c>
      <c r="F327">
        <f>ROUND(IF(lpg[[#This Row],[zbiornik LPG]]&gt;15,lpg[[#This Row],[km]]*9/100,(lpg[[#This Row],[km]]/2)*9/100),2)</f>
        <v>2.39</v>
      </c>
      <c r="G327">
        <f>lpg[[#This Row],[zbiornik PB95]]-lpg[[#This Row],[zuzycie PB95]]</f>
        <v>42.72</v>
      </c>
      <c r="H327">
        <f>lpg[[#This Row],[zbiornik LPG]]-lpg[[#This Row],[zyzucie lpg]]</f>
        <v>5.9599999999999973</v>
      </c>
      <c r="I327">
        <f>IF(lpg[[#This Row],[dzien]]=4,IF(lpg[[#This Row],[pb po trasie]]&lt;40,45-lpg[[#This Row],[pb po trasie]],0),0)</f>
        <v>0</v>
      </c>
      <c r="J327">
        <f>IF(lpg[[#This Row],[lpg po trasie]]&lt;5,30-lpg[[#This Row],[lpg po trasie]],0)</f>
        <v>0</v>
      </c>
      <c r="K327">
        <f>WEEKDAY(lpg[[#This Row],[data]],2)</f>
        <v>6</v>
      </c>
      <c r="O327" s="1">
        <v>41965</v>
      </c>
      <c r="P327">
        <v>53</v>
      </c>
      <c r="Q327">
        <f>U326+W326</f>
        <v>44.31</v>
      </c>
      <c r="R327">
        <f>V326+X326</f>
        <v>8.3499999999999979</v>
      </c>
      <c r="S327">
        <f>ROUND(IF(lpg_3[[#This Row],[zbiornik LPG]]&gt;15,0,(lpg_3[[#This Row],[km]]/2)*6/100),2)</f>
        <v>1.59</v>
      </c>
      <c r="T327">
        <f>ROUND(IF(lpg_3[[#This Row],[zbiornik LPG]]&gt;15,lpg_3[[#This Row],[km]]*9/100,(lpg_3[[#This Row],[km]]/2)*9/100),2)</f>
        <v>2.39</v>
      </c>
      <c r="U327">
        <f>lpg_3[[#This Row],[zbiornik PB95]]-lpg_3[[#This Row],[zuzycie PB95]]</f>
        <v>42.72</v>
      </c>
      <c r="V327">
        <f>lpg_3[[#This Row],[zbiornik LPG]]-lpg_3[[#This Row],[zyzucie lpg]]</f>
        <v>5.9599999999999973</v>
      </c>
      <c r="W327">
        <f>IF(lpg_3[[#This Row],[dzien]]=4,IF(lpg_3[[#This Row],[pb po trasie]]&lt;40,45-lpg_3[[#This Row],[pb po trasie]],0),0)</f>
        <v>0</v>
      </c>
      <c r="X327">
        <f>IF(lpg_3[[#This Row],[lpg po trasie]]&lt;5,30-lpg_3[[#This Row],[lpg po trasie]],0)</f>
        <v>0</v>
      </c>
      <c r="Y327">
        <f>WEEKDAY(lpg_3[[#This Row],[data]],2)</f>
        <v>6</v>
      </c>
    </row>
    <row r="328" spans="1:25" x14ac:dyDescent="0.25">
      <c r="A328" s="1">
        <v>41966</v>
      </c>
      <c r="B328">
        <v>89</v>
      </c>
      <c r="C328">
        <f>G327+I327</f>
        <v>42.72</v>
      </c>
      <c r="D328">
        <f>H327+J327</f>
        <v>5.9599999999999973</v>
      </c>
      <c r="E328">
        <f>ROUND(IF(lpg[[#This Row],[zbiornik LPG]]&gt;15,0,(lpg[[#This Row],[km]]/2)*6/100),2)</f>
        <v>2.67</v>
      </c>
      <c r="F328">
        <f>ROUND(IF(lpg[[#This Row],[zbiornik LPG]]&gt;15,lpg[[#This Row],[km]]*9/100,(lpg[[#This Row],[km]]/2)*9/100),2)</f>
        <v>4.01</v>
      </c>
      <c r="G328">
        <f>lpg[[#This Row],[zbiornik PB95]]-lpg[[#This Row],[zuzycie PB95]]</f>
        <v>40.049999999999997</v>
      </c>
      <c r="H328">
        <f>lpg[[#This Row],[zbiornik LPG]]-lpg[[#This Row],[zyzucie lpg]]</f>
        <v>1.9499999999999975</v>
      </c>
      <c r="I328">
        <f>IF(lpg[[#This Row],[dzien]]=4,IF(lpg[[#This Row],[pb po trasie]]&lt;40,45-lpg[[#This Row],[pb po trasie]],0),0)</f>
        <v>0</v>
      </c>
      <c r="J328">
        <f>IF(lpg[[#This Row],[lpg po trasie]]&lt;5,30-lpg[[#This Row],[lpg po trasie]],0)</f>
        <v>28.050000000000004</v>
      </c>
      <c r="K328">
        <f>WEEKDAY(lpg[[#This Row],[data]],2)</f>
        <v>7</v>
      </c>
      <c r="O328" s="1">
        <v>41966</v>
      </c>
      <c r="P328">
        <v>89</v>
      </c>
      <c r="Q328">
        <f>U327+W327</f>
        <v>42.72</v>
      </c>
      <c r="R328">
        <f>V327+X327</f>
        <v>5.9599999999999973</v>
      </c>
      <c r="S328">
        <f>ROUND(IF(lpg_3[[#This Row],[zbiornik LPG]]&gt;15,0,(lpg_3[[#This Row],[km]]/2)*6/100),2)</f>
        <v>2.67</v>
      </c>
      <c r="T328">
        <f>ROUND(IF(lpg_3[[#This Row],[zbiornik LPG]]&gt;15,lpg_3[[#This Row],[km]]*9/100,(lpg_3[[#This Row],[km]]/2)*9/100),2)</f>
        <v>4.01</v>
      </c>
      <c r="U328">
        <f>lpg_3[[#This Row],[zbiornik PB95]]-lpg_3[[#This Row],[zuzycie PB95]]</f>
        <v>40.049999999999997</v>
      </c>
      <c r="V328">
        <f>lpg_3[[#This Row],[zbiornik LPG]]-lpg_3[[#This Row],[zyzucie lpg]]</f>
        <v>1.9499999999999975</v>
      </c>
      <c r="W328">
        <f>IF(lpg_3[[#This Row],[dzien]]=4,IF(lpg_3[[#This Row],[pb po trasie]]&lt;40,45-lpg_3[[#This Row],[pb po trasie]],0),0)</f>
        <v>0</v>
      </c>
      <c r="X328">
        <f>IF(lpg_3[[#This Row],[lpg po trasie]]&lt;5,30-lpg_3[[#This Row],[lpg po trasie]],0)</f>
        <v>28.050000000000004</v>
      </c>
      <c r="Y328">
        <f>WEEKDAY(lpg_3[[#This Row],[data]],2)</f>
        <v>7</v>
      </c>
    </row>
    <row r="329" spans="1:25" x14ac:dyDescent="0.25">
      <c r="A329" s="1">
        <v>41967</v>
      </c>
      <c r="B329">
        <v>150</v>
      </c>
      <c r="C329">
        <f>G328+I328</f>
        <v>40.049999999999997</v>
      </c>
      <c r="D329">
        <f>H328+J328</f>
        <v>30</v>
      </c>
      <c r="E329">
        <f>ROUND(IF(lpg[[#This Row],[zbiornik LPG]]&gt;15,0,(lpg[[#This Row],[km]]/2)*6/100),2)</f>
        <v>0</v>
      </c>
      <c r="F329">
        <f>ROUND(IF(lpg[[#This Row],[zbiornik LPG]]&gt;15,lpg[[#This Row],[km]]*9/100,(lpg[[#This Row],[km]]/2)*9/100),2)</f>
        <v>13.5</v>
      </c>
      <c r="G329">
        <f>lpg[[#This Row],[zbiornik PB95]]-lpg[[#This Row],[zuzycie PB95]]</f>
        <v>40.049999999999997</v>
      </c>
      <c r="H329">
        <f>lpg[[#This Row],[zbiornik LPG]]-lpg[[#This Row],[zyzucie lpg]]</f>
        <v>16.5</v>
      </c>
      <c r="I329">
        <f>IF(lpg[[#This Row],[dzien]]=4,IF(lpg[[#This Row],[pb po trasie]]&lt;40,45-lpg[[#This Row],[pb po trasie]],0),0)</f>
        <v>0</v>
      </c>
      <c r="J329">
        <f>IF(lpg[[#This Row],[lpg po trasie]]&lt;5,30-lpg[[#This Row],[lpg po trasie]],0)</f>
        <v>0</v>
      </c>
      <c r="K329">
        <f>WEEKDAY(lpg[[#This Row],[data]],2)</f>
        <v>1</v>
      </c>
      <c r="O329" s="1">
        <v>41967</v>
      </c>
      <c r="P329">
        <v>150</v>
      </c>
      <c r="Q329">
        <f>U328+W328</f>
        <v>40.049999999999997</v>
      </c>
      <c r="R329">
        <f>V328+X328</f>
        <v>30</v>
      </c>
      <c r="S329">
        <f>ROUND(IF(lpg_3[[#This Row],[zbiornik LPG]]&gt;15,0,(lpg_3[[#This Row],[km]]/2)*6/100),2)</f>
        <v>0</v>
      </c>
      <c r="T329">
        <f>ROUND(IF(lpg_3[[#This Row],[zbiornik LPG]]&gt;15,lpg_3[[#This Row],[km]]*9/100,(lpg_3[[#This Row],[km]]/2)*9/100),2)</f>
        <v>13.5</v>
      </c>
      <c r="U329">
        <f>lpg_3[[#This Row],[zbiornik PB95]]-lpg_3[[#This Row],[zuzycie PB95]]</f>
        <v>40.049999999999997</v>
      </c>
      <c r="V329">
        <f>lpg_3[[#This Row],[zbiornik LPG]]-lpg_3[[#This Row],[zyzucie lpg]]</f>
        <v>16.5</v>
      </c>
      <c r="W329">
        <f>IF(lpg_3[[#This Row],[dzien]]=4,IF(lpg_3[[#This Row],[pb po trasie]]&lt;40,45-lpg_3[[#This Row],[pb po trasie]],0),0)</f>
        <v>0</v>
      </c>
      <c r="X329">
        <f>IF(lpg_3[[#This Row],[lpg po trasie]]&lt;5,30-lpg_3[[#This Row],[lpg po trasie]],0)</f>
        <v>0</v>
      </c>
      <c r="Y329">
        <f>WEEKDAY(lpg_3[[#This Row],[data]],2)</f>
        <v>1</v>
      </c>
    </row>
    <row r="330" spans="1:25" x14ac:dyDescent="0.25">
      <c r="A330" s="1">
        <v>41968</v>
      </c>
      <c r="B330">
        <v>44</v>
      </c>
      <c r="C330">
        <f>G329+I329</f>
        <v>40.049999999999997</v>
      </c>
      <c r="D330">
        <f>H329+J329</f>
        <v>16.5</v>
      </c>
      <c r="E330">
        <f>ROUND(IF(lpg[[#This Row],[zbiornik LPG]]&gt;15,0,(lpg[[#This Row],[km]]/2)*6/100),2)</f>
        <v>0</v>
      </c>
      <c r="F330">
        <f>ROUND(IF(lpg[[#This Row],[zbiornik LPG]]&gt;15,lpg[[#This Row],[km]]*9/100,(lpg[[#This Row],[km]]/2)*9/100),2)</f>
        <v>3.96</v>
      </c>
      <c r="G330">
        <f>lpg[[#This Row],[zbiornik PB95]]-lpg[[#This Row],[zuzycie PB95]]</f>
        <v>40.049999999999997</v>
      </c>
      <c r="H330">
        <f>lpg[[#This Row],[zbiornik LPG]]-lpg[[#This Row],[zyzucie lpg]]</f>
        <v>12.54</v>
      </c>
      <c r="I330">
        <f>IF(lpg[[#This Row],[dzien]]=4,IF(lpg[[#This Row],[pb po trasie]]&lt;40,45-lpg[[#This Row],[pb po trasie]],0),0)</f>
        <v>0</v>
      </c>
      <c r="J330">
        <f>IF(lpg[[#This Row],[lpg po trasie]]&lt;5,30-lpg[[#This Row],[lpg po trasie]],0)</f>
        <v>0</v>
      </c>
      <c r="K330">
        <f>WEEKDAY(lpg[[#This Row],[data]],2)</f>
        <v>2</v>
      </c>
      <c r="O330" s="1">
        <v>41968</v>
      </c>
      <c r="P330">
        <v>44</v>
      </c>
      <c r="Q330">
        <f>U329+W329</f>
        <v>40.049999999999997</v>
      </c>
      <c r="R330">
        <f>V329+X329</f>
        <v>16.5</v>
      </c>
      <c r="S330">
        <f>ROUND(IF(lpg_3[[#This Row],[zbiornik LPG]]&gt;15,0,(lpg_3[[#This Row],[km]]/2)*6/100),2)</f>
        <v>0</v>
      </c>
      <c r="T330">
        <f>ROUND(IF(lpg_3[[#This Row],[zbiornik LPG]]&gt;15,lpg_3[[#This Row],[km]]*9/100,(lpg_3[[#This Row],[km]]/2)*9/100),2)</f>
        <v>3.96</v>
      </c>
      <c r="U330">
        <f>lpg_3[[#This Row],[zbiornik PB95]]-lpg_3[[#This Row],[zuzycie PB95]]</f>
        <v>40.049999999999997</v>
      </c>
      <c r="V330">
        <f>lpg_3[[#This Row],[zbiornik LPG]]-lpg_3[[#This Row],[zyzucie lpg]]</f>
        <v>12.54</v>
      </c>
      <c r="W330">
        <f>IF(lpg_3[[#This Row],[dzien]]=4,IF(lpg_3[[#This Row],[pb po trasie]]&lt;40,45-lpg_3[[#This Row],[pb po trasie]],0),0)</f>
        <v>0</v>
      </c>
      <c r="X330">
        <f>IF(lpg_3[[#This Row],[lpg po trasie]]&lt;5,30-lpg_3[[#This Row],[lpg po trasie]],0)</f>
        <v>0</v>
      </c>
      <c r="Y330">
        <f>WEEKDAY(lpg_3[[#This Row],[data]],2)</f>
        <v>2</v>
      </c>
    </row>
    <row r="331" spans="1:25" x14ac:dyDescent="0.25">
      <c r="A331" s="1">
        <v>41969</v>
      </c>
      <c r="B331">
        <v>137</v>
      </c>
      <c r="C331">
        <f>G330+I330</f>
        <v>40.049999999999997</v>
      </c>
      <c r="D331">
        <f>H330+J330</f>
        <v>12.54</v>
      </c>
      <c r="E331">
        <f>ROUND(IF(lpg[[#This Row],[zbiornik LPG]]&gt;15,0,(lpg[[#This Row],[km]]/2)*6/100),2)</f>
        <v>4.1100000000000003</v>
      </c>
      <c r="F331">
        <f>ROUND(IF(lpg[[#This Row],[zbiornik LPG]]&gt;15,lpg[[#This Row],[km]]*9/100,(lpg[[#This Row],[km]]/2)*9/100),2)</f>
        <v>6.17</v>
      </c>
      <c r="G331">
        <f>lpg[[#This Row],[zbiornik PB95]]-lpg[[#This Row],[zuzycie PB95]]</f>
        <v>35.94</v>
      </c>
      <c r="H331">
        <f>lpg[[#This Row],[zbiornik LPG]]-lpg[[#This Row],[zyzucie lpg]]</f>
        <v>6.3699999999999992</v>
      </c>
      <c r="I331">
        <f>IF(lpg[[#This Row],[dzien]]=4,IF(lpg[[#This Row],[pb po trasie]]&lt;40,45-lpg[[#This Row],[pb po trasie]],0),0)</f>
        <v>0</v>
      </c>
      <c r="J331">
        <f>IF(lpg[[#This Row],[lpg po trasie]]&lt;5,30-lpg[[#This Row],[lpg po trasie]],0)</f>
        <v>0</v>
      </c>
      <c r="K331">
        <f>WEEKDAY(lpg[[#This Row],[data]],2)</f>
        <v>3</v>
      </c>
      <c r="O331" s="1">
        <v>41969</v>
      </c>
      <c r="P331">
        <v>137</v>
      </c>
      <c r="Q331">
        <f>U330+W330</f>
        <v>40.049999999999997</v>
      </c>
      <c r="R331">
        <f>V330+X330</f>
        <v>12.54</v>
      </c>
      <c r="S331">
        <f>ROUND(IF(lpg_3[[#This Row],[zbiornik LPG]]&gt;15,0,(lpg_3[[#This Row],[km]]/2)*6/100),2)</f>
        <v>4.1100000000000003</v>
      </c>
      <c r="T331">
        <f>ROUND(IF(lpg_3[[#This Row],[zbiornik LPG]]&gt;15,lpg_3[[#This Row],[km]]*9/100,(lpg_3[[#This Row],[km]]/2)*9/100),2)</f>
        <v>6.17</v>
      </c>
      <c r="U331">
        <f>lpg_3[[#This Row],[zbiornik PB95]]-lpg_3[[#This Row],[zuzycie PB95]]</f>
        <v>35.94</v>
      </c>
      <c r="V331">
        <f>lpg_3[[#This Row],[zbiornik LPG]]-lpg_3[[#This Row],[zyzucie lpg]]</f>
        <v>6.3699999999999992</v>
      </c>
      <c r="W331">
        <f>IF(lpg_3[[#This Row],[dzien]]=4,IF(lpg_3[[#This Row],[pb po trasie]]&lt;40,45-lpg_3[[#This Row],[pb po trasie]],0),0)</f>
        <v>0</v>
      </c>
      <c r="X331">
        <f>IF(lpg_3[[#This Row],[lpg po trasie]]&lt;5,30-lpg_3[[#This Row],[lpg po trasie]],0)</f>
        <v>0</v>
      </c>
      <c r="Y331">
        <f>WEEKDAY(lpg_3[[#This Row],[data]],2)</f>
        <v>3</v>
      </c>
    </row>
    <row r="332" spans="1:25" x14ac:dyDescent="0.25">
      <c r="A332" s="1">
        <v>41970</v>
      </c>
      <c r="B332">
        <v>49</v>
      </c>
      <c r="C332">
        <f>G331+I331</f>
        <v>35.94</v>
      </c>
      <c r="D332">
        <f>H331+J331</f>
        <v>6.3699999999999992</v>
      </c>
      <c r="E332">
        <f>ROUND(IF(lpg[[#This Row],[zbiornik LPG]]&gt;15,0,(lpg[[#This Row],[km]]/2)*6/100),2)</f>
        <v>1.47</v>
      </c>
      <c r="F332">
        <f>ROUND(IF(lpg[[#This Row],[zbiornik LPG]]&gt;15,lpg[[#This Row],[km]]*9/100,(lpg[[#This Row],[km]]/2)*9/100),2)</f>
        <v>2.21</v>
      </c>
      <c r="G332">
        <f>lpg[[#This Row],[zbiornik PB95]]-lpg[[#This Row],[zuzycie PB95]]</f>
        <v>34.47</v>
      </c>
      <c r="H332">
        <f>lpg[[#This Row],[zbiornik LPG]]-lpg[[#This Row],[zyzucie lpg]]</f>
        <v>4.1599999999999993</v>
      </c>
      <c r="I332">
        <f>IF(lpg[[#This Row],[dzien]]=4,IF(lpg[[#This Row],[pb po trasie]]&lt;40,45-lpg[[#This Row],[pb po trasie]],0),0)</f>
        <v>10.530000000000001</v>
      </c>
      <c r="J332">
        <f>IF(lpg[[#This Row],[lpg po trasie]]&lt;5,30-lpg[[#This Row],[lpg po trasie]],0)</f>
        <v>25.84</v>
      </c>
      <c r="K332">
        <f>WEEKDAY(lpg[[#This Row],[data]],2)</f>
        <v>4</v>
      </c>
      <c r="O332" s="1">
        <v>41970</v>
      </c>
      <c r="P332">
        <v>49</v>
      </c>
      <c r="Q332">
        <f>U331+W331</f>
        <v>35.94</v>
      </c>
      <c r="R332">
        <f>V331+X331</f>
        <v>6.3699999999999992</v>
      </c>
      <c r="S332">
        <f>ROUND(IF(lpg_3[[#This Row],[zbiornik LPG]]&gt;15,0,(lpg_3[[#This Row],[km]]/2)*6/100),2)</f>
        <v>1.47</v>
      </c>
      <c r="T332">
        <f>ROUND(IF(lpg_3[[#This Row],[zbiornik LPG]]&gt;15,lpg_3[[#This Row],[km]]*9/100,(lpg_3[[#This Row],[km]]/2)*9/100),2)</f>
        <v>2.21</v>
      </c>
      <c r="U332">
        <f>lpg_3[[#This Row],[zbiornik PB95]]-lpg_3[[#This Row],[zuzycie PB95]]</f>
        <v>34.47</v>
      </c>
      <c r="V332">
        <f>lpg_3[[#This Row],[zbiornik LPG]]-lpg_3[[#This Row],[zyzucie lpg]]</f>
        <v>4.1599999999999993</v>
      </c>
      <c r="W332">
        <f>IF(lpg_3[[#This Row],[dzien]]=4,IF(lpg_3[[#This Row],[pb po trasie]]&lt;40,45-lpg_3[[#This Row],[pb po trasie]],0),0)</f>
        <v>10.530000000000001</v>
      </c>
      <c r="X332">
        <f>IF(lpg_3[[#This Row],[lpg po trasie]]&lt;5,30-lpg_3[[#This Row],[lpg po trasie]],0)</f>
        <v>25.84</v>
      </c>
      <c r="Y332">
        <f>WEEKDAY(lpg_3[[#This Row],[data]],2)</f>
        <v>4</v>
      </c>
    </row>
    <row r="333" spans="1:25" x14ac:dyDescent="0.25">
      <c r="A333" s="1">
        <v>41971</v>
      </c>
      <c r="B333">
        <v>24</v>
      </c>
      <c r="C333">
        <f>G332+I332</f>
        <v>45</v>
      </c>
      <c r="D333">
        <f>H332+J332</f>
        <v>30</v>
      </c>
      <c r="E333">
        <f>ROUND(IF(lpg[[#This Row],[zbiornik LPG]]&gt;15,0,(lpg[[#This Row],[km]]/2)*6/100),2)</f>
        <v>0</v>
      </c>
      <c r="F333">
        <f>ROUND(IF(lpg[[#This Row],[zbiornik LPG]]&gt;15,lpg[[#This Row],[km]]*9/100,(lpg[[#This Row],[km]]/2)*9/100),2)</f>
        <v>2.16</v>
      </c>
      <c r="G333">
        <f>lpg[[#This Row],[zbiornik PB95]]-lpg[[#This Row],[zuzycie PB95]]</f>
        <v>45</v>
      </c>
      <c r="H333">
        <f>lpg[[#This Row],[zbiornik LPG]]-lpg[[#This Row],[zyzucie lpg]]</f>
        <v>27.84</v>
      </c>
      <c r="I333">
        <f>IF(lpg[[#This Row],[dzien]]=4,IF(lpg[[#This Row],[pb po trasie]]&lt;40,45-lpg[[#This Row],[pb po trasie]],0),0)</f>
        <v>0</v>
      </c>
      <c r="J333">
        <f>IF(lpg[[#This Row],[lpg po trasie]]&lt;5,30-lpg[[#This Row],[lpg po trasie]],0)</f>
        <v>0</v>
      </c>
      <c r="K333">
        <f>WEEKDAY(lpg[[#This Row],[data]],2)</f>
        <v>5</v>
      </c>
      <c r="O333" s="1">
        <v>41971</v>
      </c>
      <c r="P333">
        <v>24</v>
      </c>
      <c r="Q333">
        <f>U332+W332</f>
        <v>45</v>
      </c>
      <c r="R333">
        <f>V332+X332</f>
        <v>30</v>
      </c>
      <c r="S333">
        <f>ROUND(IF(lpg_3[[#This Row],[zbiornik LPG]]&gt;15,0,(lpg_3[[#This Row],[km]]/2)*6/100),2)</f>
        <v>0</v>
      </c>
      <c r="T333">
        <f>ROUND(IF(lpg_3[[#This Row],[zbiornik LPG]]&gt;15,lpg_3[[#This Row],[km]]*9/100,(lpg_3[[#This Row],[km]]/2)*9/100),2)</f>
        <v>2.16</v>
      </c>
      <c r="U333">
        <f>lpg_3[[#This Row],[zbiornik PB95]]-lpg_3[[#This Row],[zuzycie PB95]]</f>
        <v>45</v>
      </c>
      <c r="V333">
        <f>lpg_3[[#This Row],[zbiornik LPG]]-lpg_3[[#This Row],[zyzucie lpg]]</f>
        <v>27.84</v>
      </c>
      <c r="W333">
        <f>IF(lpg_3[[#This Row],[dzien]]=4,IF(lpg_3[[#This Row],[pb po trasie]]&lt;40,45-lpg_3[[#This Row],[pb po trasie]],0),0)</f>
        <v>0</v>
      </c>
      <c r="X333">
        <f>IF(lpg_3[[#This Row],[lpg po trasie]]&lt;5,30-lpg_3[[#This Row],[lpg po trasie]],0)</f>
        <v>0</v>
      </c>
      <c r="Y333">
        <f>WEEKDAY(lpg_3[[#This Row],[data]],2)</f>
        <v>5</v>
      </c>
    </row>
    <row r="334" spans="1:25" x14ac:dyDescent="0.25">
      <c r="A334" s="1">
        <v>41972</v>
      </c>
      <c r="B334">
        <v>36</v>
      </c>
      <c r="C334">
        <f>G333+I333</f>
        <v>45</v>
      </c>
      <c r="D334">
        <f>H333+J333</f>
        <v>27.84</v>
      </c>
      <c r="E334">
        <f>ROUND(IF(lpg[[#This Row],[zbiornik LPG]]&gt;15,0,(lpg[[#This Row],[km]]/2)*6/100),2)</f>
        <v>0</v>
      </c>
      <c r="F334">
        <f>ROUND(IF(lpg[[#This Row],[zbiornik LPG]]&gt;15,lpg[[#This Row],[km]]*9/100,(lpg[[#This Row],[km]]/2)*9/100),2)</f>
        <v>3.24</v>
      </c>
      <c r="G334">
        <f>lpg[[#This Row],[zbiornik PB95]]-lpg[[#This Row],[zuzycie PB95]]</f>
        <v>45</v>
      </c>
      <c r="H334">
        <f>lpg[[#This Row],[zbiornik LPG]]-lpg[[#This Row],[zyzucie lpg]]</f>
        <v>24.6</v>
      </c>
      <c r="I334">
        <f>IF(lpg[[#This Row],[dzien]]=4,IF(lpg[[#This Row],[pb po trasie]]&lt;40,45-lpg[[#This Row],[pb po trasie]],0),0)</f>
        <v>0</v>
      </c>
      <c r="J334">
        <f>IF(lpg[[#This Row],[lpg po trasie]]&lt;5,30-lpg[[#This Row],[lpg po trasie]],0)</f>
        <v>0</v>
      </c>
      <c r="K334">
        <f>WEEKDAY(lpg[[#This Row],[data]],2)</f>
        <v>6</v>
      </c>
      <c r="O334" s="1">
        <v>41972</v>
      </c>
      <c r="P334">
        <v>36</v>
      </c>
      <c r="Q334">
        <f>U333+W333</f>
        <v>45</v>
      </c>
      <c r="R334">
        <f>V333+X333</f>
        <v>27.84</v>
      </c>
      <c r="S334">
        <f>ROUND(IF(lpg_3[[#This Row],[zbiornik LPG]]&gt;15,0,(lpg_3[[#This Row],[km]]/2)*6/100),2)</f>
        <v>0</v>
      </c>
      <c r="T334">
        <f>ROUND(IF(lpg_3[[#This Row],[zbiornik LPG]]&gt;15,lpg_3[[#This Row],[km]]*9/100,(lpg_3[[#This Row],[km]]/2)*9/100),2)</f>
        <v>3.24</v>
      </c>
      <c r="U334">
        <f>lpg_3[[#This Row],[zbiornik PB95]]-lpg_3[[#This Row],[zuzycie PB95]]</f>
        <v>45</v>
      </c>
      <c r="V334">
        <f>lpg_3[[#This Row],[zbiornik LPG]]-lpg_3[[#This Row],[zyzucie lpg]]</f>
        <v>24.6</v>
      </c>
      <c r="W334">
        <f>IF(lpg_3[[#This Row],[dzien]]=4,IF(lpg_3[[#This Row],[pb po trasie]]&lt;40,45-lpg_3[[#This Row],[pb po trasie]],0),0)</f>
        <v>0</v>
      </c>
      <c r="X334">
        <f>IF(lpg_3[[#This Row],[lpg po trasie]]&lt;5,30-lpg_3[[#This Row],[lpg po trasie]],0)</f>
        <v>0</v>
      </c>
      <c r="Y334">
        <f>WEEKDAY(lpg_3[[#This Row],[data]],2)</f>
        <v>6</v>
      </c>
    </row>
    <row r="335" spans="1:25" x14ac:dyDescent="0.25">
      <c r="A335" s="1">
        <v>41973</v>
      </c>
      <c r="B335">
        <v>33</v>
      </c>
      <c r="C335">
        <f>G334+I334</f>
        <v>45</v>
      </c>
      <c r="D335">
        <f>H334+J334</f>
        <v>24.6</v>
      </c>
      <c r="E335">
        <f>ROUND(IF(lpg[[#This Row],[zbiornik LPG]]&gt;15,0,(lpg[[#This Row],[km]]/2)*6/100),2)</f>
        <v>0</v>
      </c>
      <c r="F335">
        <f>ROUND(IF(lpg[[#This Row],[zbiornik LPG]]&gt;15,lpg[[#This Row],[km]]*9/100,(lpg[[#This Row],[km]]/2)*9/100),2)</f>
        <v>2.97</v>
      </c>
      <c r="G335">
        <f>lpg[[#This Row],[zbiornik PB95]]-lpg[[#This Row],[zuzycie PB95]]</f>
        <v>45</v>
      </c>
      <c r="H335">
        <f>lpg[[#This Row],[zbiornik LPG]]-lpg[[#This Row],[zyzucie lpg]]</f>
        <v>21.630000000000003</v>
      </c>
      <c r="I335">
        <f>IF(lpg[[#This Row],[dzien]]=4,IF(lpg[[#This Row],[pb po trasie]]&lt;40,45-lpg[[#This Row],[pb po trasie]],0),0)</f>
        <v>0</v>
      </c>
      <c r="J335">
        <f>IF(lpg[[#This Row],[lpg po trasie]]&lt;5,30-lpg[[#This Row],[lpg po trasie]],0)</f>
        <v>0</v>
      </c>
      <c r="K335">
        <f>WEEKDAY(lpg[[#This Row],[data]],2)</f>
        <v>7</v>
      </c>
      <c r="O335" s="1">
        <v>41973</v>
      </c>
      <c r="P335">
        <v>33</v>
      </c>
      <c r="Q335">
        <f>U334+W334</f>
        <v>45</v>
      </c>
      <c r="R335">
        <f>V334+X334</f>
        <v>24.6</v>
      </c>
      <c r="S335">
        <f>ROUND(IF(lpg_3[[#This Row],[zbiornik LPG]]&gt;15,0,(lpg_3[[#This Row],[km]]/2)*6/100),2)</f>
        <v>0</v>
      </c>
      <c r="T335">
        <f>ROUND(IF(lpg_3[[#This Row],[zbiornik LPG]]&gt;15,lpg_3[[#This Row],[km]]*9/100,(lpg_3[[#This Row],[km]]/2)*9/100),2)</f>
        <v>2.97</v>
      </c>
      <c r="U335">
        <f>lpg_3[[#This Row],[zbiornik PB95]]-lpg_3[[#This Row],[zuzycie PB95]]</f>
        <v>45</v>
      </c>
      <c r="V335">
        <f>lpg_3[[#This Row],[zbiornik LPG]]-lpg_3[[#This Row],[zyzucie lpg]]</f>
        <v>21.630000000000003</v>
      </c>
      <c r="W335">
        <f>IF(lpg_3[[#This Row],[dzien]]=4,IF(lpg_3[[#This Row],[pb po trasie]]&lt;40,45-lpg_3[[#This Row],[pb po trasie]],0),0)</f>
        <v>0</v>
      </c>
      <c r="X335">
        <f>IF(lpg_3[[#This Row],[lpg po trasie]]&lt;5,30-lpg_3[[#This Row],[lpg po trasie]],0)</f>
        <v>0</v>
      </c>
      <c r="Y335">
        <f>WEEKDAY(lpg_3[[#This Row],[data]],2)</f>
        <v>7</v>
      </c>
    </row>
    <row r="336" spans="1:25" x14ac:dyDescent="0.25">
      <c r="A336" s="1">
        <v>41974</v>
      </c>
      <c r="B336">
        <v>81</v>
      </c>
      <c r="C336">
        <f>G335+I335</f>
        <v>45</v>
      </c>
      <c r="D336">
        <f>H335+J335</f>
        <v>21.630000000000003</v>
      </c>
      <c r="E336">
        <f>ROUND(IF(lpg[[#This Row],[zbiornik LPG]]&gt;15,0,(lpg[[#This Row],[km]]/2)*6/100),2)</f>
        <v>0</v>
      </c>
      <c r="F336">
        <f>ROUND(IF(lpg[[#This Row],[zbiornik LPG]]&gt;15,lpg[[#This Row],[km]]*9/100,(lpg[[#This Row],[km]]/2)*9/100),2)</f>
        <v>7.29</v>
      </c>
      <c r="G336">
        <f>lpg[[#This Row],[zbiornik PB95]]-lpg[[#This Row],[zuzycie PB95]]</f>
        <v>45</v>
      </c>
      <c r="H336">
        <f>lpg[[#This Row],[zbiornik LPG]]-lpg[[#This Row],[zyzucie lpg]]</f>
        <v>14.340000000000003</v>
      </c>
      <c r="I336">
        <f>IF(lpg[[#This Row],[dzien]]=4,IF(lpg[[#This Row],[pb po trasie]]&lt;40,45-lpg[[#This Row],[pb po trasie]],0),0)</f>
        <v>0</v>
      </c>
      <c r="J336">
        <f>IF(lpg[[#This Row],[lpg po trasie]]&lt;5,30-lpg[[#This Row],[lpg po trasie]],0)</f>
        <v>0</v>
      </c>
      <c r="K336">
        <f>WEEKDAY(lpg[[#This Row],[data]],2)</f>
        <v>1</v>
      </c>
      <c r="O336" s="1">
        <v>41974</v>
      </c>
      <c r="P336">
        <v>81</v>
      </c>
      <c r="Q336">
        <f>U335+W335</f>
        <v>45</v>
      </c>
      <c r="R336">
        <f>V335+X335</f>
        <v>21.630000000000003</v>
      </c>
      <c r="S336">
        <f>ROUND(IF(lpg_3[[#This Row],[zbiornik LPG]]&gt;15,0,(lpg_3[[#This Row],[km]]/2)*6/100),2)</f>
        <v>0</v>
      </c>
      <c r="T336">
        <f>ROUND(IF(lpg_3[[#This Row],[zbiornik LPG]]&gt;15,lpg_3[[#This Row],[km]]*9/100,(lpg_3[[#This Row],[km]]/2)*9/100),2)</f>
        <v>7.29</v>
      </c>
      <c r="U336">
        <f>lpg_3[[#This Row],[zbiornik PB95]]-lpg_3[[#This Row],[zuzycie PB95]]</f>
        <v>45</v>
      </c>
      <c r="V336">
        <f>lpg_3[[#This Row],[zbiornik LPG]]-lpg_3[[#This Row],[zyzucie lpg]]</f>
        <v>14.340000000000003</v>
      </c>
      <c r="W336">
        <f>IF(lpg_3[[#This Row],[dzien]]=4,IF(lpg_3[[#This Row],[pb po trasie]]&lt;40,45-lpg_3[[#This Row],[pb po trasie]],0),0)</f>
        <v>0</v>
      </c>
      <c r="X336">
        <f>IF(lpg_3[[#This Row],[lpg po trasie]]&lt;5,30-lpg_3[[#This Row],[lpg po trasie]],0)</f>
        <v>0</v>
      </c>
      <c r="Y336">
        <f>WEEKDAY(lpg_3[[#This Row],[data]],2)</f>
        <v>1</v>
      </c>
    </row>
    <row r="337" spans="1:25" x14ac:dyDescent="0.25">
      <c r="A337" s="1">
        <v>41975</v>
      </c>
      <c r="B337">
        <v>70</v>
      </c>
      <c r="C337">
        <f>G336+I336</f>
        <v>45</v>
      </c>
      <c r="D337">
        <f>H336+J336</f>
        <v>14.340000000000003</v>
      </c>
      <c r="E337">
        <f>ROUND(IF(lpg[[#This Row],[zbiornik LPG]]&gt;15,0,(lpg[[#This Row],[km]]/2)*6/100),2)</f>
        <v>2.1</v>
      </c>
      <c r="F337">
        <f>ROUND(IF(lpg[[#This Row],[zbiornik LPG]]&gt;15,lpg[[#This Row],[km]]*9/100,(lpg[[#This Row],[km]]/2)*9/100),2)</f>
        <v>3.15</v>
      </c>
      <c r="G337">
        <f>lpg[[#This Row],[zbiornik PB95]]-lpg[[#This Row],[zuzycie PB95]]</f>
        <v>42.9</v>
      </c>
      <c r="H337">
        <f>lpg[[#This Row],[zbiornik LPG]]-lpg[[#This Row],[zyzucie lpg]]</f>
        <v>11.190000000000003</v>
      </c>
      <c r="I337">
        <f>IF(lpg[[#This Row],[dzien]]=4,IF(lpg[[#This Row],[pb po trasie]]&lt;40,45-lpg[[#This Row],[pb po trasie]],0),0)</f>
        <v>0</v>
      </c>
      <c r="J337">
        <f>IF(lpg[[#This Row],[lpg po trasie]]&lt;5,30-lpg[[#This Row],[lpg po trasie]],0)</f>
        <v>0</v>
      </c>
      <c r="K337">
        <f>WEEKDAY(lpg[[#This Row],[data]],2)</f>
        <v>2</v>
      </c>
      <c r="O337" s="1">
        <v>41975</v>
      </c>
      <c r="P337">
        <v>70</v>
      </c>
      <c r="Q337">
        <f>U336+W336</f>
        <v>45</v>
      </c>
      <c r="R337">
        <f>V336+X336</f>
        <v>14.340000000000003</v>
      </c>
      <c r="S337">
        <f>ROUND(IF(lpg_3[[#This Row],[zbiornik LPG]]&gt;15,0,(lpg_3[[#This Row],[km]]/2)*6/100),2)</f>
        <v>2.1</v>
      </c>
      <c r="T337">
        <f>ROUND(IF(lpg_3[[#This Row],[zbiornik LPG]]&gt;15,lpg_3[[#This Row],[km]]*9/100,(lpg_3[[#This Row],[km]]/2)*9/100),2)</f>
        <v>3.15</v>
      </c>
      <c r="U337">
        <f>lpg_3[[#This Row],[zbiornik PB95]]-lpg_3[[#This Row],[zuzycie PB95]]</f>
        <v>42.9</v>
      </c>
      <c r="V337">
        <f>lpg_3[[#This Row],[zbiornik LPG]]-lpg_3[[#This Row],[zyzucie lpg]]</f>
        <v>11.190000000000003</v>
      </c>
      <c r="W337">
        <f>IF(lpg_3[[#This Row],[dzien]]=4,IF(lpg_3[[#This Row],[pb po trasie]]&lt;40,45-lpg_3[[#This Row],[pb po trasie]],0),0)</f>
        <v>0</v>
      </c>
      <c r="X337">
        <f>IF(lpg_3[[#This Row],[lpg po trasie]]&lt;5,30-lpg_3[[#This Row],[lpg po trasie]],0)</f>
        <v>0</v>
      </c>
      <c r="Y337">
        <f>WEEKDAY(lpg_3[[#This Row],[data]],2)</f>
        <v>2</v>
      </c>
    </row>
    <row r="338" spans="1:25" x14ac:dyDescent="0.25">
      <c r="A338" s="1">
        <v>41976</v>
      </c>
      <c r="B338">
        <v>48</v>
      </c>
      <c r="C338">
        <f>G337+I337</f>
        <v>42.9</v>
      </c>
      <c r="D338">
        <f>H337+J337</f>
        <v>11.190000000000003</v>
      </c>
      <c r="E338">
        <f>ROUND(IF(lpg[[#This Row],[zbiornik LPG]]&gt;15,0,(lpg[[#This Row],[km]]/2)*6/100),2)</f>
        <v>1.44</v>
      </c>
      <c r="F338">
        <f>ROUND(IF(lpg[[#This Row],[zbiornik LPG]]&gt;15,lpg[[#This Row],[km]]*9/100,(lpg[[#This Row],[km]]/2)*9/100),2)</f>
        <v>2.16</v>
      </c>
      <c r="G338">
        <f>lpg[[#This Row],[zbiornik PB95]]-lpg[[#This Row],[zuzycie PB95]]</f>
        <v>41.46</v>
      </c>
      <c r="H338">
        <f>lpg[[#This Row],[zbiornik LPG]]-lpg[[#This Row],[zyzucie lpg]]</f>
        <v>9.0300000000000029</v>
      </c>
      <c r="I338">
        <f>IF(lpg[[#This Row],[dzien]]=4,IF(lpg[[#This Row],[pb po trasie]]&lt;40,45-lpg[[#This Row],[pb po trasie]],0),0)</f>
        <v>0</v>
      </c>
      <c r="J338">
        <f>IF(lpg[[#This Row],[lpg po trasie]]&lt;5,30-lpg[[#This Row],[lpg po trasie]],0)</f>
        <v>0</v>
      </c>
      <c r="K338">
        <f>WEEKDAY(lpg[[#This Row],[data]],2)</f>
        <v>3</v>
      </c>
      <c r="O338" s="1">
        <v>41976</v>
      </c>
      <c r="P338">
        <v>48</v>
      </c>
      <c r="Q338">
        <f>U337+W337</f>
        <v>42.9</v>
      </c>
      <c r="R338">
        <f>V337+X337</f>
        <v>11.190000000000003</v>
      </c>
      <c r="S338">
        <f>ROUND(IF(lpg_3[[#This Row],[zbiornik LPG]]&gt;15,0,(lpg_3[[#This Row],[km]]/2)*6/100),2)</f>
        <v>1.44</v>
      </c>
      <c r="T338">
        <f>ROUND(IF(lpg_3[[#This Row],[zbiornik LPG]]&gt;15,lpg_3[[#This Row],[km]]*9/100,(lpg_3[[#This Row],[km]]/2)*9/100),2)</f>
        <v>2.16</v>
      </c>
      <c r="U338">
        <f>lpg_3[[#This Row],[zbiornik PB95]]-lpg_3[[#This Row],[zuzycie PB95]]</f>
        <v>41.46</v>
      </c>
      <c r="V338">
        <f>lpg_3[[#This Row],[zbiornik LPG]]-lpg_3[[#This Row],[zyzucie lpg]]</f>
        <v>9.0300000000000029</v>
      </c>
      <c r="W338">
        <f>IF(lpg_3[[#This Row],[dzien]]=4,IF(lpg_3[[#This Row],[pb po trasie]]&lt;40,45-lpg_3[[#This Row],[pb po trasie]],0),0)</f>
        <v>0</v>
      </c>
      <c r="X338">
        <f>IF(lpg_3[[#This Row],[lpg po trasie]]&lt;5,30-lpg_3[[#This Row],[lpg po trasie]],0)</f>
        <v>0</v>
      </c>
      <c r="Y338">
        <f>WEEKDAY(lpg_3[[#This Row],[data]],2)</f>
        <v>3</v>
      </c>
    </row>
    <row r="339" spans="1:25" x14ac:dyDescent="0.25">
      <c r="A339" s="1">
        <v>41977</v>
      </c>
      <c r="B339">
        <v>72</v>
      </c>
      <c r="C339">
        <f>G338+I338</f>
        <v>41.46</v>
      </c>
      <c r="D339">
        <f>H338+J338</f>
        <v>9.0300000000000029</v>
      </c>
      <c r="E339">
        <f>ROUND(IF(lpg[[#This Row],[zbiornik LPG]]&gt;15,0,(lpg[[#This Row],[km]]/2)*6/100),2)</f>
        <v>2.16</v>
      </c>
      <c r="F339">
        <f>ROUND(IF(lpg[[#This Row],[zbiornik LPG]]&gt;15,lpg[[#This Row],[km]]*9/100,(lpg[[#This Row],[km]]/2)*9/100),2)</f>
        <v>3.24</v>
      </c>
      <c r="G339">
        <f>lpg[[#This Row],[zbiornik PB95]]-lpg[[#This Row],[zuzycie PB95]]</f>
        <v>39.299999999999997</v>
      </c>
      <c r="H339">
        <f>lpg[[#This Row],[zbiornik LPG]]-lpg[[#This Row],[zyzucie lpg]]</f>
        <v>5.7900000000000027</v>
      </c>
      <c r="I339">
        <f>IF(lpg[[#This Row],[dzien]]=4,IF(lpg[[#This Row],[pb po trasie]]&lt;40,45-lpg[[#This Row],[pb po trasie]],0),0)</f>
        <v>5.7000000000000028</v>
      </c>
      <c r="J339">
        <f>IF(lpg[[#This Row],[lpg po trasie]]&lt;5,30-lpg[[#This Row],[lpg po trasie]],0)</f>
        <v>0</v>
      </c>
      <c r="K339">
        <f>WEEKDAY(lpg[[#This Row],[data]],2)</f>
        <v>4</v>
      </c>
      <c r="O339" s="1">
        <v>41977</v>
      </c>
      <c r="P339">
        <v>72</v>
      </c>
      <c r="Q339">
        <f>U338+W338</f>
        <v>41.46</v>
      </c>
      <c r="R339">
        <f>V338+X338</f>
        <v>9.0300000000000029</v>
      </c>
      <c r="S339">
        <f>ROUND(IF(lpg_3[[#This Row],[zbiornik LPG]]&gt;15,0,(lpg_3[[#This Row],[km]]/2)*6/100),2)</f>
        <v>2.16</v>
      </c>
      <c r="T339">
        <f>ROUND(IF(lpg_3[[#This Row],[zbiornik LPG]]&gt;15,lpg_3[[#This Row],[km]]*9/100,(lpg_3[[#This Row],[km]]/2)*9/100),2)</f>
        <v>3.24</v>
      </c>
      <c r="U339">
        <f>lpg_3[[#This Row],[zbiornik PB95]]-lpg_3[[#This Row],[zuzycie PB95]]</f>
        <v>39.299999999999997</v>
      </c>
      <c r="V339">
        <f>lpg_3[[#This Row],[zbiornik LPG]]-lpg_3[[#This Row],[zyzucie lpg]]</f>
        <v>5.7900000000000027</v>
      </c>
      <c r="W339">
        <f>IF(lpg_3[[#This Row],[dzien]]=4,IF(lpg_3[[#This Row],[pb po trasie]]&lt;40,45-lpg_3[[#This Row],[pb po trasie]],0),0)</f>
        <v>5.7000000000000028</v>
      </c>
      <c r="X339">
        <f>IF(lpg_3[[#This Row],[lpg po trasie]]&lt;5,30-lpg_3[[#This Row],[lpg po trasie]],0)</f>
        <v>0</v>
      </c>
      <c r="Y339">
        <f>WEEKDAY(lpg_3[[#This Row],[data]],2)</f>
        <v>4</v>
      </c>
    </row>
    <row r="340" spans="1:25" x14ac:dyDescent="0.25">
      <c r="A340" s="1">
        <v>41978</v>
      </c>
      <c r="B340">
        <v>121</v>
      </c>
      <c r="C340">
        <f>G339+I339</f>
        <v>45</v>
      </c>
      <c r="D340">
        <f>H339+J339</f>
        <v>5.7900000000000027</v>
      </c>
      <c r="E340">
        <f>ROUND(IF(lpg[[#This Row],[zbiornik LPG]]&gt;15,0,(lpg[[#This Row],[km]]/2)*6/100),2)</f>
        <v>3.63</v>
      </c>
      <c r="F340">
        <f>ROUND(IF(lpg[[#This Row],[zbiornik LPG]]&gt;15,lpg[[#This Row],[km]]*9/100,(lpg[[#This Row],[km]]/2)*9/100),2)</f>
        <v>5.45</v>
      </c>
      <c r="G340">
        <f>lpg[[#This Row],[zbiornik PB95]]-lpg[[#This Row],[zuzycie PB95]]</f>
        <v>41.37</v>
      </c>
      <c r="H340">
        <f>lpg[[#This Row],[zbiornik LPG]]-lpg[[#This Row],[zyzucie lpg]]</f>
        <v>0.34000000000000252</v>
      </c>
      <c r="I340">
        <f>IF(lpg[[#This Row],[dzien]]=4,IF(lpg[[#This Row],[pb po trasie]]&lt;40,45-lpg[[#This Row],[pb po trasie]],0),0)</f>
        <v>0</v>
      </c>
      <c r="J340">
        <f>IF(lpg[[#This Row],[lpg po trasie]]&lt;5,30-lpg[[#This Row],[lpg po trasie]],0)</f>
        <v>29.659999999999997</v>
      </c>
      <c r="K340">
        <f>WEEKDAY(lpg[[#This Row],[data]],2)</f>
        <v>5</v>
      </c>
      <c r="O340" s="1">
        <v>41978</v>
      </c>
      <c r="P340">
        <v>121</v>
      </c>
      <c r="Q340">
        <f>U339+W339</f>
        <v>45</v>
      </c>
      <c r="R340">
        <f>V339+X339</f>
        <v>5.7900000000000027</v>
      </c>
      <c r="S340">
        <f>ROUND(IF(lpg_3[[#This Row],[zbiornik LPG]]&gt;15,0,(lpg_3[[#This Row],[km]]/2)*6/100),2)</f>
        <v>3.63</v>
      </c>
      <c r="T340">
        <f>ROUND(IF(lpg_3[[#This Row],[zbiornik LPG]]&gt;15,lpg_3[[#This Row],[km]]*9/100,(lpg_3[[#This Row],[km]]/2)*9/100),2)</f>
        <v>5.45</v>
      </c>
      <c r="U340">
        <f>lpg_3[[#This Row],[zbiornik PB95]]-lpg_3[[#This Row],[zuzycie PB95]]</f>
        <v>41.37</v>
      </c>
      <c r="V340">
        <f>lpg_3[[#This Row],[zbiornik LPG]]-lpg_3[[#This Row],[zyzucie lpg]]</f>
        <v>0.34000000000000252</v>
      </c>
      <c r="W340">
        <f>IF(lpg_3[[#This Row],[dzien]]=4,IF(lpg_3[[#This Row],[pb po trasie]]&lt;40,45-lpg_3[[#This Row],[pb po trasie]],0),0)</f>
        <v>0</v>
      </c>
      <c r="X340">
        <f>IF(lpg_3[[#This Row],[lpg po trasie]]&lt;5,30-lpg_3[[#This Row],[lpg po trasie]],0)</f>
        <v>29.659999999999997</v>
      </c>
      <c r="Y340">
        <f>WEEKDAY(lpg_3[[#This Row],[data]],2)</f>
        <v>5</v>
      </c>
    </row>
    <row r="341" spans="1:25" x14ac:dyDescent="0.25">
      <c r="A341" s="1">
        <v>41979</v>
      </c>
      <c r="B341">
        <v>16</v>
      </c>
      <c r="C341">
        <f>G340+I340</f>
        <v>41.37</v>
      </c>
      <c r="D341">
        <f>H340+J340</f>
        <v>30</v>
      </c>
      <c r="E341">
        <f>ROUND(IF(lpg[[#This Row],[zbiornik LPG]]&gt;15,0,(lpg[[#This Row],[km]]/2)*6/100),2)</f>
        <v>0</v>
      </c>
      <c r="F341">
        <f>ROUND(IF(lpg[[#This Row],[zbiornik LPG]]&gt;15,lpg[[#This Row],[km]]*9/100,(lpg[[#This Row],[km]]/2)*9/100),2)</f>
        <v>1.44</v>
      </c>
      <c r="G341">
        <f>lpg[[#This Row],[zbiornik PB95]]-lpg[[#This Row],[zuzycie PB95]]</f>
        <v>41.37</v>
      </c>
      <c r="H341">
        <f>lpg[[#This Row],[zbiornik LPG]]-lpg[[#This Row],[zyzucie lpg]]</f>
        <v>28.56</v>
      </c>
      <c r="I341">
        <f>IF(lpg[[#This Row],[dzien]]=4,IF(lpg[[#This Row],[pb po trasie]]&lt;40,45-lpg[[#This Row],[pb po trasie]],0),0)</f>
        <v>0</v>
      </c>
      <c r="J341">
        <f>IF(lpg[[#This Row],[lpg po trasie]]&lt;5,30-lpg[[#This Row],[lpg po trasie]],0)</f>
        <v>0</v>
      </c>
      <c r="K341">
        <f>WEEKDAY(lpg[[#This Row],[data]],2)</f>
        <v>6</v>
      </c>
      <c r="O341" s="1">
        <v>41979</v>
      </c>
      <c r="P341">
        <v>16</v>
      </c>
      <c r="Q341">
        <f>U340+W340</f>
        <v>41.37</v>
      </c>
      <c r="R341">
        <f>V340+X340</f>
        <v>30</v>
      </c>
      <c r="S341">
        <f>ROUND(IF(lpg_3[[#This Row],[zbiornik LPG]]&gt;15,0,(lpg_3[[#This Row],[km]]/2)*6/100),2)</f>
        <v>0</v>
      </c>
      <c r="T341">
        <f>ROUND(IF(lpg_3[[#This Row],[zbiornik LPG]]&gt;15,lpg_3[[#This Row],[km]]*9/100,(lpg_3[[#This Row],[km]]/2)*9/100),2)</f>
        <v>1.44</v>
      </c>
      <c r="U341">
        <f>lpg_3[[#This Row],[zbiornik PB95]]-lpg_3[[#This Row],[zuzycie PB95]]</f>
        <v>41.37</v>
      </c>
      <c r="V341">
        <f>lpg_3[[#This Row],[zbiornik LPG]]-lpg_3[[#This Row],[zyzucie lpg]]</f>
        <v>28.56</v>
      </c>
      <c r="W341">
        <f>IF(lpg_3[[#This Row],[dzien]]=4,IF(lpg_3[[#This Row],[pb po trasie]]&lt;40,45-lpg_3[[#This Row],[pb po trasie]],0),0)</f>
        <v>0</v>
      </c>
      <c r="X341">
        <f>IF(lpg_3[[#This Row],[lpg po trasie]]&lt;5,30-lpg_3[[#This Row],[lpg po trasie]],0)</f>
        <v>0</v>
      </c>
      <c r="Y341">
        <f>WEEKDAY(lpg_3[[#This Row],[data]],2)</f>
        <v>6</v>
      </c>
    </row>
    <row r="342" spans="1:25" x14ac:dyDescent="0.25">
      <c r="A342" s="1">
        <v>41980</v>
      </c>
      <c r="B342">
        <v>94</v>
      </c>
      <c r="C342">
        <f>G341+I341</f>
        <v>41.37</v>
      </c>
      <c r="D342">
        <f>H341+J341</f>
        <v>28.56</v>
      </c>
      <c r="E342">
        <f>ROUND(IF(lpg[[#This Row],[zbiornik LPG]]&gt;15,0,(lpg[[#This Row],[km]]/2)*6/100),2)</f>
        <v>0</v>
      </c>
      <c r="F342">
        <f>ROUND(IF(lpg[[#This Row],[zbiornik LPG]]&gt;15,lpg[[#This Row],[km]]*9/100,(lpg[[#This Row],[km]]/2)*9/100),2)</f>
        <v>8.4600000000000009</v>
      </c>
      <c r="G342">
        <f>lpg[[#This Row],[zbiornik PB95]]-lpg[[#This Row],[zuzycie PB95]]</f>
        <v>41.37</v>
      </c>
      <c r="H342">
        <f>lpg[[#This Row],[zbiornik LPG]]-lpg[[#This Row],[zyzucie lpg]]</f>
        <v>20.099999999999998</v>
      </c>
      <c r="I342">
        <f>IF(lpg[[#This Row],[dzien]]=4,IF(lpg[[#This Row],[pb po trasie]]&lt;40,45-lpg[[#This Row],[pb po trasie]],0),0)</f>
        <v>0</v>
      </c>
      <c r="J342">
        <f>IF(lpg[[#This Row],[lpg po trasie]]&lt;5,30-lpg[[#This Row],[lpg po trasie]],0)</f>
        <v>0</v>
      </c>
      <c r="K342">
        <f>WEEKDAY(lpg[[#This Row],[data]],2)</f>
        <v>7</v>
      </c>
      <c r="O342" s="1">
        <v>41980</v>
      </c>
      <c r="P342">
        <v>94</v>
      </c>
      <c r="Q342">
        <f>U341+W341</f>
        <v>41.37</v>
      </c>
      <c r="R342">
        <f>V341+X341</f>
        <v>28.56</v>
      </c>
      <c r="S342">
        <f>ROUND(IF(lpg_3[[#This Row],[zbiornik LPG]]&gt;15,0,(lpg_3[[#This Row],[km]]/2)*6/100),2)</f>
        <v>0</v>
      </c>
      <c r="T342">
        <f>ROUND(IF(lpg_3[[#This Row],[zbiornik LPG]]&gt;15,lpg_3[[#This Row],[km]]*9/100,(lpg_3[[#This Row],[km]]/2)*9/100),2)</f>
        <v>8.4600000000000009</v>
      </c>
      <c r="U342">
        <f>lpg_3[[#This Row],[zbiornik PB95]]-lpg_3[[#This Row],[zuzycie PB95]]</f>
        <v>41.37</v>
      </c>
      <c r="V342">
        <f>lpg_3[[#This Row],[zbiornik LPG]]-lpg_3[[#This Row],[zyzucie lpg]]</f>
        <v>20.099999999999998</v>
      </c>
      <c r="W342">
        <f>IF(lpg_3[[#This Row],[dzien]]=4,IF(lpg_3[[#This Row],[pb po trasie]]&lt;40,45-lpg_3[[#This Row],[pb po trasie]],0),0)</f>
        <v>0</v>
      </c>
      <c r="X342">
        <f>IF(lpg_3[[#This Row],[lpg po trasie]]&lt;5,30-lpg_3[[#This Row],[lpg po trasie]],0)</f>
        <v>0</v>
      </c>
      <c r="Y342">
        <f>WEEKDAY(lpg_3[[#This Row],[data]],2)</f>
        <v>7</v>
      </c>
    </row>
    <row r="343" spans="1:25" x14ac:dyDescent="0.25">
      <c r="A343" s="1">
        <v>41981</v>
      </c>
      <c r="B343">
        <v>120</v>
      </c>
      <c r="C343">
        <f>G342+I342</f>
        <v>41.37</v>
      </c>
      <c r="D343">
        <f>H342+J342</f>
        <v>20.099999999999998</v>
      </c>
      <c r="E343">
        <f>ROUND(IF(lpg[[#This Row],[zbiornik LPG]]&gt;15,0,(lpg[[#This Row],[km]]/2)*6/100),2)</f>
        <v>0</v>
      </c>
      <c r="F343">
        <f>ROUND(IF(lpg[[#This Row],[zbiornik LPG]]&gt;15,lpg[[#This Row],[km]]*9/100,(lpg[[#This Row],[km]]/2)*9/100),2)</f>
        <v>10.8</v>
      </c>
      <c r="G343">
        <f>lpg[[#This Row],[zbiornik PB95]]-lpg[[#This Row],[zuzycie PB95]]</f>
        <v>41.37</v>
      </c>
      <c r="H343">
        <f>lpg[[#This Row],[zbiornik LPG]]-lpg[[#This Row],[zyzucie lpg]]</f>
        <v>9.2999999999999972</v>
      </c>
      <c r="I343">
        <f>IF(lpg[[#This Row],[dzien]]=4,IF(lpg[[#This Row],[pb po trasie]]&lt;40,45-lpg[[#This Row],[pb po trasie]],0),0)</f>
        <v>0</v>
      </c>
      <c r="J343">
        <f>IF(lpg[[#This Row],[lpg po trasie]]&lt;5,30-lpg[[#This Row],[lpg po trasie]],0)</f>
        <v>0</v>
      </c>
      <c r="K343">
        <f>WEEKDAY(lpg[[#This Row],[data]],2)</f>
        <v>1</v>
      </c>
      <c r="O343" s="1">
        <v>41981</v>
      </c>
      <c r="P343">
        <v>120</v>
      </c>
      <c r="Q343">
        <f>U342+W342</f>
        <v>41.37</v>
      </c>
      <c r="R343">
        <f>V342+X342</f>
        <v>20.099999999999998</v>
      </c>
      <c r="S343">
        <f>ROUND(IF(lpg_3[[#This Row],[zbiornik LPG]]&gt;15,0,(lpg_3[[#This Row],[km]]/2)*6/100),2)</f>
        <v>0</v>
      </c>
      <c r="T343">
        <f>ROUND(IF(lpg_3[[#This Row],[zbiornik LPG]]&gt;15,lpg_3[[#This Row],[km]]*9/100,(lpg_3[[#This Row],[km]]/2)*9/100),2)</f>
        <v>10.8</v>
      </c>
      <c r="U343">
        <f>lpg_3[[#This Row],[zbiornik PB95]]-lpg_3[[#This Row],[zuzycie PB95]]</f>
        <v>41.37</v>
      </c>
      <c r="V343">
        <f>lpg_3[[#This Row],[zbiornik LPG]]-lpg_3[[#This Row],[zyzucie lpg]]</f>
        <v>9.2999999999999972</v>
      </c>
      <c r="W343">
        <f>IF(lpg_3[[#This Row],[dzien]]=4,IF(lpg_3[[#This Row],[pb po trasie]]&lt;40,45-lpg_3[[#This Row],[pb po trasie]],0),0)</f>
        <v>0</v>
      </c>
      <c r="X343">
        <f>IF(lpg_3[[#This Row],[lpg po trasie]]&lt;5,30-lpg_3[[#This Row],[lpg po trasie]],0)</f>
        <v>0</v>
      </c>
      <c r="Y343">
        <f>WEEKDAY(lpg_3[[#This Row],[data]],2)</f>
        <v>1</v>
      </c>
    </row>
    <row r="344" spans="1:25" x14ac:dyDescent="0.25">
      <c r="A344" s="1">
        <v>41982</v>
      </c>
      <c r="B344">
        <v>49</v>
      </c>
      <c r="C344">
        <f>G343+I343</f>
        <v>41.37</v>
      </c>
      <c r="D344">
        <f>H343+J343</f>
        <v>9.2999999999999972</v>
      </c>
      <c r="E344">
        <f>ROUND(IF(lpg[[#This Row],[zbiornik LPG]]&gt;15,0,(lpg[[#This Row],[km]]/2)*6/100),2)</f>
        <v>1.47</v>
      </c>
      <c r="F344">
        <f>ROUND(IF(lpg[[#This Row],[zbiornik LPG]]&gt;15,lpg[[#This Row],[km]]*9/100,(lpg[[#This Row],[km]]/2)*9/100),2)</f>
        <v>2.21</v>
      </c>
      <c r="G344">
        <f>lpg[[#This Row],[zbiornik PB95]]-lpg[[#This Row],[zuzycie PB95]]</f>
        <v>39.9</v>
      </c>
      <c r="H344">
        <f>lpg[[#This Row],[zbiornik LPG]]-lpg[[#This Row],[zyzucie lpg]]</f>
        <v>7.0899999999999972</v>
      </c>
      <c r="I344">
        <f>IF(lpg[[#This Row],[dzien]]=4,IF(lpg[[#This Row],[pb po trasie]]&lt;40,45-lpg[[#This Row],[pb po trasie]],0),0)</f>
        <v>0</v>
      </c>
      <c r="J344">
        <f>IF(lpg[[#This Row],[lpg po trasie]]&lt;5,30-lpg[[#This Row],[lpg po trasie]],0)</f>
        <v>0</v>
      </c>
      <c r="K344">
        <f>WEEKDAY(lpg[[#This Row],[data]],2)</f>
        <v>2</v>
      </c>
      <c r="O344" s="1">
        <v>41982</v>
      </c>
      <c r="P344">
        <v>49</v>
      </c>
      <c r="Q344">
        <f>U343+W343</f>
        <v>41.37</v>
      </c>
      <c r="R344">
        <f>V343+X343</f>
        <v>9.2999999999999972</v>
      </c>
      <c r="S344">
        <f>ROUND(IF(lpg_3[[#This Row],[zbiornik LPG]]&gt;15,0,(lpg_3[[#This Row],[km]]/2)*6/100),2)</f>
        <v>1.47</v>
      </c>
      <c r="T344">
        <f>ROUND(IF(lpg_3[[#This Row],[zbiornik LPG]]&gt;15,lpg_3[[#This Row],[km]]*9/100,(lpg_3[[#This Row],[km]]/2)*9/100),2)</f>
        <v>2.21</v>
      </c>
      <c r="U344">
        <f>lpg_3[[#This Row],[zbiornik PB95]]-lpg_3[[#This Row],[zuzycie PB95]]</f>
        <v>39.9</v>
      </c>
      <c r="V344">
        <f>lpg_3[[#This Row],[zbiornik LPG]]-lpg_3[[#This Row],[zyzucie lpg]]</f>
        <v>7.0899999999999972</v>
      </c>
      <c r="W344">
        <f>IF(lpg_3[[#This Row],[dzien]]=4,IF(lpg_3[[#This Row],[pb po trasie]]&lt;40,45-lpg_3[[#This Row],[pb po trasie]],0),0)</f>
        <v>0</v>
      </c>
      <c r="X344">
        <f>IF(lpg_3[[#This Row],[lpg po trasie]]&lt;5,30-lpg_3[[#This Row],[lpg po trasie]],0)</f>
        <v>0</v>
      </c>
      <c r="Y344">
        <f>WEEKDAY(lpg_3[[#This Row],[data]],2)</f>
        <v>2</v>
      </c>
    </row>
    <row r="345" spans="1:25" x14ac:dyDescent="0.25">
      <c r="A345" s="1">
        <v>41983</v>
      </c>
      <c r="B345">
        <v>106</v>
      </c>
      <c r="C345">
        <f>G344+I344</f>
        <v>39.9</v>
      </c>
      <c r="D345">
        <f>H344+J344</f>
        <v>7.0899999999999972</v>
      </c>
      <c r="E345">
        <f>ROUND(IF(lpg[[#This Row],[zbiornik LPG]]&gt;15,0,(lpg[[#This Row],[km]]/2)*6/100),2)</f>
        <v>3.18</v>
      </c>
      <c r="F345">
        <f>ROUND(IF(lpg[[#This Row],[zbiornik LPG]]&gt;15,lpg[[#This Row],[km]]*9/100,(lpg[[#This Row],[km]]/2)*9/100),2)</f>
        <v>4.7699999999999996</v>
      </c>
      <c r="G345">
        <f>lpg[[#This Row],[zbiornik PB95]]-lpg[[#This Row],[zuzycie PB95]]</f>
        <v>36.72</v>
      </c>
      <c r="H345">
        <f>lpg[[#This Row],[zbiornik LPG]]-lpg[[#This Row],[zyzucie lpg]]</f>
        <v>2.3199999999999976</v>
      </c>
      <c r="I345">
        <f>IF(lpg[[#This Row],[dzien]]=4,IF(lpg[[#This Row],[pb po trasie]]&lt;40,45-lpg[[#This Row],[pb po trasie]],0),0)</f>
        <v>0</v>
      </c>
      <c r="J345">
        <f>IF(lpg[[#This Row],[lpg po trasie]]&lt;5,30-lpg[[#This Row],[lpg po trasie]],0)</f>
        <v>27.680000000000003</v>
      </c>
      <c r="K345">
        <f>WEEKDAY(lpg[[#This Row],[data]],2)</f>
        <v>3</v>
      </c>
      <c r="O345" s="1">
        <v>41983</v>
      </c>
      <c r="P345">
        <v>106</v>
      </c>
      <c r="Q345">
        <f>U344+W344</f>
        <v>39.9</v>
      </c>
      <c r="R345">
        <f>V344+X344</f>
        <v>7.0899999999999972</v>
      </c>
      <c r="S345">
        <f>ROUND(IF(lpg_3[[#This Row],[zbiornik LPG]]&gt;15,0,(lpg_3[[#This Row],[km]]/2)*6/100),2)</f>
        <v>3.18</v>
      </c>
      <c r="T345">
        <f>ROUND(IF(lpg_3[[#This Row],[zbiornik LPG]]&gt;15,lpg_3[[#This Row],[km]]*9/100,(lpg_3[[#This Row],[km]]/2)*9/100),2)</f>
        <v>4.7699999999999996</v>
      </c>
      <c r="U345">
        <f>lpg_3[[#This Row],[zbiornik PB95]]-lpg_3[[#This Row],[zuzycie PB95]]</f>
        <v>36.72</v>
      </c>
      <c r="V345">
        <f>lpg_3[[#This Row],[zbiornik LPG]]-lpg_3[[#This Row],[zyzucie lpg]]</f>
        <v>2.3199999999999976</v>
      </c>
      <c r="W345">
        <f>IF(lpg_3[[#This Row],[dzien]]=4,IF(lpg_3[[#This Row],[pb po trasie]]&lt;40,45-lpg_3[[#This Row],[pb po trasie]],0),0)</f>
        <v>0</v>
      </c>
      <c r="X345">
        <f>IF(lpg_3[[#This Row],[lpg po trasie]]&lt;5,30-lpg_3[[#This Row],[lpg po trasie]],0)</f>
        <v>27.680000000000003</v>
      </c>
      <c r="Y345">
        <f>WEEKDAY(lpg_3[[#This Row],[data]],2)</f>
        <v>3</v>
      </c>
    </row>
    <row r="346" spans="1:25" x14ac:dyDescent="0.25">
      <c r="A346" s="1">
        <v>41984</v>
      </c>
      <c r="B346">
        <v>128</v>
      </c>
      <c r="C346">
        <f>G345+I345</f>
        <v>36.72</v>
      </c>
      <c r="D346">
        <f>H345+J345</f>
        <v>30</v>
      </c>
      <c r="E346">
        <f>ROUND(IF(lpg[[#This Row],[zbiornik LPG]]&gt;15,0,(lpg[[#This Row],[km]]/2)*6/100),2)</f>
        <v>0</v>
      </c>
      <c r="F346">
        <f>ROUND(IF(lpg[[#This Row],[zbiornik LPG]]&gt;15,lpg[[#This Row],[km]]*9/100,(lpg[[#This Row],[km]]/2)*9/100),2)</f>
        <v>11.52</v>
      </c>
      <c r="G346">
        <f>lpg[[#This Row],[zbiornik PB95]]-lpg[[#This Row],[zuzycie PB95]]</f>
        <v>36.72</v>
      </c>
      <c r="H346">
        <f>lpg[[#This Row],[zbiornik LPG]]-lpg[[#This Row],[zyzucie lpg]]</f>
        <v>18.48</v>
      </c>
      <c r="I346">
        <f>IF(lpg[[#This Row],[dzien]]=4,IF(lpg[[#This Row],[pb po trasie]]&lt;40,45-lpg[[#This Row],[pb po trasie]],0),0)</f>
        <v>8.2800000000000011</v>
      </c>
      <c r="J346">
        <f>IF(lpg[[#This Row],[lpg po trasie]]&lt;5,30-lpg[[#This Row],[lpg po trasie]],0)</f>
        <v>0</v>
      </c>
      <c r="K346">
        <f>WEEKDAY(lpg[[#This Row],[data]],2)</f>
        <v>4</v>
      </c>
      <c r="O346" s="1">
        <v>41984</v>
      </c>
      <c r="P346">
        <v>128</v>
      </c>
      <c r="Q346">
        <f>U345+W345</f>
        <v>36.72</v>
      </c>
      <c r="R346">
        <f>V345+X345</f>
        <v>30</v>
      </c>
      <c r="S346">
        <f>ROUND(IF(lpg_3[[#This Row],[zbiornik LPG]]&gt;15,0,(lpg_3[[#This Row],[km]]/2)*6/100),2)</f>
        <v>0</v>
      </c>
      <c r="T346">
        <f>ROUND(IF(lpg_3[[#This Row],[zbiornik LPG]]&gt;15,lpg_3[[#This Row],[km]]*9/100,(lpg_3[[#This Row],[km]]/2)*9/100),2)</f>
        <v>11.52</v>
      </c>
      <c r="U346">
        <f>lpg_3[[#This Row],[zbiornik PB95]]-lpg_3[[#This Row],[zuzycie PB95]]</f>
        <v>36.72</v>
      </c>
      <c r="V346">
        <f>lpg_3[[#This Row],[zbiornik LPG]]-lpg_3[[#This Row],[zyzucie lpg]]</f>
        <v>18.48</v>
      </c>
      <c r="W346">
        <f>IF(lpg_3[[#This Row],[dzien]]=4,IF(lpg_3[[#This Row],[pb po trasie]]&lt;40,45-lpg_3[[#This Row],[pb po trasie]],0),0)</f>
        <v>8.2800000000000011</v>
      </c>
      <c r="X346">
        <f>IF(lpg_3[[#This Row],[lpg po trasie]]&lt;5,30-lpg_3[[#This Row],[lpg po trasie]],0)</f>
        <v>0</v>
      </c>
      <c r="Y346">
        <f>WEEKDAY(lpg_3[[#This Row],[data]],2)</f>
        <v>4</v>
      </c>
    </row>
    <row r="347" spans="1:25" x14ac:dyDescent="0.25">
      <c r="A347" s="1">
        <v>41985</v>
      </c>
      <c r="B347">
        <v>100</v>
      </c>
      <c r="C347">
        <f>G346+I346</f>
        <v>45</v>
      </c>
      <c r="D347">
        <f>H346+J346</f>
        <v>18.48</v>
      </c>
      <c r="E347">
        <f>ROUND(IF(lpg[[#This Row],[zbiornik LPG]]&gt;15,0,(lpg[[#This Row],[km]]/2)*6/100),2)</f>
        <v>0</v>
      </c>
      <c r="F347">
        <f>ROUND(IF(lpg[[#This Row],[zbiornik LPG]]&gt;15,lpg[[#This Row],[km]]*9/100,(lpg[[#This Row],[km]]/2)*9/100),2)</f>
        <v>9</v>
      </c>
      <c r="G347">
        <f>lpg[[#This Row],[zbiornik PB95]]-lpg[[#This Row],[zuzycie PB95]]</f>
        <v>45</v>
      </c>
      <c r="H347">
        <f>lpg[[#This Row],[zbiornik LPG]]-lpg[[#This Row],[zyzucie lpg]]</f>
        <v>9.48</v>
      </c>
      <c r="I347">
        <f>IF(lpg[[#This Row],[dzien]]=4,IF(lpg[[#This Row],[pb po trasie]]&lt;40,45-lpg[[#This Row],[pb po trasie]],0),0)</f>
        <v>0</v>
      </c>
      <c r="J347">
        <f>IF(lpg[[#This Row],[lpg po trasie]]&lt;5,30-lpg[[#This Row],[lpg po trasie]],0)</f>
        <v>0</v>
      </c>
      <c r="K347">
        <f>WEEKDAY(lpg[[#This Row],[data]],2)</f>
        <v>5</v>
      </c>
      <c r="O347" s="1">
        <v>41985</v>
      </c>
      <c r="P347">
        <v>100</v>
      </c>
      <c r="Q347">
        <f>U346+W346</f>
        <v>45</v>
      </c>
      <c r="R347">
        <f>V346+X346</f>
        <v>18.48</v>
      </c>
      <c r="S347">
        <f>ROUND(IF(lpg_3[[#This Row],[zbiornik LPG]]&gt;15,0,(lpg_3[[#This Row],[km]]/2)*6/100),2)</f>
        <v>0</v>
      </c>
      <c r="T347">
        <f>ROUND(IF(lpg_3[[#This Row],[zbiornik LPG]]&gt;15,lpg_3[[#This Row],[km]]*9/100,(lpg_3[[#This Row],[km]]/2)*9/100),2)</f>
        <v>9</v>
      </c>
      <c r="U347">
        <f>lpg_3[[#This Row],[zbiornik PB95]]-lpg_3[[#This Row],[zuzycie PB95]]</f>
        <v>45</v>
      </c>
      <c r="V347">
        <f>lpg_3[[#This Row],[zbiornik LPG]]-lpg_3[[#This Row],[zyzucie lpg]]</f>
        <v>9.48</v>
      </c>
      <c r="W347">
        <f>IF(lpg_3[[#This Row],[dzien]]=4,IF(lpg_3[[#This Row],[pb po trasie]]&lt;40,45-lpg_3[[#This Row],[pb po trasie]],0),0)</f>
        <v>0</v>
      </c>
      <c r="X347">
        <f>IF(lpg_3[[#This Row],[lpg po trasie]]&lt;5,30-lpg_3[[#This Row],[lpg po trasie]],0)</f>
        <v>0</v>
      </c>
      <c r="Y347">
        <f>WEEKDAY(lpg_3[[#This Row],[data]],2)</f>
        <v>5</v>
      </c>
    </row>
    <row r="348" spans="1:25" x14ac:dyDescent="0.25">
      <c r="A348" s="1">
        <v>41986</v>
      </c>
      <c r="B348">
        <v>78</v>
      </c>
      <c r="C348">
        <f>G347+I347</f>
        <v>45</v>
      </c>
      <c r="D348">
        <f>H347+J347</f>
        <v>9.48</v>
      </c>
      <c r="E348">
        <f>ROUND(IF(lpg[[#This Row],[zbiornik LPG]]&gt;15,0,(lpg[[#This Row],[km]]/2)*6/100),2)</f>
        <v>2.34</v>
      </c>
      <c r="F348">
        <f>ROUND(IF(lpg[[#This Row],[zbiornik LPG]]&gt;15,lpg[[#This Row],[km]]*9/100,(lpg[[#This Row],[km]]/2)*9/100),2)</f>
        <v>3.51</v>
      </c>
      <c r="G348">
        <f>lpg[[#This Row],[zbiornik PB95]]-lpg[[#This Row],[zuzycie PB95]]</f>
        <v>42.66</v>
      </c>
      <c r="H348">
        <f>lpg[[#This Row],[zbiornik LPG]]-lpg[[#This Row],[zyzucie lpg]]</f>
        <v>5.9700000000000006</v>
      </c>
      <c r="I348">
        <f>IF(lpg[[#This Row],[dzien]]=4,IF(lpg[[#This Row],[pb po trasie]]&lt;40,45-lpg[[#This Row],[pb po trasie]],0),0)</f>
        <v>0</v>
      </c>
      <c r="J348">
        <f>IF(lpg[[#This Row],[lpg po trasie]]&lt;5,30-lpg[[#This Row],[lpg po trasie]],0)</f>
        <v>0</v>
      </c>
      <c r="K348">
        <f>WEEKDAY(lpg[[#This Row],[data]],2)</f>
        <v>6</v>
      </c>
      <c r="O348" s="1">
        <v>41986</v>
      </c>
      <c r="P348">
        <v>78</v>
      </c>
      <c r="Q348">
        <f>U347+W347</f>
        <v>45</v>
      </c>
      <c r="R348">
        <f>V347+X347</f>
        <v>9.48</v>
      </c>
      <c r="S348">
        <f>ROUND(IF(lpg_3[[#This Row],[zbiornik LPG]]&gt;15,0,(lpg_3[[#This Row],[km]]/2)*6/100),2)</f>
        <v>2.34</v>
      </c>
      <c r="T348">
        <f>ROUND(IF(lpg_3[[#This Row],[zbiornik LPG]]&gt;15,lpg_3[[#This Row],[km]]*9/100,(lpg_3[[#This Row],[km]]/2)*9/100),2)</f>
        <v>3.51</v>
      </c>
      <c r="U348">
        <f>lpg_3[[#This Row],[zbiornik PB95]]-lpg_3[[#This Row],[zuzycie PB95]]</f>
        <v>42.66</v>
      </c>
      <c r="V348">
        <f>lpg_3[[#This Row],[zbiornik LPG]]-lpg_3[[#This Row],[zyzucie lpg]]</f>
        <v>5.9700000000000006</v>
      </c>
      <c r="W348">
        <f>IF(lpg_3[[#This Row],[dzien]]=4,IF(lpg_3[[#This Row],[pb po trasie]]&lt;40,45-lpg_3[[#This Row],[pb po trasie]],0),0)</f>
        <v>0</v>
      </c>
      <c r="X348">
        <f>IF(lpg_3[[#This Row],[lpg po trasie]]&lt;5,30-lpg_3[[#This Row],[lpg po trasie]],0)</f>
        <v>0</v>
      </c>
      <c r="Y348">
        <f>WEEKDAY(lpg_3[[#This Row],[data]],2)</f>
        <v>6</v>
      </c>
    </row>
    <row r="349" spans="1:25" x14ac:dyDescent="0.25">
      <c r="A349" s="1">
        <v>41987</v>
      </c>
      <c r="B349">
        <v>39</v>
      </c>
      <c r="C349">
        <f>G348+I348</f>
        <v>42.66</v>
      </c>
      <c r="D349">
        <f>H348+J348</f>
        <v>5.9700000000000006</v>
      </c>
      <c r="E349">
        <f>ROUND(IF(lpg[[#This Row],[zbiornik LPG]]&gt;15,0,(lpg[[#This Row],[km]]/2)*6/100),2)</f>
        <v>1.17</v>
      </c>
      <c r="F349">
        <f>ROUND(IF(lpg[[#This Row],[zbiornik LPG]]&gt;15,lpg[[#This Row],[km]]*9/100,(lpg[[#This Row],[km]]/2)*9/100),2)</f>
        <v>1.76</v>
      </c>
      <c r="G349">
        <f>lpg[[#This Row],[zbiornik PB95]]-lpg[[#This Row],[zuzycie PB95]]</f>
        <v>41.489999999999995</v>
      </c>
      <c r="H349">
        <f>lpg[[#This Row],[zbiornik LPG]]-lpg[[#This Row],[zyzucie lpg]]</f>
        <v>4.2100000000000009</v>
      </c>
      <c r="I349">
        <f>IF(lpg[[#This Row],[dzien]]=4,IF(lpg[[#This Row],[pb po trasie]]&lt;40,45-lpg[[#This Row],[pb po trasie]],0),0)</f>
        <v>0</v>
      </c>
      <c r="J349">
        <f>IF(lpg[[#This Row],[lpg po trasie]]&lt;5,30-lpg[[#This Row],[lpg po trasie]],0)</f>
        <v>25.79</v>
      </c>
      <c r="K349">
        <f>WEEKDAY(lpg[[#This Row],[data]],2)</f>
        <v>7</v>
      </c>
      <c r="O349" s="1">
        <v>41987</v>
      </c>
      <c r="P349">
        <v>39</v>
      </c>
      <c r="Q349">
        <f>U348+W348</f>
        <v>42.66</v>
      </c>
      <c r="R349">
        <f>V348+X348</f>
        <v>5.9700000000000006</v>
      </c>
      <c r="S349">
        <f>ROUND(IF(lpg_3[[#This Row],[zbiornik LPG]]&gt;15,0,(lpg_3[[#This Row],[km]]/2)*6/100),2)</f>
        <v>1.17</v>
      </c>
      <c r="T349">
        <f>ROUND(IF(lpg_3[[#This Row],[zbiornik LPG]]&gt;15,lpg_3[[#This Row],[km]]*9/100,(lpg_3[[#This Row],[km]]/2)*9/100),2)</f>
        <v>1.76</v>
      </c>
      <c r="U349">
        <f>lpg_3[[#This Row],[zbiornik PB95]]-lpg_3[[#This Row],[zuzycie PB95]]</f>
        <v>41.489999999999995</v>
      </c>
      <c r="V349">
        <f>lpg_3[[#This Row],[zbiornik LPG]]-lpg_3[[#This Row],[zyzucie lpg]]</f>
        <v>4.2100000000000009</v>
      </c>
      <c r="W349">
        <f>IF(lpg_3[[#This Row],[dzien]]=4,IF(lpg_3[[#This Row],[pb po trasie]]&lt;40,45-lpg_3[[#This Row],[pb po trasie]],0),0)</f>
        <v>0</v>
      </c>
      <c r="X349">
        <f>IF(lpg_3[[#This Row],[lpg po trasie]]&lt;5,30-lpg_3[[#This Row],[lpg po trasie]],0)</f>
        <v>25.79</v>
      </c>
      <c r="Y349">
        <f>WEEKDAY(lpg_3[[#This Row],[data]],2)</f>
        <v>7</v>
      </c>
    </row>
    <row r="350" spans="1:25" x14ac:dyDescent="0.25">
      <c r="A350" s="1">
        <v>41988</v>
      </c>
      <c r="B350">
        <v>125</v>
      </c>
      <c r="C350">
        <f>G349+I349</f>
        <v>41.489999999999995</v>
      </c>
      <c r="D350">
        <f>H349+J349</f>
        <v>30</v>
      </c>
      <c r="E350">
        <f>ROUND(IF(lpg[[#This Row],[zbiornik LPG]]&gt;15,0,(lpg[[#This Row],[km]]/2)*6/100),2)</f>
        <v>0</v>
      </c>
      <c r="F350">
        <f>ROUND(IF(lpg[[#This Row],[zbiornik LPG]]&gt;15,lpg[[#This Row],[km]]*9/100,(lpg[[#This Row],[km]]/2)*9/100),2)</f>
        <v>11.25</v>
      </c>
      <c r="G350">
        <f>lpg[[#This Row],[zbiornik PB95]]-lpg[[#This Row],[zuzycie PB95]]</f>
        <v>41.489999999999995</v>
      </c>
      <c r="H350">
        <f>lpg[[#This Row],[zbiornik LPG]]-lpg[[#This Row],[zyzucie lpg]]</f>
        <v>18.75</v>
      </c>
      <c r="I350">
        <f>IF(lpg[[#This Row],[dzien]]=4,IF(lpg[[#This Row],[pb po trasie]]&lt;40,45-lpg[[#This Row],[pb po trasie]],0),0)</f>
        <v>0</v>
      </c>
      <c r="J350">
        <f>IF(lpg[[#This Row],[lpg po trasie]]&lt;5,30-lpg[[#This Row],[lpg po trasie]],0)</f>
        <v>0</v>
      </c>
      <c r="K350">
        <f>WEEKDAY(lpg[[#This Row],[data]],2)</f>
        <v>1</v>
      </c>
      <c r="O350" s="1">
        <v>41988</v>
      </c>
      <c r="P350">
        <v>125</v>
      </c>
      <c r="Q350">
        <f>U349+W349</f>
        <v>41.489999999999995</v>
      </c>
      <c r="R350">
        <f>V349+X349</f>
        <v>30</v>
      </c>
      <c r="S350">
        <f>ROUND(IF(lpg_3[[#This Row],[zbiornik LPG]]&gt;15,0,(lpg_3[[#This Row],[km]]/2)*6/100),2)</f>
        <v>0</v>
      </c>
      <c r="T350">
        <f>ROUND(IF(lpg_3[[#This Row],[zbiornik LPG]]&gt;15,lpg_3[[#This Row],[km]]*9/100,(lpg_3[[#This Row],[km]]/2)*9/100),2)</f>
        <v>11.25</v>
      </c>
      <c r="U350">
        <f>lpg_3[[#This Row],[zbiornik PB95]]-lpg_3[[#This Row],[zuzycie PB95]]</f>
        <v>41.489999999999995</v>
      </c>
      <c r="V350">
        <f>lpg_3[[#This Row],[zbiornik LPG]]-lpg_3[[#This Row],[zyzucie lpg]]</f>
        <v>18.75</v>
      </c>
      <c r="W350">
        <f>IF(lpg_3[[#This Row],[dzien]]=4,IF(lpg_3[[#This Row],[pb po trasie]]&lt;40,45-lpg_3[[#This Row],[pb po trasie]],0),0)</f>
        <v>0</v>
      </c>
      <c r="X350">
        <f>IF(lpg_3[[#This Row],[lpg po trasie]]&lt;5,30-lpg_3[[#This Row],[lpg po trasie]],0)</f>
        <v>0</v>
      </c>
      <c r="Y350">
        <f>WEEKDAY(lpg_3[[#This Row],[data]],2)</f>
        <v>1</v>
      </c>
    </row>
    <row r="351" spans="1:25" x14ac:dyDescent="0.25">
      <c r="A351" s="1">
        <v>41989</v>
      </c>
      <c r="B351">
        <v>34</v>
      </c>
      <c r="C351">
        <f>G350+I350</f>
        <v>41.489999999999995</v>
      </c>
      <c r="D351">
        <f>H350+J350</f>
        <v>18.75</v>
      </c>
      <c r="E351">
        <f>ROUND(IF(lpg[[#This Row],[zbiornik LPG]]&gt;15,0,(lpg[[#This Row],[km]]/2)*6/100),2)</f>
        <v>0</v>
      </c>
      <c r="F351">
        <f>ROUND(IF(lpg[[#This Row],[zbiornik LPG]]&gt;15,lpg[[#This Row],[km]]*9/100,(lpg[[#This Row],[km]]/2)*9/100),2)</f>
        <v>3.06</v>
      </c>
      <c r="G351">
        <f>lpg[[#This Row],[zbiornik PB95]]-lpg[[#This Row],[zuzycie PB95]]</f>
        <v>41.489999999999995</v>
      </c>
      <c r="H351">
        <f>lpg[[#This Row],[zbiornik LPG]]-lpg[[#This Row],[zyzucie lpg]]</f>
        <v>15.69</v>
      </c>
      <c r="I351">
        <f>IF(lpg[[#This Row],[dzien]]=4,IF(lpg[[#This Row],[pb po trasie]]&lt;40,45-lpg[[#This Row],[pb po trasie]],0),0)</f>
        <v>0</v>
      </c>
      <c r="J351">
        <f>IF(lpg[[#This Row],[lpg po trasie]]&lt;5,30-lpg[[#This Row],[lpg po trasie]],0)</f>
        <v>0</v>
      </c>
      <c r="K351">
        <f>WEEKDAY(lpg[[#This Row],[data]],2)</f>
        <v>2</v>
      </c>
      <c r="O351" s="1">
        <v>41989</v>
      </c>
      <c r="P351">
        <v>34</v>
      </c>
      <c r="Q351">
        <f>U350+W350</f>
        <v>41.489999999999995</v>
      </c>
      <c r="R351">
        <f>V350+X350</f>
        <v>18.75</v>
      </c>
      <c r="S351">
        <f>ROUND(IF(lpg_3[[#This Row],[zbiornik LPG]]&gt;15,0,(lpg_3[[#This Row],[km]]/2)*6/100),2)</f>
        <v>0</v>
      </c>
      <c r="T351">
        <f>ROUND(IF(lpg_3[[#This Row],[zbiornik LPG]]&gt;15,lpg_3[[#This Row],[km]]*9/100,(lpg_3[[#This Row],[km]]/2)*9/100),2)</f>
        <v>3.06</v>
      </c>
      <c r="U351">
        <f>lpg_3[[#This Row],[zbiornik PB95]]-lpg_3[[#This Row],[zuzycie PB95]]</f>
        <v>41.489999999999995</v>
      </c>
      <c r="V351">
        <f>lpg_3[[#This Row],[zbiornik LPG]]-lpg_3[[#This Row],[zyzucie lpg]]</f>
        <v>15.69</v>
      </c>
      <c r="W351">
        <f>IF(lpg_3[[#This Row],[dzien]]=4,IF(lpg_3[[#This Row],[pb po trasie]]&lt;40,45-lpg_3[[#This Row],[pb po trasie]],0),0)</f>
        <v>0</v>
      </c>
      <c r="X351">
        <f>IF(lpg_3[[#This Row],[lpg po trasie]]&lt;5,30-lpg_3[[#This Row],[lpg po trasie]],0)</f>
        <v>0</v>
      </c>
      <c r="Y351">
        <f>WEEKDAY(lpg_3[[#This Row],[data]],2)</f>
        <v>2</v>
      </c>
    </row>
    <row r="352" spans="1:25" x14ac:dyDescent="0.25">
      <c r="A352" s="1">
        <v>41990</v>
      </c>
      <c r="B352">
        <v>129</v>
      </c>
      <c r="C352">
        <f>G351+I351</f>
        <v>41.489999999999995</v>
      </c>
      <c r="D352">
        <f>H351+J351</f>
        <v>15.69</v>
      </c>
      <c r="E352">
        <f>ROUND(IF(lpg[[#This Row],[zbiornik LPG]]&gt;15,0,(lpg[[#This Row],[km]]/2)*6/100),2)</f>
        <v>0</v>
      </c>
      <c r="F352">
        <f>ROUND(IF(lpg[[#This Row],[zbiornik LPG]]&gt;15,lpg[[#This Row],[km]]*9/100,(lpg[[#This Row],[km]]/2)*9/100),2)</f>
        <v>11.61</v>
      </c>
      <c r="G352">
        <f>lpg[[#This Row],[zbiornik PB95]]-lpg[[#This Row],[zuzycie PB95]]</f>
        <v>41.489999999999995</v>
      </c>
      <c r="H352">
        <f>lpg[[#This Row],[zbiornik LPG]]-lpg[[#This Row],[zyzucie lpg]]</f>
        <v>4.08</v>
      </c>
      <c r="I352">
        <f>IF(lpg[[#This Row],[dzien]]=4,IF(lpg[[#This Row],[pb po trasie]]&lt;40,45-lpg[[#This Row],[pb po trasie]],0),0)</f>
        <v>0</v>
      </c>
      <c r="J352">
        <f>IF(lpg[[#This Row],[lpg po trasie]]&lt;5,30-lpg[[#This Row],[lpg po trasie]],0)</f>
        <v>25.92</v>
      </c>
      <c r="K352">
        <f>WEEKDAY(lpg[[#This Row],[data]],2)</f>
        <v>3</v>
      </c>
      <c r="O352" s="1">
        <v>41990</v>
      </c>
      <c r="P352">
        <v>129</v>
      </c>
      <c r="Q352">
        <f>U351+W351</f>
        <v>41.489999999999995</v>
      </c>
      <c r="R352">
        <f>V351+X351</f>
        <v>15.69</v>
      </c>
      <c r="S352">
        <f>ROUND(IF(lpg_3[[#This Row],[zbiornik LPG]]&gt;15,0,(lpg_3[[#This Row],[km]]/2)*6/100),2)</f>
        <v>0</v>
      </c>
      <c r="T352">
        <f>ROUND(IF(lpg_3[[#This Row],[zbiornik LPG]]&gt;15,lpg_3[[#This Row],[km]]*9/100,(lpg_3[[#This Row],[km]]/2)*9/100),2)</f>
        <v>11.61</v>
      </c>
      <c r="U352">
        <f>lpg_3[[#This Row],[zbiornik PB95]]-lpg_3[[#This Row],[zuzycie PB95]]</f>
        <v>41.489999999999995</v>
      </c>
      <c r="V352">
        <f>lpg_3[[#This Row],[zbiornik LPG]]-lpg_3[[#This Row],[zyzucie lpg]]</f>
        <v>4.08</v>
      </c>
      <c r="W352">
        <f>IF(lpg_3[[#This Row],[dzien]]=4,IF(lpg_3[[#This Row],[pb po trasie]]&lt;40,45-lpg_3[[#This Row],[pb po trasie]],0),0)</f>
        <v>0</v>
      </c>
      <c r="X352">
        <f>IF(lpg_3[[#This Row],[lpg po trasie]]&lt;5,30-lpg_3[[#This Row],[lpg po trasie]],0)</f>
        <v>25.92</v>
      </c>
      <c r="Y352">
        <f>WEEKDAY(lpg_3[[#This Row],[data]],2)</f>
        <v>3</v>
      </c>
    </row>
    <row r="353" spans="1:25" x14ac:dyDescent="0.25">
      <c r="A353" s="1">
        <v>41991</v>
      </c>
      <c r="B353">
        <v>112</v>
      </c>
      <c r="C353">
        <f>G352+I352</f>
        <v>41.489999999999995</v>
      </c>
      <c r="D353">
        <f>H352+J352</f>
        <v>30</v>
      </c>
      <c r="E353">
        <f>ROUND(IF(lpg[[#This Row],[zbiornik LPG]]&gt;15,0,(lpg[[#This Row],[km]]/2)*6/100),2)</f>
        <v>0</v>
      </c>
      <c r="F353">
        <f>ROUND(IF(lpg[[#This Row],[zbiornik LPG]]&gt;15,lpg[[#This Row],[km]]*9/100,(lpg[[#This Row],[km]]/2)*9/100),2)</f>
        <v>10.08</v>
      </c>
      <c r="G353">
        <f>lpg[[#This Row],[zbiornik PB95]]-lpg[[#This Row],[zuzycie PB95]]</f>
        <v>41.489999999999995</v>
      </c>
      <c r="H353">
        <f>lpg[[#This Row],[zbiornik LPG]]-lpg[[#This Row],[zyzucie lpg]]</f>
        <v>19.920000000000002</v>
      </c>
      <c r="I353">
        <f>IF(lpg[[#This Row],[dzien]]=4,IF(lpg[[#This Row],[pb po trasie]]&lt;40,45-lpg[[#This Row],[pb po trasie]],0),0)</f>
        <v>0</v>
      </c>
      <c r="J353">
        <f>IF(lpg[[#This Row],[lpg po trasie]]&lt;5,30-lpg[[#This Row],[lpg po trasie]],0)</f>
        <v>0</v>
      </c>
      <c r="K353">
        <f>WEEKDAY(lpg[[#This Row],[data]],2)</f>
        <v>4</v>
      </c>
      <c r="O353" s="1">
        <v>41991</v>
      </c>
      <c r="P353">
        <v>112</v>
      </c>
      <c r="Q353">
        <f>U352+W352</f>
        <v>41.489999999999995</v>
      </c>
      <c r="R353">
        <f>V352+X352</f>
        <v>30</v>
      </c>
      <c r="S353">
        <f>ROUND(IF(lpg_3[[#This Row],[zbiornik LPG]]&gt;15,0,(lpg_3[[#This Row],[km]]/2)*6/100),2)</f>
        <v>0</v>
      </c>
      <c r="T353">
        <f>ROUND(IF(lpg_3[[#This Row],[zbiornik LPG]]&gt;15,lpg_3[[#This Row],[km]]*9/100,(lpg_3[[#This Row],[km]]/2)*9/100),2)</f>
        <v>10.08</v>
      </c>
      <c r="U353">
        <f>lpg_3[[#This Row],[zbiornik PB95]]-lpg_3[[#This Row],[zuzycie PB95]]</f>
        <v>41.489999999999995</v>
      </c>
      <c r="V353">
        <f>lpg_3[[#This Row],[zbiornik LPG]]-lpg_3[[#This Row],[zyzucie lpg]]</f>
        <v>19.920000000000002</v>
      </c>
      <c r="W353">
        <f>IF(lpg_3[[#This Row],[dzien]]=4,IF(lpg_3[[#This Row],[pb po trasie]]&lt;40,45-lpg_3[[#This Row],[pb po trasie]],0),0)</f>
        <v>0</v>
      </c>
      <c r="X353">
        <f>IF(lpg_3[[#This Row],[lpg po trasie]]&lt;5,30-lpg_3[[#This Row],[lpg po trasie]],0)</f>
        <v>0</v>
      </c>
      <c r="Y353">
        <f>WEEKDAY(lpg_3[[#This Row],[data]],2)</f>
        <v>4</v>
      </c>
    </row>
    <row r="354" spans="1:25" x14ac:dyDescent="0.25">
      <c r="A354" s="1">
        <v>41992</v>
      </c>
      <c r="B354">
        <v>78</v>
      </c>
      <c r="C354">
        <f>G353+I353</f>
        <v>41.489999999999995</v>
      </c>
      <c r="D354">
        <f>H353+J353</f>
        <v>19.920000000000002</v>
      </c>
      <c r="E354">
        <f>ROUND(IF(lpg[[#This Row],[zbiornik LPG]]&gt;15,0,(lpg[[#This Row],[km]]/2)*6/100),2)</f>
        <v>0</v>
      </c>
      <c r="F354">
        <f>ROUND(IF(lpg[[#This Row],[zbiornik LPG]]&gt;15,lpg[[#This Row],[km]]*9/100,(lpg[[#This Row],[km]]/2)*9/100),2)</f>
        <v>7.02</v>
      </c>
      <c r="G354">
        <f>lpg[[#This Row],[zbiornik PB95]]-lpg[[#This Row],[zuzycie PB95]]</f>
        <v>41.489999999999995</v>
      </c>
      <c r="H354">
        <f>lpg[[#This Row],[zbiornik LPG]]-lpg[[#This Row],[zyzucie lpg]]</f>
        <v>12.900000000000002</v>
      </c>
      <c r="I354">
        <f>IF(lpg[[#This Row],[dzien]]=4,IF(lpg[[#This Row],[pb po trasie]]&lt;40,45-lpg[[#This Row],[pb po trasie]],0),0)</f>
        <v>0</v>
      </c>
      <c r="J354">
        <f>IF(lpg[[#This Row],[lpg po trasie]]&lt;5,30-lpg[[#This Row],[lpg po trasie]],0)</f>
        <v>0</v>
      </c>
      <c r="K354">
        <f>WEEKDAY(lpg[[#This Row],[data]],2)</f>
        <v>5</v>
      </c>
      <c r="O354" s="1">
        <v>41992</v>
      </c>
      <c r="P354">
        <v>78</v>
      </c>
      <c r="Q354">
        <f>U353+W353</f>
        <v>41.489999999999995</v>
      </c>
      <c r="R354">
        <f>V353+X353</f>
        <v>19.920000000000002</v>
      </c>
      <c r="S354">
        <f>ROUND(IF(lpg_3[[#This Row],[zbiornik LPG]]&gt;15,0,(lpg_3[[#This Row],[km]]/2)*6/100),2)</f>
        <v>0</v>
      </c>
      <c r="T354">
        <f>ROUND(IF(lpg_3[[#This Row],[zbiornik LPG]]&gt;15,lpg_3[[#This Row],[km]]*9/100,(lpg_3[[#This Row],[km]]/2)*9/100),2)</f>
        <v>7.02</v>
      </c>
      <c r="U354">
        <f>lpg_3[[#This Row],[zbiornik PB95]]-lpg_3[[#This Row],[zuzycie PB95]]</f>
        <v>41.489999999999995</v>
      </c>
      <c r="V354">
        <f>lpg_3[[#This Row],[zbiornik LPG]]-lpg_3[[#This Row],[zyzucie lpg]]</f>
        <v>12.900000000000002</v>
      </c>
      <c r="W354">
        <f>IF(lpg_3[[#This Row],[dzien]]=4,IF(lpg_3[[#This Row],[pb po trasie]]&lt;40,45-lpg_3[[#This Row],[pb po trasie]],0),0)</f>
        <v>0</v>
      </c>
      <c r="X354">
        <f>IF(lpg_3[[#This Row],[lpg po trasie]]&lt;5,30-lpg_3[[#This Row],[lpg po trasie]],0)</f>
        <v>0</v>
      </c>
      <c r="Y354">
        <f>WEEKDAY(lpg_3[[#This Row],[data]],2)</f>
        <v>5</v>
      </c>
    </row>
    <row r="355" spans="1:25" x14ac:dyDescent="0.25">
      <c r="A355" s="1">
        <v>41993</v>
      </c>
      <c r="B355">
        <v>114</v>
      </c>
      <c r="C355">
        <f>G354+I354</f>
        <v>41.489999999999995</v>
      </c>
      <c r="D355">
        <f>H354+J354</f>
        <v>12.900000000000002</v>
      </c>
      <c r="E355">
        <f>ROUND(IF(lpg[[#This Row],[zbiornik LPG]]&gt;15,0,(lpg[[#This Row],[km]]/2)*6/100),2)</f>
        <v>3.42</v>
      </c>
      <c r="F355">
        <f>ROUND(IF(lpg[[#This Row],[zbiornik LPG]]&gt;15,lpg[[#This Row],[km]]*9/100,(lpg[[#This Row],[km]]/2)*9/100),2)</f>
        <v>5.13</v>
      </c>
      <c r="G355">
        <f>lpg[[#This Row],[zbiornik PB95]]-lpg[[#This Row],[zuzycie PB95]]</f>
        <v>38.069999999999993</v>
      </c>
      <c r="H355">
        <f>lpg[[#This Row],[zbiornik LPG]]-lpg[[#This Row],[zyzucie lpg]]</f>
        <v>7.7700000000000022</v>
      </c>
      <c r="I355">
        <f>IF(lpg[[#This Row],[dzien]]=4,IF(lpg[[#This Row],[pb po trasie]]&lt;40,45-lpg[[#This Row],[pb po trasie]],0),0)</f>
        <v>0</v>
      </c>
      <c r="J355">
        <f>IF(lpg[[#This Row],[lpg po trasie]]&lt;5,30-lpg[[#This Row],[lpg po trasie]],0)</f>
        <v>0</v>
      </c>
      <c r="K355">
        <f>WEEKDAY(lpg[[#This Row],[data]],2)</f>
        <v>6</v>
      </c>
      <c r="O355" s="1">
        <v>41993</v>
      </c>
      <c r="P355">
        <v>114</v>
      </c>
      <c r="Q355">
        <f>U354+W354</f>
        <v>41.489999999999995</v>
      </c>
      <c r="R355">
        <f>V354+X354</f>
        <v>12.900000000000002</v>
      </c>
      <c r="S355">
        <f>ROUND(IF(lpg_3[[#This Row],[zbiornik LPG]]&gt;15,0,(lpg_3[[#This Row],[km]]/2)*6/100),2)</f>
        <v>3.42</v>
      </c>
      <c r="T355">
        <f>ROUND(IF(lpg_3[[#This Row],[zbiornik LPG]]&gt;15,lpg_3[[#This Row],[km]]*9/100,(lpg_3[[#This Row],[km]]/2)*9/100),2)</f>
        <v>5.13</v>
      </c>
      <c r="U355">
        <f>lpg_3[[#This Row],[zbiornik PB95]]-lpg_3[[#This Row],[zuzycie PB95]]</f>
        <v>38.069999999999993</v>
      </c>
      <c r="V355">
        <f>lpg_3[[#This Row],[zbiornik LPG]]-lpg_3[[#This Row],[zyzucie lpg]]</f>
        <v>7.7700000000000022</v>
      </c>
      <c r="W355">
        <f>IF(lpg_3[[#This Row],[dzien]]=4,IF(lpg_3[[#This Row],[pb po trasie]]&lt;40,45-lpg_3[[#This Row],[pb po trasie]],0),0)</f>
        <v>0</v>
      </c>
      <c r="X355">
        <f>IF(lpg_3[[#This Row],[lpg po trasie]]&lt;5,30-lpg_3[[#This Row],[lpg po trasie]],0)</f>
        <v>0</v>
      </c>
      <c r="Y355">
        <f>WEEKDAY(lpg_3[[#This Row],[data]],2)</f>
        <v>6</v>
      </c>
    </row>
    <row r="356" spans="1:25" x14ac:dyDescent="0.25">
      <c r="A356" s="1">
        <v>41994</v>
      </c>
      <c r="B356">
        <v>122</v>
      </c>
      <c r="C356">
        <f>G355+I355</f>
        <v>38.069999999999993</v>
      </c>
      <c r="D356">
        <f>H355+J355</f>
        <v>7.7700000000000022</v>
      </c>
      <c r="E356">
        <f>ROUND(IF(lpg[[#This Row],[zbiornik LPG]]&gt;15,0,(lpg[[#This Row],[km]]/2)*6/100),2)</f>
        <v>3.66</v>
      </c>
      <c r="F356">
        <f>ROUND(IF(lpg[[#This Row],[zbiornik LPG]]&gt;15,lpg[[#This Row],[km]]*9/100,(lpg[[#This Row],[km]]/2)*9/100),2)</f>
        <v>5.49</v>
      </c>
      <c r="G356">
        <f>lpg[[#This Row],[zbiornik PB95]]-lpg[[#This Row],[zuzycie PB95]]</f>
        <v>34.409999999999997</v>
      </c>
      <c r="H356">
        <f>lpg[[#This Row],[zbiornik LPG]]-lpg[[#This Row],[zyzucie lpg]]</f>
        <v>2.280000000000002</v>
      </c>
      <c r="I356">
        <f>IF(lpg[[#This Row],[dzien]]=4,IF(lpg[[#This Row],[pb po trasie]]&lt;40,45-lpg[[#This Row],[pb po trasie]],0),0)</f>
        <v>0</v>
      </c>
      <c r="J356">
        <f>IF(lpg[[#This Row],[lpg po trasie]]&lt;5,30-lpg[[#This Row],[lpg po trasie]],0)</f>
        <v>27.72</v>
      </c>
      <c r="K356">
        <f>WEEKDAY(lpg[[#This Row],[data]],2)</f>
        <v>7</v>
      </c>
      <c r="O356" s="1">
        <v>41994</v>
      </c>
      <c r="P356">
        <v>122</v>
      </c>
      <c r="Q356">
        <f>U355+W355</f>
        <v>38.069999999999993</v>
      </c>
      <c r="R356">
        <f>V355+X355</f>
        <v>7.7700000000000022</v>
      </c>
      <c r="S356">
        <f>ROUND(IF(lpg_3[[#This Row],[zbiornik LPG]]&gt;15,0,(lpg_3[[#This Row],[km]]/2)*6/100),2)</f>
        <v>3.66</v>
      </c>
      <c r="T356">
        <f>ROUND(IF(lpg_3[[#This Row],[zbiornik LPG]]&gt;15,lpg_3[[#This Row],[km]]*9/100,(lpg_3[[#This Row],[km]]/2)*9/100),2)</f>
        <v>5.49</v>
      </c>
      <c r="U356">
        <f>lpg_3[[#This Row],[zbiornik PB95]]-lpg_3[[#This Row],[zuzycie PB95]]</f>
        <v>34.409999999999997</v>
      </c>
      <c r="V356">
        <f>lpg_3[[#This Row],[zbiornik LPG]]-lpg_3[[#This Row],[zyzucie lpg]]</f>
        <v>2.280000000000002</v>
      </c>
      <c r="W356">
        <f>IF(lpg_3[[#This Row],[dzien]]=4,IF(lpg_3[[#This Row],[pb po trasie]]&lt;40,45-lpg_3[[#This Row],[pb po trasie]],0),0)</f>
        <v>0</v>
      </c>
      <c r="X356">
        <f>IF(lpg_3[[#This Row],[lpg po trasie]]&lt;5,30-lpg_3[[#This Row],[lpg po trasie]],0)</f>
        <v>27.72</v>
      </c>
      <c r="Y356">
        <f>WEEKDAY(lpg_3[[#This Row],[data]],2)</f>
        <v>7</v>
      </c>
    </row>
    <row r="357" spans="1:25" x14ac:dyDescent="0.25">
      <c r="A357" s="1">
        <v>41995</v>
      </c>
      <c r="B357">
        <v>42</v>
      </c>
      <c r="C357">
        <f>G356+I356</f>
        <v>34.409999999999997</v>
      </c>
      <c r="D357">
        <f>H356+J356</f>
        <v>30</v>
      </c>
      <c r="E357">
        <f>ROUND(IF(lpg[[#This Row],[zbiornik LPG]]&gt;15,0,(lpg[[#This Row],[km]]/2)*6/100),2)</f>
        <v>0</v>
      </c>
      <c r="F357">
        <f>ROUND(IF(lpg[[#This Row],[zbiornik LPG]]&gt;15,lpg[[#This Row],[km]]*9/100,(lpg[[#This Row],[km]]/2)*9/100),2)</f>
        <v>3.78</v>
      </c>
      <c r="G357">
        <f>lpg[[#This Row],[zbiornik PB95]]-lpg[[#This Row],[zuzycie PB95]]</f>
        <v>34.409999999999997</v>
      </c>
      <c r="H357">
        <f>lpg[[#This Row],[zbiornik LPG]]-lpg[[#This Row],[zyzucie lpg]]</f>
        <v>26.22</v>
      </c>
      <c r="I357">
        <f>IF(lpg[[#This Row],[dzien]]=4,IF(lpg[[#This Row],[pb po trasie]]&lt;40,45-lpg[[#This Row],[pb po trasie]],0),0)</f>
        <v>0</v>
      </c>
      <c r="J357">
        <f>IF(lpg[[#This Row],[lpg po trasie]]&lt;5,30-lpg[[#This Row],[lpg po trasie]],0)</f>
        <v>0</v>
      </c>
      <c r="K357">
        <f>WEEKDAY(lpg[[#This Row],[data]],2)</f>
        <v>1</v>
      </c>
      <c r="O357" s="1">
        <v>41995</v>
      </c>
      <c r="P357">
        <v>42</v>
      </c>
      <c r="Q357">
        <f>U356+W356</f>
        <v>34.409999999999997</v>
      </c>
      <c r="R357">
        <f>V356+X356</f>
        <v>30</v>
      </c>
      <c r="S357">
        <f>ROUND(IF(lpg_3[[#This Row],[zbiornik LPG]]&gt;15,0,(lpg_3[[#This Row],[km]]/2)*6/100),2)</f>
        <v>0</v>
      </c>
      <c r="T357">
        <f>ROUND(IF(lpg_3[[#This Row],[zbiornik LPG]]&gt;15,lpg_3[[#This Row],[km]]*9/100,(lpg_3[[#This Row],[km]]/2)*9/100),2)</f>
        <v>3.78</v>
      </c>
      <c r="U357">
        <f>lpg_3[[#This Row],[zbiornik PB95]]-lpg_3[[#This Row],[zuzycie PB95]]</f>
        <v>34.409999999999997</v>
      </c>
      <c r="V357">
        <f>lpg_3[[#This Row],[zbiornik LPG]]-lpg_3[[#This Row],[zyzucie lpg]]</f>
        <v>26.22</v>
      </c>
      <c r="W357">
        <f>IF(lpg_3[[#This Row],[dzien]]=4,IF(lpg_3[[#This Row],[pb po trasie]]&lt;40,45-lpg_3[[#This Row],[pb po trasie]],0),0)</f>
        <v>0</v>
      </c>
      <c r="X357">
        <f>IF(lpg_3[[#This Row],[lpg po trasie]]&lt;5,30-lpg_3[[#This Row],[lpg po trasie]],0)</f>
        <v>0</v>
      </c>
      <c r="Y357">
        <f>WEEKDAY(lpg_3[[#This Row],[data]],2)</f>
        <v>1</v>
      </c>
    </row>
    <row r="358" spans="1:25" x14ac:dyDescent="0.25">
      <c r="A358" s="1">
        <v>41996</v>
      </c>
      <c r="B358">
        <v>149</v>
      </c>
      <c r="C358">
        <f>G357+I357</f>
        <v>34.409999999999997</v>
      </c>
      <c r="D358">
        <f>H357+J357</f>
        <v>26.22</v>
      </c>
      <c r="E358">
        <f>ROUND(IF(lpg[[#This Row],[zbiornik LPG]]&gt;15,0,(lpg[[#This Row],[km]]/2)*6/100),2)</f>
        <v>0</v>
      </c>
      <c r="F358">
        <f>ROUND(IF(lpg[[#This Row],[zbiornik LPG]]&gt;15,lpg[[#This Row],[km]]*9/100,(lpg[[#This Row],[km]]/2)*9/100),2)</f>
        <v>13.41</v>
      </c>
      <c r="G358">
        <f>lpg[[#This Row],[zbiornik PB95]]-lpg[[#This Row],[zuzycie PB95]]</f>
        <v>34.409999999999997</v>
      </c>
      <c r="H358">
        <f>lpg[[#This Row],[zbiornik LPG]]-lpg[[#This Row],[zyzucie lpg]]</f>
        <v>12.809999999999999</v>
      </c>
      <c r="I358">
        <f>IF(lpg[[#This Row],[dzien]]=4,IF(lpg[[#This Row],[pb po trasie]]&lt;40,45-lpg[[#This Row],[pb po trasie]],0),0)</f>
        <v>0</v>
      </c>
      <c r="J358">
        <f>IF(lpg[[#This Row],[lpg po trasie]]&lt;5,30-lpg[[#This Row],[lpg po trasie]],0)</f>
        <v>0</v>
      </c>
      <c r="K358">
        <f>WEEKDAY(lpg[[#This Row],[data]],2)</f>
        <v>2</v>
      </c>
      <c r="O358" s="1">
        <v>41996</v>
      </c>
      <c r="P358">
        <v>149</v>
      </c>
      <c r="Q358">
        <f>U357+W357</f>
        <v>34.409999999999997</v>
      </c>
      <c r="R358">
        <f>V357+X357</f>
        <v>26.22</v>
      </c>
      <c r="S358">
        <f>ROUND(IF(lpg_3[[#This Row],[zbiornik LPG]]&gt;15,0,(lpg_3[[#This Row],[km]]/2)*6/100),2)</f>
        <v>0</v>
      </c>
      <c r="T358">
        <f>ROUND(IF(lpg_3[[#This Row],[zbiornik LPG]]&gt;15,lpg_3[[#This Row],[km]]*9/100,(lpg_3[[#This Row],[km]]/2)*9/100),2)</f>
        <v>13.41</v>
      </c>
      <c r="U358">
        <f>lpg_3[[#This Row],[zbiornik PB95]]-lpg_3[[#This Row],[zuzycie PB95]]</f>
        <v>34.409999999999997</v>
      </c>
      <c r="V358">
        <f>lpg_3[[#This Row],[zbiornik LPG]]-lpg_3[[#This Row],[zyzucie lpg]]</f>
        <v>12.809999999999999</v>
      </c>
      <c r="W358">
        <f>IF(lpg_3[[#This Row],[dzien]]=4,IF(lpg_3[[#This Row],[pb po trasie]]&lt;40,45-lpg_3[[#This Row],[pb po trasie]],0),0)</f>
        <v>0</v>
      </c>
      <c r="X358">
        <f>IF(lpg_3[[#This Row],[lpg po trasie]]&lt;5,30-lpg_3[[#This Row],[lpg po trasie]],0)</f>
        <v>0</v>
      </c>
      <c r="Y358">
        <f>WEEKDAY(lpg_3[[#This Row],[data]],2)</f>
        <v>2</v>
      </c>
    </row>
    <row r="359" spans="1:25" x14ac:dyDescent="0.25">
      <c r="A359" s="1">
        <v>41997</v>
      </c>
      <c r="B359">
        <v>113</v>
      </c>
      <c r="C359">
        <f>G358+I358</f>
        <v>34.409999999999997</v>
      </c>
      <c r="D359">
        <f>H358+J358</f>
        <v>12.809999999999999</v>
      </c>
      <c r="E359">
        <f>ROUND(IF(lpg[[#This Row],[zbiornik LPG]]&gt;15,0,(lpg[[#This Row],[km]]/2)*6/100),2)</f>
        <v>3.39</v>
      </c>
      <c r="F359">
        <f>ROUND(IF(lpg[[#This Row],[zbiornik LPG]]&gt;15,lpg[[#This Row],[km]]*9/100,(lpg[[#This Row],[km]]/2)*9/100),2)</f>
        <v>5.09</v>
      </c>
      <c r="G359">
        <f>lpg[[#This Row],[zbiornik PB95]]-lpg[[#This Row],[zuzycie PB95]]</f>
        <v>31.019999999999996</v>
      </c>
      <c r="H359">
        <f>lpg[[#This Row],[zbiornik LPG]]-lpg[[#This Row],[zyzucie lpg]]</f>
        <v>7.7199999999999989</v>
      </c>
      <c r="I359">
        <f>IF(lpg[[#This Row],[dzien]]=4,IF(lpg[[#This Row],[pb po trasie]]&lt;40,45-lpg[[#This Row],[pb po trasie]],0),0)</f>
        <v>0</v>
      </c>
      <c r="J359">
        <f>IF(lpg[[#This Row],[lpg po trasie]]&lt;5,30-lpg[[#This Row],[lpg po trasie]],0)</f>
        <v>0</v>
      </c>
      <c r="K359">
        <f>WEEKDAY(lpg[[#This Row],[data]],2)</f>
        <v>3</v>
      </c>
      <c r="O359" s="1">
        <v>41997</v>
      </c>
      <c r="P359">
        <v>113</v>
      </c>
      <c r="Q359">
        <f>U358+W358</f>
        <v>34.409999999999997</v>
      </c>
      <c r="R359">
        <f>V358+X358</f>
        <v>12.809999999999999</v>
      </c>
      <c r="S359">
        <f>ROUND(IF(lpg_3[[#This Row],[zbiornik LPG]]&gt;15,0,(lpg_3[[#This Row],[km]]/2)*6/100),2)</f>
        <v>3.39</v>
      </c>
      <c r="T359">
        <f>ROUND(IF(lpg_3[[#This Row],[zbiornik LPG]]&gt;15,lpg_3[[#This Row],[km]]*9/100,(lpg_3[[#This Row],[km]]/2)*9/100),2)</f>
        <v>5.09</v>
      </c>
      <c r="U359">
        <f>lpg_3[[#This Row],[zbiornik PB95]]-lpg_3[[#This Row],[zuzycie PB95]]</f>
        <v>31.019999999999996</v>
      </c>
      <c r="V359">
        <f>lpg_3[[#This Row],[zbiornik LPG]]-lpg_3[[#This Row],[zyzucie lpg]]</f>
        <v>7.7199999999999989</v>
      </c>
      <c r="W359">
        <f>IF(lpg_3[[#This Row],[dzien]]=4,IF(lpg_3[[#This Row],[pb po trasie]]&lt;40,45-lpg_3[[#This Row],[pb po trasie]],0),0)</f>
        <v>0</v>
      </c>
      <c r="X359">
        <f>IF(lpg_3[[#This Row],[lpg po trasie]]&lt;5,30-lpg_3[[#This Row],[lpg po trasie]],0)</f>
        <v>0</v>
      </c>
      <c r="Y359">
        <f>WEEKDAY(lpg_3[[#This Row],[data]],2)</f>
        <v>3</v>
      </c>
    </row>
    <row r="360" spans="1:25" x14ac:dyDescent="0.25">
      <c r="A360" s="1">
        <v>41998</v>
      </c>
      <c r="B360">
        <v>133</v>
      </c>
      <c r="C360">
        <f>G359+I359</f>
        <v>31.019999999999996</v>
      </c>
      <c r="D360">
        <f>H359+J359</f>
        <v>7.7199999999999989</v>
      </c>
      <c r="E360">
        <f>ROUND(IF(lpg[[#This Row],[zbiornik LPG]]&gt;15,0,(lpg[[#This Row],[km]]/2)*6/100),2)</f>
        <v>3.99</v>
      </c>
      <c r="F360">
        <f>ROUND(IF(lpg[[#This Row],[zbiornik LPG]]&gt;15,lpg[[#This Row],[km]]*9/100,(lpg[[#This Row],[km]]/2)*9/100),2)</f>
        <v>5.99</v>
      </c>
      <c r="G360">
        <f>lpg[[#This Row],[zbiornik PB95]]-lpg[[#This Row],[zuzycie PB95]]</f>
        <v>27.029999999999994</v>
      </c>
      <c r="H360">
        <f>lpg[[#This Row],[zbiornik LPG]]-lpg[[#This Row],[zyzucie lpg]]</f>
        <v>1.7299999999999986</v>
      </c>
      <c r="I360">
        <f>IF(lpg[[#This Row],[dzien]]=4,IF(lpg[[#This Row],[pb po trasie]]&lt;40,45-lpg[[#This Row],[pb po trasie]],0),0)</f>
        <v>17.970000000000006</v>
      </c>
      <c r="J360">
        <f>IF(lpg[[#This Row],[lpg po trasie]]&lt;5,30-lpg[[#This Row],[lpg po trasie]],0)</f>
        <v>28.270000000000003</v>
      </c>
      <c r="K360">
        <f>WEEKDAY(lpg[[#This Row],[data]],2)</f>
        <v>4</v>
      </c>
      <c r="O360" s="1">
        <v>41998</v>
      </c>
      <c r="P360">
        <v>133</v>
      </c>
      <c r="Q360">
        <f>U359+W359</f>
        <v>31.019999999999996</v>
      </c>
      <c r="R360">
        <f>V359+X359</f>
        <v>7.7199999999999989</v>
      </c>
      <c r="S360">
        <f>ROUND(IF(lpg_3[[#This Row],[zbiornik LPG]]&gt;15,0,(lpg_3[[#This Row],[km]]/2)*6/100),2)</f>
        <v>3.99</v>
      </c>
      <c r="T360">
        <f>ROUND(IF(lpg_3[[#This Row],[zbiornik LPG]]&gt;15,lpg_3[[#This Row],[km]]*9/100,(lpg_3[[#This Row],[km]]/2)*9/100),2)</f>
        <v>5.99</v>
      </c>
      <c r="U360">
        <f>lpg_3[[#This Row],[zbiornik PB95]]-lpg_3[[#This Row],[zuzycie PB95]]</f>
        <v>27.029999999999994</v>
      </c>
      <c r="V360">
        <f>lpg_3[[#This Row],[zbiornik LPG]]-lpg_3[[#This Row],[zyzucie lpg]]</f>
        <v>1.7299999999999986</v>
      </c>
      <c r="W360">
        <f>IF(lpg_3[[#This Row],[dzien]]=4,IF(lpg_3[[#This Row],[pb po trasie]]&lt;40,45-lpg_3[[#This Row],[pb po trasie]],0),0)</f>
        <v>17.970000000000006</v>
      </c>
      <c r="X360">
        <f>IF(lpg_3[[#This Row],[lpg po trasie]]&lt;5,30-lpg_3[[#This Row],[lpg po trasie]],0)</f>
        <v>28.270000000000003</v>
      </c>
      <c r="Y360">
        <f>WEEKDAY(lpg_3[[#This Row],[data]],2)</f>
        <v>4</v>
      </c>
    </row>
    <row r="361" spans="1:25" x14ac:dyDescent="0.25">
      <c r="A361" s="1">
        <v>41999</v>
      </c>
      <c r="B361">
        <v>57</v>
      </c>
      <c r="C361">
        <f>G360+I360</f>
        <v>45</v>
      </c>
      <c r="D361">
        <f>H360+J360</f>
        <v>30</v>
      </c>
      <c r="E361">
        <f>ROUND(IF(lpg[[#This Row],[zbiornik LPG]]&gt;15,0,(lpg[[#This Row],[km]]/2)*6/100),2)</f>
        <v>0</v>
      </c>
      <c r="F361">
        <f>ROUND(IF(lpg[[#This Row],[zbiornik LPG]]&gt;15,lpg[[#This Row],[km]]*9/100,(lpg[[#This Row],[km]]/2)*9/100),2)</f>
        <v>5.13</v>
      </c>
      <c r="G361">
        <f>lpg[[#This Row],[zbiornik PB95]]-lpg[[#This Row],[zuzycie PB95]]</f>
        <v>45</v>
      </c>
      <c r="H361">
        <f>lpg[[#This Row],[zbiornik LPG]]-lpg[[#This Row],[zyzucie lpg]]</f>
        <v>24.87</v>
      </c>
      <c r="I361">
        <f>IF(lpg[[#This Row],[dzien]]=4,IF(lpg[[#This Row],[pb po trasie]]&lt;40,45-lpg[[#This Row],[pb po trasie]],0),0)</f>
        <v>0</v>
      </c>
      <c r="J361">
        <f>IF(lpg[[#This Row],[lpg po trasie]]&lt;5,30-lpg[[#This Row],[lpg po trasie]],0)</f>
        <v>0</v>
      </c>
      <c r="K361">
        <f>WEEKDAY(lpg[[#This Row],[data]],2)</f>
        <v>5</v>
      </c>
      <c r="O361" s="1">
        <v>41999</v>
      </c>
      <c r="P361">
        <v>57</v>
      </c>
      <c r="Q361">
        <f>U360+W360</f>
        <v>45</v>
      </c>
      <c r="R361">
        <f>V360+X360</f>
        <v>30</v>
      </c>
      <c r="S361">
        <f>ROUND(IF(lpg_3[[#This Row],[zbiornik LPG]]&gt;15,0,(lpg_3[[#This Row],[km]]/2)*6/100),2)</f>
        <v>0</v>
      </c>
      <c r="T361">
        <f>ROUND(IF(lpg_3[[#This Row],[zbiornik LPG]]&gt;15,lpg_3[[#This Row],[km]]*9/100,(lpg_3[[#This Row],[km]]/2)*9/100),2)</f>
        <v>5.13</v>
      </c>
      <c r="U361">
        <f>lpg_3[[#This Row],[zbiornik PB95]]-lpg_3[[#This Row],[zuzycie PB95]]</f>
        <v>45</v>
      </c>
      <c r="V361">
        <f>lpg_3[[#This Row],[zbiornik LPG]]-lpg_3[[#This Row],[zyzucie lpg]]</f>
        <v>24.87</v>
      </c>
      <c r="W361">
        <f>IF(lpg_3[[#This Row],[dzien]]=4,IF(lpg_3[[#This Row],[pb po trasie]]&lt;40,45-lpg_3[[#This Row],[pb po trasie]],0),0)</f>
        <v>0</v>
      </c>
      <c r="X361">
        <f>IF(lpg_3[[#This Row],[lpg po trasie]]&lt;5,30-lpg_3[[#This Row],[lpg po trasie]],0)</f>
        <v>0</v>
      </c>
      <c r="Y361">
        <f>WEEKDAY(lpg_3[[#This Row],[data]],2)</f>
        <v>5</v>
      </c>
    </row>
    <row r="362" spans="1:25" x14ac:dyDescent="0.25">
      <c r="A362" s="1">
        <v>42000</v>
      </c>
      <c r="B362">
        <v>27</v>
      </c>
      <c r="C362">
        <f>G361+I361</f>
        <v>45</v>
      </c>
      <c r="D362">
        <f>H361+J361</f>
        <v>24.87</v>
      </c>
      <c r="E362">
        <f>ROUND(IF(lpg[[#This Row],[zbiornik LPG]]&gt;15,0,(lpg[[#This Row],[km]]/2)*6/100),2)</f>
        <v>0</v>
      </c>
      <c r="F362">
        <f>ROUND(IF(lpg[[#This Row],[zbiornik LPG]]&gt;15,lpg[[#This Row],[km]]*9/100,(lpg[[#This Row],[km]]/2)*9/100),2)</f>
        <v>2.4300000000000002</v>
      </c>
      <c r="G362">
        <f>lpg[[#This Row],[zbiornik PB95]]-lpg[[#This Row],[zuzycie PB95]]</f>
        <v>45</v>
      </c>
      <c r="H362">
        <f>lpg[[#This Row],[zbiornik LPG]]-lpg[[#This Row],[zyzucie lpg]]</f>
        <v>22.44</v>
      </c>
      <c r="I362">
        <f>IF(lpg[[#This Row],[dzien]]=4,IF(lpg[[#This Row],[pb po trasie]]&lt;40,45-lpg[[#This Row],[pb po trasie]],0),0)</f>
        <v>0</v>
      </c>
      <c r="J362">
        <f>IF(lpg[[#This Row],[lpg po trasie]]&lt;5,30-lpg[[#This Row],[lpg po trasie]],0)</f>
        <v>0</v>
      </c>
      <c r="K362">
        <f>WEEKDAY(lpg[[#This Row],[data]],2)</f>
        <v>6</v>
      </c>
      <c r="O362" s="1">
        <v>42000</v>
      </c>
      <c r="P362">
        <v>27</v>
      </c>
      <c r="Q362">
        <f>U361+W361</f>
        <v>45</v>
      </c>
      <c r="R362">
        <f>V361+X361</f>
        <v>24.87</v>
      </c>
      <c r="S362">
        <f>ROUND(IF(lpg_3[[#This Row],[zbiornik LPG]]&gt;15,0,(lpg_3[[#This Row],[km]]/2)*6/100),2)</f>
        <v>0</v>
      </c>
      <c r="T362">
        <f>ROUND(IF(lpg_3[[#This Row],[zbiornik LPG]]&gt;15,lpg_3[[#This Row],[km]]*9/100,(lpg_3[[#This Row],[km]]/2)*9/100),2)</f>
        <v>2.4300000000000002</v>
      </c>
      <c r="U362">
        <f>lpg_3[[#This Row],[zbiornik PB95]]-lpg_3[[#This Row],[zuzycie PB95]]</f>
        <v>45</v>
      </c>
      <c r="V362">
        <f>lpg_3[[#This Row],[zbiornik LPG]]-lpg_3[[#This Row],[zyzucie lpg]]</f>
        <v>22.44</v>
      </c>
      <c r="W362">
        <f>IF(lpg_3[[#This Row],[dzien]]=4,IF(lpg_3[[#This Row],[pb po trasie]]&lt;40,45-lpg_3[[#This Row],[pb po trasie]],0),0)</f>
        <v>0</v>
      </c>
      <c r="X362">
        <f>IF(lpg_3[[#This Row],[lpg po trasie]]&lt;5,30-lpg_3[[#This Row],[lpg po trasie]],0)</f>
        <v>0</v>
      </c>
      <c r="Y362">
        <f>WEEKDAY(lpg_3[[#This Row],[data]],2)</f>
        <v>6</v>
      </c>
    </row>
    <row r="363" spans="1:25" x14ac:dyDescent="0.25">
      <c r="A363" s="1">
        <v>42001</v>
      </c>
      <c r="B363">
        <v>142</v>
      </c>
      <c r="C363">
        <f>G362+I362</f>
        <v>45</v>
      </c>
      <c r="D363">
        <f>H362+J362</f>
        <v>22.44</v>
      </c>
      <c r="E363">
        <f>ROUND(IF(lpg[[#This Row],[zbiornik LPG]]&gt;15,0,(lpg[[#This Row],[km]]/2)*6/100),2)</f>
        <v>0</v>
      </c>
      <c r="F363">
        <f>ROUND(IF(lpg[[#This Row],[zbiornik LPG]]&gt;15,lpg[[#This Row],[km]]*9/100,(lpg[[#This Row],[km]]/2)*9/100),2)</f>
        <v>12.78</v>
      </c>
      <c r="G363">
        <f>lpg[[#This Row],[zbiornik PB95]]-lpg[[#This Row],[zuzycie PB95]]</f>
        <v>45</v>
      </c>
      <c r="H363">
        <f>lpg[[#This Row],[zbiornik LPG]]-lpg[[#This Row],[zyzucie lpg]]</f>
        <v>9.6600000000000019</v>
      </c>
      <c r="I363">
        <f>IF(lpg[[#This Row],[dzien]]=4,IF(lpg[[#This Row],[pb po trasie]]&lt;40,45-lpg[[#This Row],[pb po trasie]],0),0)</f>
        <v>0</v>
      </c>
      <c r="J363">
        <f>IF(lpg[[#This Row],[lpg po trasie]]&lt;5,30-lpg[[#This Row],[lpg po trasie]],0)</f>
        <v>0</v>
      </c>
      <c r="K363">
        <f>WEEKDAY(lpg[[#This Row],[data]],2)</f>
        <v>7</v>
      </c>
      <c r="O363" s="1">
        <v>42001</v>
      </c>
      <c r="P363">
        <v>142</v>
      </c>
      <c r="Q363">
        <f>U362+W362</f>
        <v>45</v>
      </c>
      <c r="R363">
        <f>V362+X362</f>
        <v>22.44</v>
      </c>
      <c r="S363">
        <f>ROUND(IF(lpg_3[[#This Row],[zbiornik LPG]]&gt;15,0,(lpg_3[[#This Row],[km]]/2)*6/100),2)</f>
        <v>0</v>
      </c>
      <c r="T363">
        <f>ROUND(IF(lpg_3[[#This Row],[zbiornik LPG]]&gt;15,lpg_3[[#This Row],[km]]*9/100,(lpg_3[[#This Row],[km]]/2)*9/100),2)</f>
        <v>12.78</v>
      </c>
      <c r="U363">
        <f>lpg_3[[#This Row],[zbiornik PB95]]-lpg_3[[#This Row],[zuzycie PB95]]</f>
        <v>45</v>
      </c>
      <c r="V363">
        <f>lpg_3[[#This Row],[zbiornik LPG]]-lpg_3[[#This Row],[zyzucie lpg]]</f>
        <v>9.6600000000000019</v>
      </c>
      <c r="W363">
        <f>IF(lpg_3[[#This Row],[dzien]]=4,IF(lpg_3[[#This Row],[pb po trasie]]&lt;40,45-lpg_3[[#This Row],[pb po trasie]],0),0)</f>
        <v>0</v>
      </c>
      <c r="X363">
        <f>IF(lpg_3[[#This Row],[lpg po trasie]]&lt;5,30-lpg_3[[#This Row],[lpg po trasie]],0)</f>
        <v>0</v>
      </c>
      <c r="Y363">
        <f>WEEKDAY(lpg_3[[#This Row],[data]],2)</f>
        <v>7</v>
      </c>
    </row>
    <row r="364" spans="1:25" x14ac:dyDescent="0.25">
      <c r="A364" s="1">
        <v>42002</v>
      </c>
      <c r="B364">
        <v>24</v>
      </c>
      <c r="C364">
        <f>G363+I363</f>
        <v>45</v>
      </c>
      <c r="D364">
        <f>H363+J363</f>
        <v>9.6600000000000019</v>
      </c>
      <c r="E364">
        <f>ROUND(IF(lpg[[#This Row],[zbiornik LPG]]&gt;15,0,(lpg[[#This Row],[km]]/2)*6/100),2)</f>
        <v>0.72</v>
      </c>
      <c r="F364">
        <f>ROUND(IF(lpg[[#This Row],[zbiornik LPG]]&gt;15,lpg[[#This Row],[km]]*9/100,(lpg[[#This Row],[km]]/2)*9/100),2)</f>
        <v>1.08</v>
      </c>
      <c r="G364">
        <f>lpg[[#This Row],[zbiornik PB95]]-lpg[[#This Row],[zuzycie PB95]]</f>
        <v>44.28</v>
      </c>
      <c r="H364">
        <f>lpg[[#This Row],[zbiornik LPG]]-lpg[[#This Row],[zyzucie lpg]]</f>
        <v>8.5800000000000018</v>
      </c>
      <c r="I364">
        <f>IF(lpg[[#This Row],[dzien]]=4,IF(lpg[[#This Row],[pb po trasie]]&lt;40,45-lpg[[#This Row],[pb po trasie]],0),0)</f>
        <v>0</v>
      </c>
      <c r="J364">
        <f>IF(lpg[[#This Row],[lpg po trasie]]&lt;5,30-lpg[[#This Row],[lpg po trasie]],0)</f>
        <v>0</v>
      </c>
      <c r="K364">
        <f>WEEKDAY(lpg[[#This Row],[data]],2)</f>
        <v>1</v>
      </c>
      <c r="O364" s="1">
        <v>42002</v>
      </c>
      <c r="P364">
        <v>24</v>
      </c>
      <c r="Q364">
        <f>U363+W363</f>
        <v>45</v>
      </c>
      <c r="R364">
        <f>V363+X363</f>
        <v>9.6600000000000019</v>
      </c>
      <c r="S364">
        <f>ROUND(IF(lpg_3[[#This Row],[zbiornik LPG]]&gt;15,0,(lpg_3[[#This Row],[km]]/2)*6/100),2)</f>
        <v>0.72</v>
      </c>
      <c r="T364">
        <f>ROUND(IF(lpg_3[[#This Row],[zbiornik LPG]]&gt;15,lpg_3[[#This Row],[km]]*9/100,(lpg_3[[#This Row],[km]]/2)*9/100),2)</f>
        <v>1.08</v>
      </c>
      <c r="U364">
        <f>lpg_3[[#This Row],[zbiornik PB95]]-lpg_3[[#This Row],[zuzycie PB95]]</f>
        <v>44.28</v>
      </c>
      <c r="V364">
        <f>lpg_3[[#This Row],[zbiornik LPG]]-lpg_3[[#This Row],[zyzucie lpg]]</f>
        <v>8.5800000000000018</v>
      </c>
      <c r="W364">
        <f>IF(lpg_3[[#This Row],[dzien]]=4,IF(lpg_3[[#This Row],[pb po trasie]]&lt;40,45-lpg_3[[#This Row],[pb po trasie]],0),0)</f>
        <v>0</v>
      </c>
      <c r="X364">
        <f>IF(lpg_3[[#This Row],[lpg po trasie]]&lt;5,30-lpg_3[[#This Row],[lpg po trasie]],0)</f>
        <v>0</v>
      </c>
      <c r="Y364">
        <f>WEEKDAY(lpg_3[[#This Row],[data]],2)</f>
        <v>1</v>
      </c>
    </row>
    <row r="365" spans="1:25" x14ac:dyDescent="0.25">
      <c r="A365" s="1">
        <v>42003</v>
      </c>
      <c r="B365">
        <v>156</v>
      </c>
      <c r="C365">
        <f>G364+I364</f>
        <v>44.28</v>
      </c>
      <c r="D365">
        <f>H364+J364</f>
        <v>8.5800000000000018</v>
      </c>
      <c r="E365">
        <f>ROUND(IF(lpg[[#This Row],[zbiornik LPG]]&gt;15,0,(lpg[[#This Row],[km]]/2)*6/100),2)</f>
        <v>4.68</v>
      </c>
      <c r="F365">
        <f>ROUND(IF(lpg[[#This Row],[zbiornik LPG]]&gt;15,lpg[[#This Row],[km]]*9/100,(lpg[[#This Row],[km]]/2)*9/100),2)</f>
        <v>7.02</v>
      </c>
      <c r="G365">
        <f>lpg[[#This Row],[zbiornik PB95]]-lpg[[#This Row],[zuzycie PB95]]</f>
        <v>39.6</v>
      </c>
      <c r="H365">
        <f>lpg[[#This Row],[zbiornik LPG]]-lpg[[#This Row],[zyzucie lpg]]</f>
        <v>1.5600000000000023</v>
      </c>
      <c r="I365">
        <f>IF(lpg[[#This Row],[dzien]]=4,IF(lpg[[#This Row],[pb po trasie]]&lt;40,45-lpg[[#This Row],[pb po trasie]],0),0)</f>
        <v>0</v>
      </c>
      <c r="J365">
        <f>IF(lpg[[#This Row],[lpg po trasie]]&lt;5,30-lpg[[#This Row],[lpg po trasie]],0)</f>
        <v>28.439999999999998</v>
      </c>
      <c r="K365">
        <f>WEEKDAY(lpg[[#This Row],[data]],2)</f>
        <v>2</v>
      </c>
      <c r="O365" s="1">
        <v>42003</v>
      </c>
      <c r="P365">
        <v>156</v>
      </c>
      <c r="Q365">
        <f>U364+W364</f>
        <v>44.28</v>
      </c>
      <c r="R365">
        <f>V364+X364</f>
        <v>8.5800000000000018</v>
      </c>
      <c r="S365">
        <f>ROUND(IF(lpg_3[[#This Row],[zbiornik LPG]]&gt;15,0,(lpg_3[[#This Row],[km]]/2)*6/100),2)</f>
        <v>4.68</v>
      </c>
      <c r="T365">
        <f>ROUND(IF(lpg_3[[#This Row],[zbiornik LPG]]&gt;15,lpg_3[[#This Row],[km]]*9/100,(lpg_3[[#This Row],[km]]/2)*9/100),2)</f>
        <v>7.02</v>
      </c>
      <c r="U365">
        <f>lpg_3[[#This Row],[zbiornik PB95]]-lpg_3[[#This Row],[zuzycie PB95]]</f>
        <v>39.6</v>
      </c>
      <c r="V365">
        <f>lpg_3[[#This Row],[zbiornik LPG]]-lpg_3[[#This Row],[zyzucie lpg]]</f>
        <v>1.5600000000000023</v>
      </c>
      <c r="W365">
        <f>IF(lpg_3[[#This Row],[dzien]]=4,IF(lpg_3[[#This Row],[pb po trasie]]&lt;40,45-lpg_3[[#This Row],[pb po trasie]],0),0)</f>
        <v>0</v>
      </c>
      <c r="X365">
        <f>IF(lpg_3[[#This Row],[lpg po trasie]]&lt;5,30-lpg_3[[#This Row],[lpg po trasie]],0)</f>
        <v>28.439999999999998</v>
      </c>
      <c r="Y365">
        <f>WEEKDAY(lpg_3[[#This Row],[data]],2)</f>
        <v>2</v>
      </c>
    </row>
    <row r="366" spans="1:25" x14ac:dyDescent="0.25">
      <c r="A366" s="1">
        <v>42004</v>
      </c>
      <c r="B366">
        <v>141</v>
      </c>
      <c r="C366">
        <f>G365+I365</f>
        <v>39.6</v>
      </c>
      <c r="D366">
        <f>H365+J365</f>
        <v>30</v>
      </c>
      <c r="E366">
        <f>ROUND(IF(lpg[[#This Row],[zbiornik LPG]]&gt;15,0,(lpg[[#This Row],[km]]/2)*6/100),2)</f>
        <v>0</v>
      </c>
      <c r="F366">
        <f>ROUND(IF(lpg[[#This Row],[zbiornik LPG]]&gt;15,lpg[[#This Row],[km]]*9/100,(lpg[[#This Row],[km]]/2)*9/100),2)</f>
        <v>12.69</v>
      </c>
      <c r="G366">
        <f>lpg[[#This Row],[zbiornik PB95]]-lpg[[#This Row],[zuzycie PB95]]</f>
        <v>39.6</v>
      </c>
      <c r="H366">
        <f>lpg[[#This Row],[zbiornik LPG]]-lpg[[#This Row],[zyzucie lpg]]</f>
        <v>17.310000000000002</v>
      </c>
      <c r="I366">
        <f>IF(lpg[[#This Row],[dzien]]=4,IF(lpg[[#This Row],[pb po trasie]]&lt;40,45-lpg[[#This Row],[pb po trasie]],0),0)</f>
        <v>0</v>
      </c>
      <c r="J366">
        <f>IF(lpg[[#This Row],[lpg po trasie]]&lt;5,30-lpg[[#This Row],[lpg po trasie]],0)</f>
        <v>0</v>
      </c>
      <c r="K366">
        <f>WEEKDAY(lpg[[#This Row],[data]],2)</f>
        <v>3</v>
      </c>
      <c r="O366" s="1">
        <v>42004</v>
      </c>
      <c r="P366">
        <v>141</v>
      </c>
      <c r="Q366">
        <f>U365+W365</f>
        <v>39.6</v>
      </c>
      <c r="R366">
        <f>V365+X365</f>
        <v>30</v>
      </c>
      <c r="S366">
        <f>ROUND(IF(lpg_3[[#This Row],[zbiornik LPG]]&gt;15,0,(lpg_3[[#This Row],[km]]/2)*6/100),2)</f>
        <v>0</v>
      </c>
      <c r="T366">
        <f>ROUND(IF(lpg_3[[#This Row],[zbiornik LPG]]&gt;15,lpg_3[[#This Row],[km]]*9/100,(lpg_3[[#This Row],[km]]/2)*9/100),2)</f>
        <v>12.69</v>
      </c>
      <c r="U366">
        <f>lpg_3[[#This Row],[zbiornik PB95]]-lpg_3[[#This Row],[zuzycie PB95]]</f>
        <v>39.6</v>
      </c>
      <c r="V366">
        <f>lpg_3[[#This Row],[zbiornik LPG]]-lpg_3[[#This Row],[zyzucie lpg]]</f>
        <v>17.310000000000002</v>
      </c>
      <c r="W366">
        <f>IF(lpg_3[[#This Row],[dzien]]=4,IF(lpg_3[[#This Row],[pb po trasie]]&lt;40,45-lpg_3[[#This Row],[pb po trasie]],0),0)</f>
        <v>0</v>
      </c>
      <c r="X366">
        <f>IF(lpg_3[[#This Row],[lpg po trasie]]&lt;5,30-lpg_3[[#This Row],[lpg po trasie]],0)</f>
        <v>0</v>
      </c>
      <c r="Y366">
        <f>WEEKDAY(lpg_3[[#This Row],[data]],2)</f>
        <v>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E877-4186-45AA-80BC-7B98B59764A6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7CB72DD-E124-477E-8E5D-C7A6D298CB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Arkusz1</vt:lpstr>
      <vt:lpstr>lpg</vt:lpstr>
      <vt:lpstr>Arkusz2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Miłosz Michalak</dc:creator>
  <cp:lastModifiedBy>Miłosz Michalak</cp:lastModifiedBy>
  <dcterms:created xsi:type="dcterms:W3CDTF">2026-02-09T07:13:11Z</dcterms:created>
  <dcterms:modified xsi:type="dcterms:W3CDTF">2026-03-17T18:42:39Z</dcterms:modified>
</cp:coreProperties>
</file>