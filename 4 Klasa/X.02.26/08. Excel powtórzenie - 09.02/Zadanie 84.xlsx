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eko\Nextcloud7\Wewnetrzny\Szkola\Repos\Informatyka-python\4 Klasa\X.02.26\08. Excel powtórzenie - 09.02\"/>
    </mc:Choice>
  </mc:AlternateContent>
  <xr:revisionPtr revIDLastSave="0" documentId="8_{8D7EF7F1-635A-43FA-99C4-DD269FAF9F2A}" xr6:coauthVersionLast="47" xr6:coauthVersionMax="47" xr10:uidLastSave="{00000000-0000-0000-0000-000000000000}"/>
  <bookViews>
    <workbookView xWindow="-120" yWindow="-120" windowWidth="29040" windowHeight="15720" activeTab="1" xr2:uid="{8BA6EE05-07BF-467A-BCC6-EDFA92788730}"/>
  </bookViews>
  <sheets>
    <sheet name="Arkusz1" sheetId="1" r:id="rId1"/>
    <sheet name="lpg" sheetId="3" r:id="rId2"/>
    <sheet name="Arkusz2" sheetId="2" r:id="rId3"/>
  </sheets>
  <definedNames>
    <definedName name="ExternalData_1" localSheetId="1" hidden="1">lpg!$A$1:$B$366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E2" i="3"/>
  <c r="C3" i="3" s="1"/>
  <c r="F2" i="3"/>
  <c r="D3" i="3" s="1"/>
  <c r="F3" i="3" l="1"/>
  <c r="D4" i="3" s="1"/>
  <c r="F4" i="3" s="1"/>
  <c r="D5" i="3" s="1"/>
  <c r="F5" i="3" s="1"/>
  <c r="D6" i="3" s="1"/>
  <c r="E3" i="3"/>
  <c r="C4" i="3"/>
  <c r="E4" i="3" s="1"/>
  <c r="C5" i="3"/>
  <c r="F6" i="3" l="1"/>
  <c r="D7" i="3" s="1"/>
  <c r="E5" i="3"/>
  <c r="C6" i="3" s="1"/>
  <c r="F7" i="3" l="1"/>
  <c r="D8" i="3" s="1"/>
  <c r="E6" i="3"/>
  <c r="C7" i="3" s="1"/>
  <c r="F8" i="3" l="1"/>
  <c r="D9" i="3" s="1"/>
  <c r="E7" i="3"/>
  <c r="C8" i="3" s="1"/>
  <c r="F9" i="3" l="1"/>
  <c r="D10" i="3" s="1"/>
  <c r="E8" i="3"/>
  <c r="C9" i="3" s="1"/>
  <c r="F10" i="3" l="1"/>
  <c r="D11" i="3" s="1"/>
  <c r="E9" i="3"/>
  <c r="C10" i="3" s="1"/>
  <c r="F11" i="3" l="1"/>
  <c r="D12" i="3" s="1"/>
  <c r="E10" i="3"/>
  <c r="C11" i="3"/>
  <c r="F12" i="3" l="1"/>
  <c r="D13" i="3" s="1"/>
  <c r="E11" i="3"/>
  <c r="C12" i="3" s="1"/>
  <c r="F13" i="3" l="1"/>
  <c r="D14" i="3" s="1"/>
  <c r="E12" i="3"/>
  <c r="C13" i="3"/>
  <c r="F14" i="3" l="1"/>
  <c r="D15" i="3" s="1"/>
  <c r="E13" i="3"/>
  <c r="C14" i="3" s="1"/>
  <c r="F15" i="3" l="1"/>
  <c r="D16" i="3" s="1"/>
  <c r="E14" i="3"/>
  <c r="C15" i="3"/>
  <c r="F16" i="3" l="1"/>
  <c r="D17" i="3" s="1"/>
  <c r="E15" i="3"/>
  <c r="C16" i="3" s="1"/>
  <c r="F17" i="3" l="1"/>
  <c r="D18" i="3" s="1"/>
  <c r="E16" i="3"/>
  <c r="C17" i="3" s="1"/>
  <c r="F18" i="3" l="1"/>
  <c r="D19" i="3" s="1"/>
  <c r="E17" i="3"/>
  <c r="C18" i="3" s="1"/>
  <c r="F19" i="3" l="1"/>
  <c r="D20" i="3"/>
  <c r="E18" i="3"/>
  <c r="C19" i="3"/>
  <c r="F20" i="3" l="1"/>
  <c r="D21" i="3" s="1"/>
  <c r="E19" i="3"/>
  <c r="C20" i="3"/>
  <c r="F21" i="3" l="1"/>
  <c r="D22" i="3"/>
  <c r="E20" i="3"/>
  <c r="C21" i="3" s="1"/>
  <c r="F22" i="3" l="1"/>
  <c r="D23" i="3" s="1"/>
  <c r="E21" i="3"/>
  <c r="C22" i="3"/>
  <c r="F23" i="3" l="1"/>
  <c r="D24" i="3" s="1"/>
  <c r="E22" i="3"/>
  <c r="C23" i="3" s="1"/>
  <c r="F24" i="3" l="1"/>
  <c r="D25" i="3" s="1"/>
  <c r="E23" i="3"/>
  <c r="C24" i="3" s="1"/>
  <c r="F25" i="3" l="1"/>
  <c r="D26" i="3"/>
  <c r="E24" i="3"/>
  <c r="C25" i="3" s="1"/>
  <c r="F26" i="3" l="1"/>
  <c r="D27" i="3" s="1"/>
  <c r="E25" i="3"/>
  <c r="C26" i="3" s="1"/>
  <c r="F27" i="3" l="1"/>
  <c r="D28" i="3" s="1"/>
  <c r="E26" i="3"/>
  <c r="C27" i="3"/>
  <c r="F28" i="3" l="1"/>
  <c r="D29" i="3" s="1"/>
  <c r="E27" i="3"/>
  <c r="C28" i="3" s="1"/>
  <c r="F29" i="3" l="1"/>
  <c r="D30" i="3" s="1"/>
  <c r="E28" i="3"/>
  <c r="C29" i="3" s="1"/>
  <c r="F30" i="3" l="1"/>
  <c r="D31" i="3" s="1"/>
  <c r="E29" i="3"/>
  <c r="C30" i="3" s="1"/>
  <c r="F31" i="3" l="1"/>
  <c r="D32" i="3" s="1"/>
  <c r="E30" i="3"/>
  <c r="C31" i="3" s="1"/>
  <c r="F32" i="3" l="1"/>
  <c r="D33" i="3" s="1"/>
  <c r="E31" i="3"/>
  <c r="C32" i="3" s="1"/>
  <c r="F33" i="3" l="1"/>
  <c r="D34" i="3"/>
  <c r="E32" i="3"/>
  <c r="C33" i="3"/>
  <c r="F34" i="3" l="1"/>
  <c r="D35" i="3"/>
  <c r="E33" i="3"/>
  <c r="C34" i="3"/>
  <c r="F35" i="3" l="1"/>
  <c r="D36" i="3" s="1"/>
  <c r="E34" i="3"/>
  <c r="C35" i="3"/>
  <c r="F36" i="3" l="1"/>
  <c r="D37" i="3" s="1"/>
  <c r="E35" i="3"/>
  <c r="C36" i="3" s="1"/>
  <c r="F37" i="3" l="1"/>
  <c r="D38" i="3" s="1"/>
  <c r="E36" i="3"/>
  <c r="C37" i="3" s="1"/>
  <c r="F38" i="3" l="1"/>
  <c r="D39" i="3" s="1"/>
  <c r="E37" i="3"/>
  <c r="C38" i="3" s="1"/>
  <c r="F39" i="3" l="1"/>
  <c r="D40" i="3" s="1"/>
  <c r="E38" i="3"/>
  <c r="C39" i="3" s="1"/>
  <c r="F40" i="3" l="1"/>
  <c r="D41" i="3" s="1"/>
  <c r="E39" i="3"/>
  <c r="C40" i="3" s="1"/>
  <c r="F41" i="3" l="1"/>
  <c r="D42" i="3" s="1"/>
  <c r="E40" i="3"/>
  <c r="C41" i="3" s="1"/>
  <c r="F42" i="3" l="1"/>
  <c r="D43" i="3"/>
  <c r="E41" i="3"/>
  <c r="C42" i="3" s="1"/>
  <c r="F43" i="3" l="1"/>
  <c r="D44" i="3"/>
  <c r="E42" i="3"/>
  <c r="C43" i="3"/>
  <c r="F44" i="3" l="1"/>
  <c r="D45" i="3" s="1"/>
  <c r="E43" i="3"/>
  <c r="C44" i="3" s="1"/>
  <c r="F45" i="3" l="1"/>
  <c r="D46" i="3" s="1"/>
  <c r="E44" i="3"/>
  <c r="C45" i="3" s="1"/>
  <c r="F46" i="3" l="1"/>
  <c r="D47" i="3" s="1"/>
  <c r="E45" i="3"/>
  <c r="C46" i="3" s="1"/>
  <c r="F47" i="3" l="1"/>
  <c r="D48" i="3"/>
  <c r="E46" i="3"/>
  <c r="C47" i="3"/>
  <c r="F48" i="3" l="1"/>
  <c r="D49" i="3" s="1"/>
  <c r="E47" i="3"/>
  <c r="C48" i="3" s="1"/>
  <c r="F49" i="3" l="1"/>
  <c r="D50" i="3" s="1"/>
  <c r="E48" i="3"/>
  <c r="C49" i="3"/>
  <c r="F50" i="3" l="1"/>
  <c r="D51" i="3" s="1"/>
  <c r="E49" i="3"/>
  <c r="C50" i="3" s="1"/>
  <c r="F51" i="3" l="1"/>
  <c r="D52" i="3" s="1"/>
  <c r="E50" i="3"/>
  <c r="C51" i="3" s="1"/>
  <c r="F52" i="3" l="1"/>
  <c r="D53" i="3" s="1"/>
  <c r="E51" i="3"/>
  <c r="C52" i="3" s="1"/>
  <c r="F53" i="3" l="1"/>
  <c r="D54" i="3" s="1"/>
  <c r="E52" i="3"/>
  <c r="C53" i="3" s="1"/>
  <c r="F54" i="3" l="1"/>
  <c r="D55" i="3"/>
  <c r="E53" i="3"/>
  <c r="C54" i="3" s="1"/>
  <c r="F55" i="3" l="1"/>
  <c r="D56" i="3" s="1"/>
  <c r="E54" i="3"/>
  <c r="C55" i="3" s="1"/>
  <c r="F56" i="3" l="1"/>
  <c r="D57" i="3"/>
  <c r="E55" i="3"/>
  <c r="C56" i="3" s="1"/>
  <c r="F57" i="3" l="1"/>
  <c r="D58" i="3" s="1"/>
  <c r="E56" i="3"/>
  <c r="C57" i="3" s="1"/>
  <c r="F58" i="3" l="1"/>
  <c r="D59" i="3" s="1"/>
  <c r="E57" i="3"/>
  <c r="C58" i="3" s="1"/>
  <c r="F59" i="3" l="1"/>
  <c r="D60" i="3" s="1"/>
  <c r="E58" i="3"/>
  <c r="C59" i="3" s="1"/>
  <c r="F60" i="3" l="1"/>
  <c r="D61" i="3" s="1"/>
  <c r="E59" i="3"/>
  <c r="C60" i="3"/>
  <c r="F61" i="3" l="1"/>
  <c r="D62" i="3" s="1"/>
  <c r="E60" i="3"/>
  <c r="C61" i="3" s="1"/>
  <c r="F62" i="3" l="1"/>
  <c r="D63" i="3" s="1"/>
  <c r="E61" i="3"/>
  <c r="C62" i="3"/>
  <c r="F63" i="3" l="1"/>
  <c r="D64" i="3" s="1"/>
  <c r="E62" i="3"/>
  <c r="C63" i="3" s="1"/>
  <c r="F64" i="3" l="1"/>
  <c r="D65" i="3" s="1"/>
  <c r="E63" i="3"/>
  <c r="C64" i="3" s="1"/>
  <c r="F65" i="3" l="1"/>
  <c r="D66" i="3"/>
  <c r="E64" i="3"/>
  <c r="C65" i="3" s="1"/>
  <c r="F66" i="3" l="1"/>
  <c r="D67" i="3"/>
  <c r="E65" i="3"/>
  <c r="C66" i="3" s="1"/>
  <c r="F67" i="3" l="1"/>
  <c r="D68" i="3"/>
  <c r="E66" i="3"/>
  <c r="C67" i="3" s="1"/>
  <c r="F68" i="3" l="1"/>
  <c r="D69" i="3"/>
  <c r="E67" i="3"/>
  <c r="C68" i="3" s="1"/>
  <c r="F69" i="3" l="1"/>
  <c r="D70" i="3"/>
  <c r="E68" i="3"/>
  <c r="C69" i="3" s="1"/>
  <c r="F70" i="3" l="1"/>
  <c r="D71" i="3" s="1"/>
  <c r="E69" i="3"/>
  <c r="C70" i="3"/>
  <c r="F71" i="3" l="1"/>
  <c r="D72" i="3" s="1"/>
  <c r="E70" i="3"/>
  <c r="C71" i="3" s="1"/>
  <c r="F72" i="3" l="1"/>
  <c r="D73" i="3" s="1"/>
  <c r="E71" i="3"/>
  <c r="C72" i="3"/>
  <c r="F73" i="3" l="1"/>
  <c r="D74" i="3" s="1"/>
  <c r="E72" i="3"/>
  <c r="C73" i="3"/>
  <c r="F74" i="3" l="1"/>
  <c r="D75" i="3" s="1"/>
  <c r="E73" i="3"/>
  <c r="C74" i="3" s="1"/>
  <c r="F75" i="3" l="1"/>
  <c r="D76" i="3" s="1"/>
  <c r="E74" i="3"/>
  <c r="C75" i="3" s="1"/>
  <c r="F76" i="3" l="1"/>
  <c r="D77" i="3" s="1"/>
  <c r="E75" i="3"/>
  <c r="C76" i="3" s="1"/>
  <c r="F77" i="3" l="1"/>
  <c r="D78" i="3"/>
  <c r="E76" i="3"/>
  <c r="C77" i="3" s="1"/>
  <c r="F78" i="3" l="1"/>
  <c r="D79" i="3"/>
  <c r="E77" i="3"/>
  <c r="C78" i="3" s="1"/>
  <c r="F79" i="3" l="1"/>
  <c r="D80" i="3" s="1"/>
  <c r="E78" i="3"/>
  <c r="C79" i="3" s="1"/>
  <c r="F80" i="3" l="1"/>
  <c r="D81" i="3" s="1"/>
  <c r="E79" i="3"/>
  <c r="C80" i="3" s="1"/>
  <c r="F81" i="3" l="1"/>
  <c r="D82" i="3" s="1"/>
  <c r="E80" i="3"/>
  <c r="C81" i="3"/>
  <c r="F82" i="3" l="1"/>
  <c r="D83" i="3" s="1"/>
  <c r="E81" i="3"/>
  <c r="C82" i="3"/>
  <c r="F83" i="3" l="1"/>
  <c r="D84" i="3" s="1"/>
  <c r="E82" i="3"/>
  <c r="C83" i="3" s="1"/>
  <c r="F84" i="3" l="1"/>
  <c r="D85" i="3"/>
  <c r="E83" i="3"/>
  <c r="C84" i="3" s="1"/>
  <c r="F85" i="3" l="1"/>
  <c r="D86" i="3"/>
  <c r="E84" i="3"/>
  <c r="C85" i="3" s="1"/>
  <c r="F86" i="3" l="1"/>
  <c r="D87" i="3" s="1"/>
  <c r="E85" i="3"/>
  <c r="C86" i="3"/>
  <c r="F87" i="3" l="1"/>
  <c r="D88" i="3" s="1"/>
  <c r="E86" i="3"/>
  <c r="C87" i="3"/>
  <c r="F88" i="3" l="1"/>
  <c r="D89" i="3" s="1"/>
  <c r="E87" i="3"/>
  <c r="C88" i="3" s="1"/>
  <c r="F89" i="3" l="1"/>
  <c r="D90" i="3"/>
  <c r="E88" i="3"/>
  <c r="C89" i="3" s="1"/>
  <c r="F90" i="3" l="1"/>
  <c r="D91" i="3" s="1"/>
  <c r="E89" i="3"/>
  <c r="C90" i="3" s="1"/>
  <c r="F91" i="3" l="1"/>
  <c r="D92" i="3"/>
  <c r="E90" i="3"/>
  <c r="C91" i="3" s="1"/>
  <c r="F92" i="3" l="1"/>
  <c r="D93" i="3" s="1"/>
  <c r="E91" i="3"/>
  <c r="C92" i="3" s="1"/>
  <c r="F93" i="3" l="1"/>
  <c r="D94" i="3" s="1"/>
  <c r="E92" i="3"/>
  <c r="C93" i="3" s="1"/>
  <c r="F94" i="3" l="1"/>
  <c r="D95" i="3" s="1"/>
  <c r="E93" i="3"/>
  <c r="C94" i="3" s="1"/>
  <c r="F95" i="3" l="1"/>
  <c r="D96" i="3" s="1"/>
  <c r="E94" i="3"/>
  <c r="C95" i="3" s="1"/>
  <c r="F96" i="3" l="1"/>
  <c r="D97" i="3" s="1"/>
  <c r="E95" i="3"/>
  <c r="C96" i="3"/>
  <c r="F97" i="3" l="1"/>
  <c r="D98" i="3" s="1"/>
  <c r="E96" i="3"/>
  <c r="C97" i="3" s="1"/>
  <c r="F98" i="3" l="1"/>
  <c r="D99" i="3"/>
  <c r="E97" i="3"/>
  <c r="C98" i="3" s="1"/>
  <c r="F99" i="3" l="1"/>
  <c r="D100" i="3" s="1"/>
  <c r="E98" i="3"/>
  <c r="C99" i="3" s="1"/>
  <c r="F100" i="3" l="1"/>
  <c r="D101" i="3" s="1"/>
  <c r="E99" i="3"/>
  <c r="C100" i="3" s="1"/>
  <c r="F101" i="3" l="1"/>
  <c r="D102" i="3"/>
  <c r="E100" i="3"/>
  <c r="C101" i="3" s="1"/>
  <c r="F102" i="3" l="1"/>
  <c r="D103" i="3" s="1"/>
  <c r="E101" i="3"/>
  <c r="C102" i="3" s="1"/>
  <c r="F103" i="3" l="1"/>
  <c r="D104" i="3"/>
  <c r="E102" i="3"/>
  <c r="C103" i="3" s="1"/>
  <c r="F104" i="3" l="1"/>
  <c r="D105" i="3" s="1"/>
  <c r="E103" i="3"/>
  <c r="C104" i="3" s="1"/>
  <c r="F105" i="3" l="1"/>
  <c r="D106" i="3" s="1"/>
  <c r="E104" i="3"/>
  <c r="C105" i="3" s="1"/>
  <c r="F106" i="3" l="1"/>
  <c r="D107" i="3"/>
  <c r="E105" i="3"/>
  <c r="C106" i="3"/>
  <c r="F107" i="3" l="1"/>
  <c r="D108" i="3"/>
  <c r="E106" i="3"/>
  <c r="C107" i="3" s="1"/>
  <c r="F108" i="3" l="1"/>
  <c r="D109" i="3"/>
  <c r="E107" i="3"/>
  <c r="C108" i="3" s="1"/>
  <c r="F109" i="3" l="1"/>
  <c r="D110" i="3" s="1"/>
  <c r="E108" i="3"/>
  <c r="C109" i="3" s="1"/>
  <c r="F110" i="3" l="1"/>
  <c r="D111" i="3" s="1"/>
  <c r="E109" i="3"/>
  <c r="C110" i="3" s="1"/>
  <c r="F111" i="3" l="1"/>
  <c r="D112" i="3" s="1"/>
  <c r="E110" i="3"/>
  <c r="C111" i="3" s="1"/>
  <c r="F112" i="3" l="1"/>
  <c r="D113" i="3" s="1"/>
  <c r="E111" i="3"/>
  <c r="C112" i="3" s="1"/>
  <c r="F113" i="3" l="1"/>
  <c r="D114" i="3"/>
  <c r="E112" i="3"/>
  <c r="C113" i="3" s="1"/>
  <c r="F114" i="3" l="1"/>
  <c r="D115" i="3"/>
  <c r="E113" i="3"/>
  <c r="C114" i="3" s="1"/>
  <c r="F115" i="3" l="1"/>
  <c r="D116" i="3"/>
  <c r="E114" i="3"/>
  <c r="C115" i="3"/>
  <c r="F116" i="3" l="1"/>
  <c r="D117" i="3" s="1"/>
  <c r="E115" i="3"/>
  <c r="C116" i="3" s="1"/>
  <c r="F117" i="3" l="1"/>
  <c r="D118" i="3" s="1"/>
  <c r="E116" i="3"/>
  <c r="C117" i="3" s="1"/>
  <c r="F118" i="3" l="1"/>
  <c r="D119" i="3" s="1"/>
  <c r="E117" i="3"/>
  <c r="C118" i="3"/>
  <c r="F119" i="3" l="1"/>
  <c r="D120" i="3" s="1"/>
  <c r="E118" i="3"/>
  <c r="C119" i="3"/>
  <c r="F120" i="3" l="1"/>
  <c r="D121" i="3"/>
  <c r="E119" i="3"/>
  <c r="C120" i="3" s="1"/>
  <c r="F121" i="3" l="1"/>
  <c r="D122" i="3" s="1"/>
  <c r="E120" i="3"/>
  <c r="C121" i="3" s="1"/>
  <c r="F122" i="3" l="1"/>
  <c r="D123" i="3" s="1"/>
  <c r="E121" i="3"/>
  <c r="C122" i="3" s="1"/>
  <c r="F123" i="3" l="1"/>
  <c r="D124" i="3" s="1"/>
  <c r="E122" i="3"/>
  <c r="C123" i="3" s="1"/>
  <c r="F124" i="3" l="1"/>
  <c r="D125" i="3" s="1"/>
  <c r="E123" i="3"/>
  <c r="C124" i="3" s="1"/>
  <c r="F125" i="3" l="1"/>
  <c r="D126" i="3"/>
  <c r="E124" i="3"/>
  <c r="C125" i="3" s="1"/>
  <c r="F126" i="3" l="1"/>
  <c r="D127" i="3"/>
  <c r="E125" i="3"/>
  <c r="C126" i="3" s="1"/>
  <c r="F127" i="3" l="1"/>
  <c r="D128" i="3"/>
  <c r="E126" i="3"/>
  <c r="C127" i="3" s="1"/>
  <c r="F128" i="3" l="1"/>
  <c r="D129" i="3" s="1"/>
  <c r="E127" i="3"/>
  <c r="C128" i="3"/>
  <c r="F129" i="3" l="1"/>
  <c r="D130" i="3" s="1"/>
  <c r="E128" i="3"/>
  <c r="C129" i="3"/>
  <c r="F130" i="3" l="1"/>
  <c r="D131" i="3" s="1"/>
  <c r="E129" i="3"/>
  <c r="C130" i="3"/>
  <c r="F131" i="3" l="1"/>
  <c r="D132" i="3" s="1"/>
  <c r="E130" i="3"/>
  <c r="C131" i="3" s="1"/>
  <c r="F132" i="3" l="1"/>
  <c r="D133" i="3" s="1"/>
  <c r="E131" i="3"/>
  <c r="C132" i="3" s="1"/>
  <c r="F133" i="3" l="1"/>
  <c r="D134" i="3" s="1"/>
  <c r="E132" i="3"/>
  <c r="C133" i="3" s="1"/>
  <c r="F134" i="3" l="1"/>
  <c r="D135" i="3" s="1"/>
  <c r="E133" i="3"/>
  <c r="C134" i="3" s="1"/>
  <c r="F135" i="3" l="1"/>
  <c r="D136" i="3" s="1"/>
  <c r="E134" i="3"/>
  <c r="C135" i="3" s="1"/>
  <c r="F136" i="3" l="1"/>
  <c r="D137" i="3" s="1"/>
  <c r="E135" i="3"/>
  <c r="C136" i="3" s="1"/>
  <c r="F137" i="3" l="1"/>
  <c r="D138" i="3"/>
  <c r="E136" i="3"/>
  <c r="C137" i="3" s="1"/>
  <c r="F138" i="3" l="1"/>
  <c r="D139" i="3" s="1"/>
  <c r="E137" i="3"/>
  <c r="C138" i="3" s="1"/>
  <c r="F139" i="3" l="1"/>
  <c r="D140" i="3" s="1"/>
  <c r="E138" i="3"/>
  <c r="C139" i="3" s="1"/>
  <c r="F140" i="3" l="1"/>
  <c r="D141" i="3" s="1"/>
  <c r="E139" i="3"/>
  <c r="C140" i="3" s="1"/>
  <c r="F141" i="3" l="1"/>
  <c r="D142" i="3"/>
  <c r="E140" i="3"/>
  <c r="C141" i="3"/>
  <c r="F142" i="3" l="1"/>
  <c r="D143" i="3"/>
  <c r="E141" i="3"/>
  <c r="C142" i="3"/>
  <c r="F143" i="3" l="1"/>
  <c r="D144" i="3"/>
  <c r="E142" i="3"/>
  <c r="C143" i="3"/>
  <c r="F144" i="3" l="1"/>
  <c r="D145" i="3"/>
  <c r="E143" i="3"/>
  <c r="C144" i="3"/>
  <c r="F145" i="3" l="1"/>
  <c r="D146" i="3"/>
  <c r="E144" i="3"/>
  <c r="C145" i="3"/>
  <c r="F146" i="3" l="1"/>
  <c r="D147" i="3"/>
  <c r="E145" i="3"/>
  <c r="C146" i="3" s="1"/>
  <c r="F147" i="3" l="1"/>
  <c r="D148" i="3" s="1"/>
  <c r="E146" i="3"/>
  <c r="C147" i="3" s="1"/>
  <c r="F148" i="3" l="1"/>
  <c r="D149" i="3" s="1"/>
  <c r="E147" i="3"/>
  <c r="C148" i="3" s="1"/>
  <c r="F149" i="3" l="1"/>
  <c r="D150" i="3"/>
  <c r="E148" i="3"/>
  <c r="C149" i="3" s="1"/>
  <c r="F150" i="3" l="1"/>
  <c r="D151" i="3" s="1"/>
  <c r="E149" i="3"/>
  <c r="C150" i="3" s="1"/>
  <c r="F151" i="3" l="1"/>
  <c r="D152" i="3"/>
  <c r="E150" i="3"/>
  <c r="C151" i="3" s="1"/>
  <c r="F152" i="3" l="1"/>
  <c r="D153" i="3" s="1"/>
  <c r="E151" i="3"/>
  <c r="C152" i="3" s="1"/>
  <c r="F153" i="3" l="1"/>
  <c r="D154" i="3" s="1"/>
  <c r="E152" i="3"/>
  <c r="C153" i="3" s="1"/>
  <c r="F154" i="3" l="1"/>
  <c r="D155" i="3" s="1"/>
  <c r="E153" i="3"/>
  <c r="C154" i="3" s="1"/>
  <c r="F155" i="3" l="1"/>
  <c r="D156" i="3" s="1"/>
  <c r="E154" i="3"/>
  <c r="C155" i="3" s="1"/>
  <c r="F156" i="3" l="1"/>
  <c r="D157" i="3" s="1"/>
  <c r="E155" i="3"/>
  <c r="C156" i="3" s="1"/>
  <c r="F157" i="3" l="1"/>
  <c r="D158" i="3" s="1"/>
  <c r="E156" i="3"/>
  <c r="C157" i="3" s="1"/>
  <c r="F158" i="3" l="1"/>
  <c r="D159" i="3" s="1"/>
  <c r="E157" i="3"/>
  <c r="C158" i="3"/>
  <c r="F159" i="3" l="1"/>
  <c r="D160" i="3" s="1"/>
  <c r="E158" i="3"/>
  <c r="C159" i="3" s="1"/>
  <c r="F160" i="3" l="1"/>
  <c r="D161" i="3" s="1"/>
  <c r="E159" i="3"/>
  <c r="C160" i="3" s="1"/>
  <c r="F161" i="3" l="1"/>
  <c r="D162" i="3"/>
  <c r="E160" i="3"/>
  <c r="C161" i="3" s="1"/>
  <c r="F162" i="3" l="1"/>
  <c r="D163" i="3" s="1"/>
  <c r="E161" i="3"/>
  <c r="C162" i="3" s="1"/>
  <c r="F163" i="3" l="1"/>
  <c r="D164" i="3" s="1"/>
  <c r="E162" i="3"/>
  <c r="C163" i="3" s="1"/>
  <c r="F164" i="3" l="1"/>
  <c r="D165" i="3"/>
  <c r="E163" i="3"/>
  <c r="C164" i="3"/>
  <c r="F165" i="3" l="1"/>
  <c r="D166" i="3" s="1"/>
  <c r="E164" i="3"/>
  <c r="C165" i="3" s="1"/>
  <c r="F166" i="3" l="1"/>
  <c r="D167" i="3" s="1"/>
  <c r="E165" i="3"/>
  <c r="C166" i="3" s="1"/>
  <c r="F167" i="3" l="1"/>
  <c r="D168" i="3" s="1"/>
  <c r="E166" i="3"/>
  <c r="C167" i="3"/>
  <c r="F168" i="3" l="1"/>
  <c r="D169" i="3" s="1"/>
  <c r="E167" i="3"/>
  <c r="C168" i="3" s="1"/>
  <c r="F169" i="3" l="1"/>
  <c r="D170" i="3" s="1"/>
  <c r="E168" i="3"/>
  <c r="C169" i="3" s="1"/>
  <c r="F170" i="3" l="1"/>
  <c r="D171" i="3" s="1"/>
  <c r="E169" i="3"/>
  <c r="C170" i="3" s="1"/>
  <c r="F171" i="3" l="1"/>
  <c r="D172" i="3" s="1"/>
  <c r="E170" i="3"/>
  <c r="C171" i="3"/>
  <c r="F172" i="3" l="1"/>
  <c r="D173" i="3" s="1"/>
  <c r="E171" i="3"/>
  <c r="C172" i="3" s="1"/>
  <c r="F173" i="3" l="1"/>
  <c r="D174" i="3"/>
  <c r="E172" i="3"/>
  <c r="C173" i="3" s="1"/>
  <c r="F174" i="3" l="1"/>
  <c r="D175" i="3" s="1"/>
  <c r="E173" i="3"/>
  <c r="C174" i="3" s="1"/>
  <c r="F175" i="3" l="1"/>
  <c r="D176" i="3" s="1"/>
  <c r="E174" i="3"/>
  <c r="C175" i="3" s="1"/>
  <c r="F176" i="3" l="1"/>
  <c r="D177" i="3"/>
  <c r="E175" i="3"/>
  <c r="C176" i="3"/>
  <c r="F177" i="3" l="1"/>
  <c r="D178" i="3" s="1"/>
  <c r="E176" i="3"/>
  <c r="C177" i="3" s="1"/>
  <c r="F178" i="3" l="1"/>
  <c r="D179" i="3" s="1"/>
  <c r="E177" i="3"/>
  <c r="C178" i="3" s="1"/>
  <c r="F179" i="3" l="1"/>
  <c r="D180" i="3" s="1"/>
  <c r="E178" i="3"/>
  <c r="C179" i="3"/>
  <c r="F180" i="3" l="1"/>
  <c r="D181" i="3" s="1"/>
  <c r="E179" i="3"/>
  <c r="C180" i="3" s="1"/>
  <c r="F181" i="3" l="1"/>
  <c r="D182" i="3" s="1"/>
  <c r="E180" i="3"/>
  <c r="C181" i="3" s="1"/>
  <c r="F182" i="3" l="1"/>
  <c r="D183" i="3" s="1"/>
  <c r="E181" i="3"/>
  <c r="C182" i="3" s="1"/>
  <c r="F183" i="3" l="1"/>
  <c r="D184" i="3" s="1"/>
  <c r="E182" i="3"/>
  <c r="C183" i="3" s="1"/>
  <c r="F184" i="3" l="1"/>
  <c r="D185" i="3" s="1"/>
  <c r="E183" i="3"/>
  <c r="C184" i="3" s="1"/>
  <c r="F185" i="3" l="1"/>
  <c r="D186" i="3"/>
  <c r="E184" i="3"/>
  <c r="C185" i="3" s="1"/>
  <c r="F186" i="3" l="1"/>
  <c r="D187" i="3" s="1"/>
  <c r="E185" i="3"/>
  <c r="C186" i="3" s="1"/>
  <c r="F187" i="3" l="1"/>
  <c r="D188" i="3"/>
  <c r="E186" i="3"/>
  <c r="C187" i="3" s="1"/>
  <c r="F188" i="3" l="1"/>
  <c r="D189" i="3" s="1"/>
  <c r="E187" i="3"/>
  <c r="C188" i="3" s="1"/>
  <c r="F189" i="3" l="1"/>
  <c r="D190" i="3" s="1"/>
  <c r="E188" i="3"/>
  <c r="C189" i="3"/>
  <c r="F190" i="3" l="1"/>
  <c r="D191" i="3"/>
  <c r="E189" i="3"/>
  <c r="C190" i="3"/>
  <c r="F191" i="3" l="1"/>
  <c r="D192" i="3" s="1"/>
  <c r="E190" i="3"/>
  <c r="C191" i="3"/>
  <c r="F192" i="3" l="1"/>
  <c r="D193" i="3" s="1"/>
  <c r="E191" i="3"/>
  <c r="C192" i="3"/>
  <c r="F193" i="3" l="1"/>
  <c r="D194" i="3" s="1"/>
  <c r="E192" i="3"/>
  <c r="C193" i="3" s="1"/>
  <c r="F194" i="3" l="1"/>
  <c r="D195" i="3" s="1"/>
  <c r="E193" i="3"/>
  <c r="C194" i="3"/>
  <c r="F195" i="3" l="1"/>
  <c r="D196" i="3" s="1"/>
  <c r="E194" i="3"/>
  <c r="C195" i="3" s="1"/>
  <c r="F196" i="3" l="1"/>
  <c r="D197" i="3" s="1"/>
  <c r="E195" i="3"/>
  <c r="C196" i="3" s="1"/>
  <c r="F197" i="3" l="1"/>
  <c r="D198" i="3" s="1"/>
  <c r="E196" i="3"/>
  <c r="C197" i="3" s="1"/>
  <c r="F198" i="3" l="1"/>
  <c r="D199" i="3" s="1"/>
  <c r="E197" i="3"/>
  <c r="C198" i="3" s="1"/>
  <c r="F199" i="3" l="1"/>
  <c r="D200" i="3" s="1"/>
  <c r="E198" i="3"/>
  <c r="C199" i="3"/>
  <c r="F200" i="3" l="1"/>
  <c r="D201" i="3" s="1"/>
  <c r="E199" i="3"/>
  <c r="C200" i="3"/>
  <c r="F201" i="3" l="1"/>
  <c r="D202" i="3" s="1"/>
  <c r="E200" i="3"/>
  <c r="C201" i="3" s="1"/>
  <c r="F202" i="3" l="1"/>
  <c r="D203" i="3" s="1"/>
  <c r="E201" i="3"/>
  <c r="C202" i="3"/>
  <c r="F203" i="3" l="1"/>
  <c r="D204" i="3" s="1"/>
  <c r="E202" i="3"/>
  <c r="C203" i="3"/>
  <c r="F204" i="3" l="1"/>
  <c r="D205" i="3" s="1"/>
  <c r="E203" i="3"/>
  <c r="C204" i="3" s="1"/>
  <c r="F205" i="3" l="1"/>
  <c r="D206" i="3"/>
  <c r="E204" i="3"/>
  <c r="C205" i="3"/>
  <c r="F206" i="3" l="1"/>
  <c r="D207" i="3" s="1"/>
  <c r="E205" i="3"/>
  <c r="C206" i="3"/>
  <c r="F207" i="3" l="1"/>
  <c r="D208" i="3" s="1"/>
  <c r="E206" i="3"/>
  <c r="C207" i="3"/>
  <c r="F208" i="3" l="1"/>
  <c r="D209" i="3" s="1"/>
  <c r="E207" i="3"/>
  <c r="C208" i="3" s="1"/>
  <c r="F209" i="3" l="1"/>
  <c r="D210" i="3" s="1"/>
  <c r="E208" i="3"/>
  <c r="C209" i="3" s="1"/>
  <c r="F210" i="3" l="1"/>
  <c r="D211" i="3" s="1"/>
  <c r="E209" i="3"/>
  <c r="C210" i="3" s="1"/>
  <c r="F211" i="3" l="1"/>
  <c r="D212" i="3"/>
  <c r="E210" i="3"/>
  <c r="C211" i="3" s="1"/>
  <c r="F212" i="3" l="1"/>
  <c r="D213" i="3"/>
  <c r="E211" i="3"/>
  <c r="C212" i="3" s="1"/>
  <c r="F213" i="3" l="1"/>
  <c r="D214" i="3"/>
  <c r="E212" i="3"/>
  <c r="C213" i="3" s="1"/>
  <c r="F214" i="3" l="1"/>
  <c r="D215" i="3" s="1"/>
  <c r="E213" i="3"/>
  <c r="C214" i="3" s="1"/>
  <c r="F215" i="3" l="1"/>
  <c r="D216" i="3" s="1"/>
  <c r="E214" i="3"/>
  <c r="C215" i="3" s="1"/>
  <c r="F216" i="3" l="1"/>
  <c r="D217" i="3" s="1"/>
  <c r="E215" i="3"/>
  <c r="C216" i="3"/>
  <c r="F217" i="3" l="1"/>
  <c r="D218" i="3"/>
  <c r="E216" i="3"/>
  <c r="C217" i="3"/>
  <c r="F218" i="3" l="1"/>
  <c r="D219" i="3" s="1"/>
  <c r="E217" i="3"/>
  <c r="C218" i="3" s="1"/>
  <c r="F219" i="3" l="1"/>
  <c r="D220" i="3" s="1"/>
  <c r="E218" i="3"/>
  <c r="C219" i="3"/>
  <c r="F220" i="3" l="1"/>
  <c r="D221" i="3" s="1"/>
  <c r="E219" i="3"/>
  <c r="C220" i="3" s="1"/>
  <c r="F221" i="3" l="1"/>
  <c r="D222" i="3" s="1"/>
  <c r="E220" i="3"/>
  <c r="C221" i="3" s="1"/>
  <c r="F222" i="3" l="1"/>
  <c r="D223" i="3" s="1"/>
  <c r="E221" i="3"/>
  <c r="C222" i="3" s="1"/>
  <c r="F223" i="3" l="1"/>
  <c r="D224" i="3" s="1"/>
  <c r="E222" i="3"/>
  <c r="C223" i="3" s="1"/>
  <c r="F224" i="3" l="1"/>
  <c r="D225" i="3" s="1"/>
  <c r="E223" i="3"/>
  <c r="C224" i="3" s="1"/>
  <c r="F225" i="3" l="1"/>
  <c r="D226" i="3" s="1"/>
  <c r="E224" i="3"/>
  <c r="C225" i="3"/>
  <c r="F226" i="3" l="1"/>
  <c r="D227" i="3"/>
  <c r="E225" i="3"/>
  <c r="C226" i="3"/>
  <c r="F227" i="3" l="1"/>
  <c r="D228" i="3"/>
  <c r="E226" i="3"/>
  <c r="C227" i="3"/>
  <c r="F228" i="3" l="1"/>
  <c r="D229" i="3" s="1"/>
  <c r="E227" i="3"/>
  <c r="C228" i="3" s="1"/>
  <c r="F229" i="3" l="1"/>
  <c r="D230" i="3"/>
  <c r="E228" i="3"/>
  <c r="C229" i="3"/>
  <c r="F230" i="3" l="1"/>
  <c r="D231" i="3" s="1"/>
  <c r="E229" i="3"/>
  <c r="C230" i="3" s="1"/>
  <c r="F231" i="3" l="1"/>
  <c r="D232" i="3" s="1"/>
  <c r="E230" i="3"/>
  <c r="C231" i="3"/>
  <c r="F232" i="3" l="1"/>
  <c r="D233" i="3" s="1"/>
  <c r="E231" i="3"/>
  <c r="C232" i="3" s="1"/>
  <c r="F233" i="3" l="1"/>
  <c r="D234" i="3" s="1"/>
  <c r="E232" i="3"/>
  <c r="C233" i="3" s="1"/>
  <c r="F234" i="3" l="1"/>
  <c r="D235" i="3" s="1"/>
  <c r="E233" i="3"/>
  <c r="C234" i="3" s="1"/>
  <c r="F235" i="3" l="1"/>
  <c r="D236" i="3"/>
  <c r="E234" i="3"/>
  <c r="C235" i="3" s="1"/>
  <c r="F236" i="3" l="1"/>
  <c r="D237" i="3" s="1"/>
  <c r="E235" i="3"/>
  <c r="C236" i="3" s="1"/>
  <c r="F237" i="3" l="1"/>
  <c r="D238" i="3" s="1"/>
  <c r="E236" i="3"/>
  <c r="C237" i="3" s="1"/>
  <c r="F238" i="3" l="1"/>
  <c r="D239" i="3" s="1"/>
  <c r="E237" i="3"/>
  <c r="C238" i="3"/>
  <c r="F239" i="3" l="1"/>
  <c r="D240" i="3" s="1"/>
  <c r="E238" i="3"/>
  <c r="C239" i="3" s="1"/>
  <c r="F240" i="3" l="1"/>
  <c r="D241" i="3" s="1"/>
  <c r="E239" i="3"/>
  <c r="C240" i="3" s="1"/>
  <c r="F241" i="3" l="1"/>
  <c r="D242" i="3"/>
  <c r="E240" i="3"/>
  <c r="C241" i="3"/>
  <c r="F242" i="3" l="1"/>
  <c r="D243" i="3" s="1"/>
  <c r="E241" i="3"/>
  <c r="C242" i="3" s="1"/>
  <c r="F243" i="3" l="1"/>
  <c r="D244" i="3" s="1"/>
  <c r="E242" i="3"/>
  <c r="C243" i="3" s="1"/>
  <c r="F244" i="3" l="1"/>
  <c r="D245" i="3" s="1"/>
  <c r="E243" i="3"/>
  <c r="C244" i="3" s="1"/>
  <c r="F245" i="3" l="1"/>
  <c r="D246" i="3" s="1"/>
  <c r="E244" i="3"/>
  <c r="C245" i="3" s="1"/>
  <c r="F246" i="3" l="1"/>
  <c r="D247" i="3" s="1"/>
  <c r="E245" i="3"/>
  <c r="C246" i="3" s="1"/>
  <c r="F247" i="3" l="1"/>
  <c r="D248" i="3" s="1"/>
  <c r="E246" i="3"/>
  <c r="C247" i="3" s="1"/>
  <c r="F248" i="3" l="1"/>
  <c r="D249" i="3" s="1"/>
  <c r="E247" i="3"/>
  <c r="C248" i="3" s="1"/>
  <c r="F249" i="3" l="1"/>
  <c r="D250" i="3" s="1"/>
  <c r="E248" i="3"/>
  <c r="C249" i="3" s="1"/>
  <c r="F250" i="3" l="1"/>
  <c r="D251" i="3" s="1"/>
  <c r="E249" i="3"/>
  <c r="C250" i="3" s="1"/>
  <c r="F251" i="3" l="1"/>
  <c r="D252" i="3" s="1"/>
  <c r="E250" i="3"/>
  <c r="C251" i="3"/>
  <c r="F252" i="3" l="1"/>
  <c r="D253" i="3" s="1"/>
  <c r="E251" i="3"/>
  <c r="C252" i="3" s="1"/>
  <c r="F253" i="3" l="1"/>
  <c r="D254" i="3" s="1"/>
  <c r="E252" i="3"/>
  <c r="C253" i="3" s="1"/>
  <c r="F254" i="3" l="1"/>
  <c r="D255" i="3" s="1"/>
  <c r="E253" i="3"/>
  <c r="C254" i="3" s="1"/>
  <c r="F255" i="3" l="1"/>
  <c r="D256" i="3" s="1"/>
  <c r="E254" i="3"/>
  <c r="C255" i="3" s="1"/>
  <c r="F256" i="3" l="1"/>
  <c r="D257" i="3" s="1"/>
  <c r="E255" i="3"/>
  <c r="C256" i="3" s="1"/>
  <c r="F257" i="3" l="1"/>
  <c r="D258" i="3"/>
  <c r="E256" i="3"/>
  <c r="C257" i="3" s="1"/>
  <c r="F258" i="3" l="1"/>
  <c r="D259" i="3" s="1"/>
  <c r="E257" i="3"/>
  <c r="C258" i="3" s="1"/>
  <c r="F259" i="3" l="1"/>
  <c r="D260" i="3" s="1"/>
  <c r="E258" i="3"/>
  <c r="C259" i="3"/>
  <c r="F260" i="3" l="1"/>
  <c r="D261" i="3" s="1"/>
  <c r="E259" i="3"/>
  <c r="C260" i="3" s="1"/>
  <c r="F261" i="3" l="1"/>
  <c r="D262" i="3" s="1"/>
  <c r="E260" i="3"/>
  <c r="C261" i="3" s="1"/>
  <c r="F262" i="3" l="1"/>
  <c r="D263" i="3" s="1"/>
  <c r="E261" i="3"/>
  <c r="C262" i="3"/>
  <c r="F263" i="3" l="1"/>
  <c r="D264" i="3"/>
  <c r="E262" i="3"/>
  <c r="C263" i="3" s="1"/>
  <c r="F264" i="3" l="1"/>
  <c r="D265" i="3" s="1"/>
  <c r="E263" i="3"/>
  <c r="C264" i="3" s="1"/>
  <c r="F265" i="3" l="1"/>
  <c r="D266" i="3" s="1"/>
  <c r="E264" i="3"/>
  <c r="C265" i="3" s="1"/>
  <c r="F266" i="3" l="1"/>
  <c r="D267" i="3"/>
  <c r="E265" i="3"/>
  <c r="C266" i="3" s="1"/>
  <c r="F267" i="3" l="1"/>
  <c r="D268" i="3" s="1"/>
  <c r="E266" i="3"/>
  <c r="C267" i="3" s="1"/>
  <c r="F268" i="3" l="1"/>
  <c r="D269" i="3" s="1"/>
  <c r="E267" i="3"/>
  <c r="C268" i="3" s="1"/>
  <c r="F269" i="3" l="1"/>
  <c r="D270" i="3" s="1"/>
  <c r="E268" i="3"/>
  <c r="C269" i="3" s="1"/>
  <c r="F270" i="3" l="1"/>
  <c r="D271" i="3" s="1"/>
  <c r="E269" i="3"/>
  <c r="C270" i="3" s="1"/>
  <c r="F271" i="3" l="1"/>
  <c r="D272" i="3"/>
  <c r="E270" i="3"/>
  <c r="C271" i="3"/>
  <c r="F272" i="3" l="1"/>
  <c r="D273" i="3"/>
  <c r="E271" i="3"/>
  <c r="C272" i="3"/>
  <c r="F273" i="3" l="1"/>
  <c r="D274" i="3" s="1"/>
  <c r="E272" i="3"/>
  <c r="C273" i="3"/>
  <c r="F274" i="3" l="1"/>
  <c r="D275" i="3"/>
  <c r="E273" i="3"/>
  <c r="C274" i="3"/>
  <c r="F275" i="3" l="1"/>
  <c r="D276" i="3" s="1"/>
  <c r="E274" i="3"/>
  <c r="C275" i="3" s="1"/>
  <c r="F276" i="3" l="1"/>
  <c r="D277" i="3" s="1"/>
  <c r="E275" i="3"/>
  <c r="C276" i="3" s="1"/>
  <c r="F277" i="3" l="1"/>
  <c r="D278" i="3" s="1"/>
  <c r="E276" i="3"/>
  <c r="C277" i="3" s="1"/>
  <c r="F278" i="3" l="1"/>
  <c r="D279" i="3"/>
  <c r="E277" i="3"/>
  <c r="C278" i="3" s="1"/>
  <c r="F279" i="3" l="1"/>
  <c r="D280" i="3" s="1"/>
  <c r="E278" i="3"/>
  <c r="C279" i="3" s="1"/>
  <c r="F280" i="3" l="1"/>
  <c r="D281" i="3" s="1"/>
  <c r="E279" i="3"/>
  <c r="C280" i="3" s="1"/>
  <c r="F281" i="3" l="1"/>
  <c r="D282" i="3" s="1"/>
  <c r="E280" i="3"/>
  <c r="C281" i="3" s="1"/>
  <c r="F282" i="3" l="1"/>
  <c r="D283" i="3" s="1"/>
  <c r="E281" i="3"/>
  <c r="C282" i="3" s="1"/>
  <c r="F283" i="3" l="1"/>
  <c r="D284" i="3"/>
  <c r="E282" i="3"/>
  <c r="C283" i="3" s="1"/>
  <c r="F284" i="3" l="1"/>
  <c r="D285" i="3" s="1"/>
  <c r="E283" i="3"/>
  <c r="C284" i="3" s="1"/>
  <c r="F285" i="3" l="1"/>
  <c r="D286" i="3" s="1"/>
  <c r="E284" i="3"/>
  <c r="C285" i="3" s="1"/>
  <c r="F286" i="3" l="1"/>
  <c r="D287" i="3" s="1"/>
  <c r="E285" i="3"/>
  <c r="C286" i="3"/>
  <c r="F287" i="3" l="1"/>
  <c r="D288" i="3" s="1"/>
  <c r="E286" i="3"/>
  <c r="C287" i="3"/>
  <c r="F288" i="3" l="1"/>
  <c r="D289" i="3" s="1"/>
  <c r="E287" i="3"/>
  <c r="C288" i="3"/>
  <c r="F289" i="3" l="1"/>
  <c r="D290" i="3"/>
  <c r="E288" i="3"/>
  <c r="C289" i="3"/>
  <c r="F290" i="3" l="1"/>
  <c r="D291" i="3" s="1"/>
  <c r="E289" i="3"/>
  <c r="C290" i="3" s="1"/>
  <c r="F291" i="3" l="1"/>
  <c r="D292" i="3" s="1"/>
  <c r="E290" i="3"/>
  <c r="C291" i="3" s="1"/>
  <c r="F292" i="3" l="1"/>
  <c r="D293" i="3" s="1"/>
  <c r="E291" i="3"/>
  <c r="C292" i="3" s="1"/>
  <c r="F293" i="3" l="1"/>
  <c r="D294" i="3"/>
  <c r="E292" i="3"/>
  <c r="C293" i="3" s="1"/>
  <c r="F294" i="3" l="1"/>
  <c r="D295" i="3" s="1"/>
  <c r="E293" i="3"/>
  <c r="C294" i="3" s="1"/>
  <c r="F295" i="3" l="1"/>
  <c r="D296" i="3"/>
  <c r="E294" i="3"/>
  <c r="C295" i="3" s="1"/>
  <c r="F296" i="3" l="1"/>
  <c r="D297" i="3" s="1"/>
  <c r="E295" i="3"/>
  <c r="C296" i="3" s="1"/>
  <c r="F297" i="3" l="1"/>
  <c r="D298" i="3" s="1"/>
  <c r="E296" i="3"/>
  <c r="C297" i="3" s="1"/>
  <c r="F298" i="3" l="1"/>
  <c r="D299" i="3"/>
  <c r="E297" i="3"/>
  <c r="C298" i="3"/>
  <c r="F299" i="3" l="1"/>
  <c r="D300" i="3" s="1"/>
  <c r="E298" i="3"/>
  <c r="C299" i="3" s="1"/>
  <c r="F300" i="3" l="1"/>
  <c r="D301" i="3"/>
  <c r="E299" i="3"/>
  <c r="C300" i="3" s="1"/>
  <c r="F301" i="3" l="1"/>
  <c r="D302" i="3"/>
  <c r="E300" i="3"/>
  <c r="C301" i="3"/>
  <c r="F302" i="3" l="1"/>
  <c r="D303" i="3" s="1"/>
  <c r="E301" i="3"/>
  <c r="C302" i="3"/>
  <c r="F303" i="3" l="1"/>
  <c r="D304" i="3" s="1"/>
  <c r="E302" i="3"/>
  <c r="C303" i="3" s="1"/>
  <c r="F304" i="3" l="1"/>
  <c r="D305" i="3" s="1"/>
  <c r="E303" i="3"/>
  <c r="C304" i="3" s="1"/>
  <c r="F305" i="3" l="1"/>
  <c r="D306" i="3"/>
  <c r="E304" i="3"/>
  <c r="C305" i="3" s="1"/>
  <c r="F306" i="3" l="1"/>
  <c r="D307" i="3" s="1"/>
  <c r="E305" i="3"/>
  <c r="C306" i="3" s="1"/>
  <c r="F307" i="3" l="1"/>
  <c r="D308" i="3" s="1"/>
  <c r="E306" i="3"/>
  <c r="C307" i="3" s="1"/>
  <c r="F308" i="3" l="1"/>
  <c r="D309" i="3" s="1"/>
  <c r="E307" i="3"/>
  <c r="C308" i="3" s="1"/>
  <c r="F309" i="3" l="1"/>
  <c r="D310" i="3" s="1"/>
  <c r="E308" i="3"/>
  <c r="C309" i="3" s="1"/>
  <c r="F310" i="3" l="1"/>
  <c r="D311" i="3" s="1"/>
  <c r="E309" i="3"/>
  <c r="C310" i="3"/>
  <c r="F311" i="3" l="1"/>
  <c r="D312" i="3" s="1"/>
  <c r="E310" i="3"/>
  <c r="C311" i="3" s="1"/>
  <c r="F312" i="3" l="1"/>
  <c r="D313" i="3" s="1"/>
  <c r="E311" i="3"/>
  <c r="C312" i="3" s="1"/>
  <c r="F313" i="3" l="1"/>
  <c r="D314" i="3"/>
  <c r="E312" i="3"/>
  <c r="C313" i="3" s="1"/>
  <c r="F314" i="3" l="1"/>
  <c r="D315" i="3"/>
  <c r="E313" i="3"/>
  <c r="C314" i="3" s="1"/>
  <c r="F315" i="3" l="1"/>
  <c r="D316" i="3" s="1"/>
  <c r="E314" i="3"/>
  <c r="C315" i="3" s="1"/>
  <c r="F316" i="3" l="1"/>
  <c r="D317" i="3" s="1"/>
  <c r="E315" i="3"/>
  <c r="C316" i="3" s="1"/>
  <c r="F317" i="3" l="1"/>
  <c r="D318" i="3"/>
  <c r="E316" i="3"/>
  <c r="C317" i="3" s="1"/>
  <c r="F318" i="3" l="1"/>
  <c r="D319" i="3"/>
  <c r="E317" i="3"/>
  <c r="C318" i="3" s="1"/>
  <c r="F319" i="3" l="1"/>
  <c r="D320" i="3" s="1"/>
  <c r="E318" i="3"/>
  <c r="C319" i="3"/>
  <c r="F320" i="3" l="1"/>
  <c r="D321" i="3"/>
  <c r="E319" i="3"/>
  <c r="C320" i="3"/>
  <c r="F321" i="3" l="1"/>
  <c r="D322" i="3" s="1"/>
  <c r="E320" i="3"/>
  <c r="C321" i="3" s="1"/>
  <c r="F322" i="3" l="1"/>
  <c r="D323" i="3"/>
  <c r="E321" i="3"/>
  <c r="C322" i="3"/>
  <c r="F323" i="3" l="1"/>
  <c r="D324" i="3" s="1"/>
  <c r="E322" i="3"/>
  <c r="C323" i="3"/>
  <c r="F324" i="3" l="1"/>
  <c r="D325" i="3" s="1"/>
  <c r="E323" i="3"/>
  <c r="C324" i="3" s="1"/>
  <c r="F325" i="3" l="1"/>
  <c r="D326" i="3" s="1"/>
  <c r="E324" i="3"/>
  <c r="C325" i="3" s="1"/>
  <c r="F326" i="3" l="1"/>
  <c r="D327" i="3" s="1"/>
  <c r="E325" i="3"/>
  <c r="C326" i="3" s="1"/>
  <c r="F327" i="3" l="1"/>
  <c r="D328" i="3" s="1"/>
  <c r="E326" i="3"/>
  <c r="C327" i="3" s="1"/>
  <c r="F328" i="3" l="1"/>
  <c r="D329" i="3" s="1"/>
  <c r="E327" i="3"/>
  <c r="C328" i="3" s="1"/>
  <c r="F329" i="3" l="1"/>
  <c r="D330" i="3" s="1"/>
  <c r="E328" i="3"/>
  <c r="C329" i="3" s="1"/>
  <c r="F330" i="3" l="1"/>
  <c r="D331" i="3"/>
  <c r="E329" i="3"/>
  <c r="C330" i="3" s="1"/>
  <c r="F331" i="3" l="1"/>
  <c r="D332" i="3" s="1"/>
  <c r="E330" i="3"/>
  <c r="C331" i="3"/>
  <c r="F332" i="3" l="1"/>
  <c r="D333" i="3" s="1"/>
  <c r="E331" i="3"/>
  <c r="C332" i="3" s="1"/>
  <c r="F333" i="3" l="1"/>
  <c r="D334" i="3" s="1"/>
  <c r="E332" i="3"/>
  <c r="C333" i="3"/>
  <c r="F334" i="3" l="1"/>
  <c r="D335" i="3" s="1"/>
  <c r="E333" i="3"/>
  <c r="C334" i="3"/>
  <c r="F335" i="3" l="1"/>
  <c r="D336" i="3" s="1"/>
  <c r="E334" i="3"/>
  <c r="C335" i="3"/>
  <c r="F336" i="3" l="1"/>
  <c r="D337" i="3" s="1"/>
  <c r="E335" i="3"/>
  <c r="C336" i="3" s="1"/>
  <c r="F337" i="3" l="1"/>
  <c r="D338" i="3" s="1"/>
  <c r="E336" i="3"/>
  <c r="C337" i="3" s="1"/>
  <c r="F338" i="3" l="1"/>
  <c r="D339" i="3" s="1"/>
  <c r="E337" i="3"/>
  <c r="C338" i="3" s="1"/>
  <c r="F339" i="3" l="1"/>
  <c r="D340" i="3" s="1"/>
  <c r="E338" i="3"/>
  <c r="C339" i="3" s="1"/>
  <c r="F340" i="3" l="1"/>
  <c r="D341" i="3" s="1"/>
  <c r="E339" i="3"/>
  <c r="C340" i="3" s="1"/>
  <c r="F341" i="3" l="1"/>
  <c r="D342" i="3" s="1"/>
  <c r="E340" i="3"/>
  <c r="C341" i="3" s="1"/>
  <c r="F342" i="3" l="1"/>
  <c r="D343" i="3" s="1"/>
  <c r="E341" i="3"/>
  <c r="C342" i="3" s="1"/>
  <c r="F343" i="3" l="1"/>
  <c r="D344" i="3"/>
  <c r="E342" i="3"/>
  <c r="C343" i="3"/>
  <c r="F344" i="3" l="1"/>
  <c r="D345" i="3"/>
  <c r="E343" i="3"/>
  <c r="C344" i="3"/>
  <c r="F345" i="3" l="1"/>
  <c r="D346" i="3"/>
  <c r="E344" i="3"/>
  <c r="C345" i="3"/>
  <c r="F346" i="3" l="1"/>
  <c r="D347" i="3" s="1"/>
  <c r="E345" i="3"/>
  <c r="C346" i="3" s="1"/>
  <c r="F347" i="3" l="1"/>
  <c r="D348" i="3"/>
  <c r="E346" i="3"/>
  <c r="C347" i="3"/>
  <c r="F348" i="3" l="1"/>
  <c r="D349" i="3" s="1"/>
  <c r="E347" i="3"/>
  <c r="C348" i="3" s="1"/>
  <c r="F349" i="3" l="1"/>
  <c r="D350" i="3"/>
  <c r="E348" i="3"/>
  <c r="C349" i="3" s="1"/>
  <c r="F350" i="3" l="1"/>
  <c r="D351" i="3" s="1"/>
  <c r="E349" i="3"/>
  <c r="C350" i="3" s="1"/>
  <c r="F351" i="3" l="1"/>
  <c r="D352" i="3" s="1"/>
  <c r="E350" i="3"/>
  <c r="C351" i="3" s="1"/>
  <c r="F352" i="3" l="1"/>
  <c r="D353" i="3" s="1"/>
  <c r="E351" i="3"/>
  <c r="C352" i="3" s="1"/>
  <c r="F353" i="3" l="1"/>
  <c r="D354" i="3" s="1"/>
  <c r="E352" i="3"/>
  <c r="C353" i="3" s="1"/>
  <c r="F354" i="3" l="1"/>
  <c r="D355" i="3" s="1"/>
  <c r="E353" i="3"/>
  <c r="C354" i="3" s="1"/>
  <c r="F355" i="3" l="1"/>
  <c r="D356" i="3" s="1"/>
  <c r="E354" i="3"/>
  <c r="C355" i="3" s="1"/>
  <c r="F356" i="3" l="1"/>
  <c r="D357" i="3"/>
  <c r="E355" i="3"/>
  <c r="C356" i="3" s="1"/>
  <c r="F357" i="3" l="1"/>
  <c r="D358" i="3" s="1"/>
  <c r="E356" i="3"/>
  <c r="C357" i="3"/>
  <c r="F358" i="3" l="1"/>
  <c r="D359" i="3"/>
  <c r="E357" i="3"/>
  <c r="C358" i="3"/>
  <c r="F359" i="3" l="1"/>
  <c r="D360" i="3"/>
  <c r="E358" i="3"/>
  <c r="C359" i="3"/>
  <c r="F360" i="3" l="1"/>
  <c r="D361" i="3"/>
  <c r="E359" i="3"/>
  <c r="C360" i="3"/>
  <c r="F361" i="3" l="1"/>
  <c r="D362" i="3"/>
  <c r="E360" i="3"/>
  <c r="C361" i="3"/>
  <c r="F362" i="3" l="1"/>
  <c r="D363" i="3" s="1"/>
  <c r="E361" i="3"/>
  <c r="C362" i="3" s="1"/>
  <c r="F363" i="3" l="1"/>
  <c r="D364" i="3" s="1"/>
  <c r="E362" i="3"/>
  <c r="C363" i="3" s="1"/>
  <c r="F364" i="3" l="1"/>
  <c r="D365" i="3" s="1"/>
  <c r="E363" i="3"/>
  <c r="C364" i="3" s="1"/>
  <c r="F365" i="3" l="1"/>
  <c r="D366" i="3" s="1"/>
  <c r="F366" i="3" s="1"/>
  <c r="E364" i="3"/>
  <c r="C365" i="3" s="1"/>
  <c r="E365" i="3" l="1"/>
  <c r="C366" i="3" s="1"/>
  <c r="E366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9B9D46-BCF9-4EDB-A38D-6C7207A4A652}" keepAlive="1" name="Zapytanie — lpg" description="Połączenie z zapytaniem „lpg” w skoroszycie." type="5" refreshedVersion="8" background="1" saveData="1">
    <dbPr connection="Provider=Microsoft.Mashup.OleDb.1;Data Source=$Workbook$;Location=lpg;Extended Properties=&quot;&quot;" command="SELECT * FROM [lpg]"/>
  </connection>
</connections>
</file>

<file path=xl/sharedStrings.xml><?xml version="1.0" encoding="utf-8"?>
<sst xmlns="http://schemas.openxmlformats.org/spreadsheetml/2006/main" count="9" uniqueCount="9">
  <si>
    <t>data</t>
  </si>
  <si>
    <t>km</t>
  </si>
  <si>
    <t>zbiornik PB95</t>
  </si>
  <si>
    <t>zbiornik LPG</t>
  </si>
  <si>
    <t>zuzycie PB95</t>
  </si>
  <si>
    <t>zyzucie lpg</t>
  </si>
  <si>
    <t>tankowanie pb95</t>
  </si>
  <si>
    <t>tankowanie lpg</t>
  </si>
  <si>
    <t>dzien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</si>
</sst>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FA4BBE-6588-418E-888F-F991294F9569}" autoFormatId="16" applyNumberFormats="0" applyBorderFormats="0" applyFontFormats="0" applyPatternFormats="0" applyAlignmentFormats="0" applyWidthHeightFormats="0">
  <queryTableRefresh nextId="10" unboundColumnsRight="7">
    <queryTableFields count="9">
      <queryTableField id="1" name="data" tableColumnId="1"/>
      <queryTableField id="2" name="km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F5A69-5A5C-4BCF-9E13-A2A4EA597E68}" name="lpg" displayName="lpg" ref="A1:I366" tableType="queryTable" totalsRowShown="0">
  <autoFilter ref="A1:I366" xr:uid="{732F5A69-5A5C-4BCF-9E13-A2A4EA597E68}"/>
  <tableColumns count="9">
    <tableColumn id="1" xr3:uid="{2048AB7A-CB83-46A1-BF26-DCE32F686978}" uniqueName="1" name="data" queryTableFieldId="1" dataDxfId="3"/>
    <tableColumn id="2" xr3:uid="{AC64F441-6FC5-4E6F-9417-BBB45A0FD93E}" uniqueName="2" name="km" queryTableFieldId="2"/>
    <tableColumn id="3" xr3:uid="{20DA9DB7-C5DF-4EEF-A202-3CCF7A251344}" uniqueName="3" name="zbiornik PB95" queryTableFieldId="3"/>
    <tableColumn id="4" xr3:uid="{70471508-A4F0-4EA9-8A4D-40B4BFF29AE7}" uniqueName="4" name="zbiornik LPG" queryTableFieldId="4"/>
    <tableColumn id="5" xr3:uid="{426EA176-277E-41E7-8608-72321FB8BC9C}" uniqueName="5" name="zuzycie PB95" queryTableFieldId="5" dataDxfId="1">
      <calculatedColumnFormula>ROUND(IF(lpg[[#This Row],[zbiornik PB95]]&gt;15,0,(lpg[[#This Row],[km]]/2)*6/100),2)</calculatedColumnFormula>
    </tableColumn>
    <tableColumn id="6" xr3:uid="{5162925D-4B57-4149-A391-33226BC9CC85}" uniqueName="6" name="zyzucie lpg" queryTableFieldId="6" dataDxfId="2">
      <calculatedColumnFormula>ROUND(IF(lpg[[#This Row],[zbiornik LPG]]&gt;15,lpg[[#This Row],[km]]*9/100,(lpg[[#This Row],[km]]/2)*9/100),2)</calculatedColumnFormula>
    </tableColumn>
    <tableColumn id="7" xr3:uid="{FCBB8C93-1A95-47DE-998E-B729D0ECABBC}" uniqueName="7" name="tankowanie pb95" queryTableFieldId="7"/>
    <tableColumn id="8" xr3:uid="{E2563B40-15E8-4320-96F7-B30DAFA8919E}" uniqueName="8" name="tankowanie lpg" queryTableFieldId="8"/>
    <tableColumn id="9" xr3:uid="{56BAD5C5-6CFC-45FF-A622-903B931A5301}" uniqueName="9" name="dzien" queryTableFieldId="9" dataDxfId="0">
      <calculatedColumnFormula>WEEKDAY(lpg[[#This Row],[data]],2)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6C6D-F8CB-4BC8-AC71-B835C5E89C7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2DDE-C76B-41D4-9F24-DD9FAC90DA9E}">
  <dimension ref="A1:I366"/>
  <sheetViews>
    <sheetView tabSelected="1" workbookViewId="0">
      <selection activeCell="J5" sqref="J5"/>
    </sheetView>
  </sheetViews>
  <sheetFormatPr defaultRowHeight="15" x14ac:dyDescent="0.25"/>
  <cols>
    <col min="1" max="1" width="10.7109375" bestFit="1" customWidth="1"/>
    <col min="2" max="2" width="6" bestFit="1" customWidth="1"/>
    <col min="3" max="3" width="15.7109375" customWidth="1"/>
    <col min="4" max="4" width="16" customWidth="1"/>
    <col min="5" max="5" width="14.140625" customWidth="1"/>
    <col min="6" max="6" width="11.5703125" customWidth="1"/>
    <col min="7" max="7" width="18" customWidth="1"/>
    <col min="8" max="8" width="17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41640</v>
      </c>
      <c r="B2">
        <v>159</v>
      </c>
      <c r="C2">
        <v>45</v>
      </c>
      <c r="D2">
        <v>30</v>
      </c>
      <c r="E2">
        <f>ROUND(IF(lpg[[#This Row],[zbiornik PB95]]&gt;15,0,(lpg[[#This Row],[km]]/2)*6/100),2)</f>
        <v>0</v>
      </c>
      <c r="F2">
        <f>ROUND(IF(lpg[[#This Row],[zbiornik LPG]]&gt;15,lpg[[#This Row],[km]]*9/100,(lpg[[#This Row],[km]]/2)*9/100),2)</f>
        <v>14.31</v>
      </c>
      <c r="I2">
        <f>WEEKDAY(lpg[[#This Row],[data]],2)</f>
        <v>3</v>
      </c>
    </row>
    <row r="3" spans="1:9" x14ac:dyDescent="0.25">
      <c r="A3" s="1">
        <v>41641</v>
      </c>
      <c r="B3">
        <v>82</v>
      </c>
      <c r="C3">
        <f>C2-E2</f>
        <v>45</v>
      </c>
      <c r="D3">
        <f>D2-F2</f>
        <v>15.69</v>
      </c>
      <c r="E3">
        <f>ROUND(IF(lpg[[#This Row],[zbiornik PB95]]&gt;15,0,(lpg[[#This Row],[km]]/2)*6/100),2)</f>
        <v>0</v>
      </c>
      <c r="F3">
        <f>ROUND(IF(lpg[[#This Row],[zbiornik LPG]]&gt;15,lpg[[#This Row],[km]]*9/100,(lpg[[#This Row],[km]]/2)*9/100),2)</f>
        <v>7.38</v>
      </c>
      <c r="I3">
        <f>WEEKDAY(lpg[[#This Row],[data]],2)</f>
        <v>4</v>
      </c>
    </row>
    <row r="4" spans="1:9" x14ac:dyDescent="0.25">
      <c r="A4" s="1">
        <v>41642</v>
      </c>
      <c r="B4">
        <v>108</v>
      </c>
      <c r="C4">
        <f t="shared" ref="C4:C67" si="0">C3-E3</f>
        <v>45</v>
      </c>
      <c r="D4">
        <f t="shared" ref="D4:D67" si="1">D3-F3</f>
        <v>8.3099999999999987</v>
      </c>
      <c r="E4">
        <f>ROUND(IF(lpg[[#This Row],[zbiornik PB95]]&gt;15,0,(lpg[[#This Row],[km]]/2)*6/100),2)</f>
        <v>0</v>
      </c>
      <c r="F4">
        <f>ROUND(IF(lpg[[#This Row],[zbiornik LPG]]&gt;15,lpg[[#This Row],[km]]*9/100,(lpg[[#This Row],[km]]/2)*9/100),2)</f>
        <v>4.8600000000000003</v>
      </c>
      <c r="I4">
        <f>WEEKDAY(lpg[[#This Row],[data]],2)</f>
        <v>5</v>
      </c>
    </row>
    <row r="5" spans="1:9" x14ac:dyDescent="0.25">
      <c r="A5" s="1">
        <v>41643</v>
      </c>
      <c r="B5">
        <v>149</v>
      </c>
      <c r="C5">
        <f t="shared" si="0"/>
        <v>45</v>
      </c>
      <c r="D5">
        <f t="shared" si="1"/>
        <v>3.4499999999999984</v>
      </c>
      <c r="E5">
        <f>ROUND(IF(lpg[[#This Row],[zbiornik PB95]]&gt;15,0,(lpg[[#This Row],[km]]/2)*6/100),2)</f>
        <v>0</v>
      </c>
      <c r="F5">
        <f>ROUND(IF(lpg[[#This Row],[zbiornik LPG]]&gt;15,lpg[[#This Row],[km]]*9/100,(lpg[[#This Row],[km]]/2)*9/100),2)</f>
        <v>6.71</v>
      </c>
      <c r="I5">
        <f>WEEKDAY(lpg[[#This Row],[data]],2)</f>
        <v>6</v>
      </c>
    </row>
    <row r="6" spans="1:9" x14ac:dyDescent="0.25">
      <c r="A6" s="1">
        <v>41644</v>
      </c>
      <c r="B6">
        <v>118</v>
      </c>
      <c r="C6">
        <f t="shared" si="0"/>
        <v>45</v>
      </c>
      <c r="D6">
        <f t="shared" si="1"/>
        <v>-3.2600000000000016</v>
      </c>
      <c r="E6">
        <f>ROUND(IF(lpg[[#This Row],[zbiornik PB95]]&gt;15,0,(lpg[[#This Row],[km]]/2)*6/100),2)</f>
        <v>0</v>
      </c>
      <c r="F6">
        <f>ROUND(IF(lpg[[#This Row],[zbiornik LPG]]&gt;15,lpg[[#This Row],[km]]*9/100,(lpg[[#This Row],[km]]/2)*9/100),2)</f>
        <v>5.31</v>
      </c>
      <c r="I6">
        <f>WEEKDAY(lpg[[#This Row],[data]],2)</f>
        <v>7</v>
      </c>
    </row>
    <row r="7" spans="1:9" x14ac:dyDescent="0.25">
      <c r="A7" s="1">
        <v>41645</v>
      </c>
      <c r="B7">
        <v>99</v>
      </c>
      <c r="C7">
        <f t="shared" si="0"/>
        <v>45</v>
      </c>
      <c r="D7">
        <f t="shared" si="1"/>
        <v>-8.57</v>
      </c>
      <c r="E7">
        <f>ROUND(IF(lpg[[#This Row],[zbiornik PB95]]&gt;15,0,(lpg[[#This Row],[km]]/2)*6/100),2)</f>
        <v>0</v>
      </c>
      <c r="F7">
        <f>ROUND(IF(lpg[[#This Row],[zbiornik LPG]]&gt;15,lpg[[#This Row],[km]]*9/100,(lpg[[#This Row],[km]]/2)*9/100),2)</f>
        <v>4.46</v>
      </c>
      <c r="I7">
        <f>WEEKDAY(lpg[[#This Row],[data]],2)</f>
        <v>1</v>
      </c>
    </row>
    <row r="8" spans="1:9" x14ac:dyDescent="0.25">
      <c r="A8" s="1">
        <v>41646</v>
      </c>
      <c r="B8">
        <v>67</v>
      </c>
      <c r="C8">
        <f t="shared" si="0"/>
        <v>45</v>
      </c>
      <c r="D8">
        <f t="shared" si="1"/>
        <v>-13.030000000000001</v>
      </c>
      <c r="E8">
        <f>ROUND(IF(lpg[[#This Row],[zbiornik PB95]]&gt;15,0,(lpg[[#This Row],[km]]/2)*6/100),2)</f>
        <v>0</v>
      </c>
      <c r="F8">
        <f>ROUND(IF(lpg[[#This Row],[zbiornik LPG]]&gt;15,lpg[[#This Row],[km]]*9/100,(lpg[[#This Row],[km]]/2)*9/100),2)</f>
        <v>3.02</v>
      </c>
      <c r="I8">
        <f>WEEKDAY(lpg[[#This Row],[data]],2)</f>
        <v>2</v>
      </c>
    </row>
    <row r="9" spans="1:9" x14ac:dyDescent="0.25">
      <c r="A9" s="1">
        <v>41647</v>
      </c>
      <c r="B9">
        <v>152</v>
      </c>
      <c r="C9">
        <f t="shared" si="0"/>
        <v>45</v>
      </c>
      <c r="D9">
        <f t="shared" si="1"/>
        <v>-16.05</v>
      </c>
      <c r="E9">
        <f>ROUND(IF(lpg[[#This Row],[zbiornik PB95]]&gt;15,0,(lpg[[#This Row],[km]]/2)*6/100),2)</f>
        <v>0</v>
      </c>
      <c r="F9">
        <f>ROUND(IF(lpg[[#This Row],[zbiornik LPG]]&gt;15,lpg[[#This Row],[km]]*9/100,(lpg[[#This Row],[km]]/2)*9/100),2)</f>
        <v>6.84</v>
      </c>
      <c r="I9">
        <f>WEEKDAY(lpg[[#This Row],[data]],2)</f>
        <v>3</v>
      </c>
    </row>
    <row r="10" spans="1:9" x14ac:dyDescent="0.25">
      <c r="A10" s="1">
        <v>41648</v>
      </c>
      <c r="B10">
        <v>84</v>
      </c>
      <c r="C10">
        <f t="shared" si="0"/>
        <v>45</v>
      </c>
      <c r="D10">
        <f t="shared" si="1"/>
        <v>-22.89</v>
      </c>
      <c r="E10">
        <f>ROUND(IF(lpg[[#This Row],[zbiornik PB95]]&gt;15,0,(lpg[[#This Row],[km]]/2)*6/100),2)</f>
        <v>0</v>
      </c>
      <c r="F10">
        <f>ROUND(IF(lpg[[#This Row],[zbiornik LPG]]&gt;15,lpg[[#This Row],[km]]*9/100,(lpg[[#This Row],[km]]/2)*9/100),2)</f>
        <v>3.78</v>
      </c>
      <c r="I10">
        <f>WEEKDAY(lpg[[#This Row],[data]],2)</f>
        <v>4</v>
      </c>
    </row>
    <row r="11" spans="1:9" x14ac:dyDescent="0.25">
      <c r="A11" s="1">
        <v>41649</v>
      </c>
      <c r="B11">
        <v>144</v>
      </c>
      <c r="C11">
        <f t="shared" si="0"/>
        <v>45</v>
      </c>
      <c r="D11">
        <f t="shared" si="1"/>
        <v>-26.67</v>
      </c>
      <c r="E11">
        <f>ROUND(IF(lpg[[#This Row],[zbiornik PB95]]&gt;15,0,(lpg[[#This Row],[km]]/2)*6/100),2)</f>
        <v>0</v>
      </c>
      <c r="F11">
        <f>ROUND(IF(lpg[[#This Row],[zbiornik LPG]]&gt;15,lpg[[#This Row],[km]]*9/100,(lpg[[#This Row],[km]]/2)*9/100),2)</f>
        <v>6.48</v>
      </c>
      <c r="I11">
        <f>WEEKDAY(lpg[[#This Row],[data]],2)</f>
        <v>5</v>
      </c>
    </row>
    <row r="12" spans="1:9" x14ac:dyDescent="0.25">
      <c r="A12" s="1">
        <v>41650</v>
      </c>
      <c r="B12">
        <v>16</v>
      </c>
      <c r="C12">
        <f t="shared" si="0"/>
        <v>45</v>
      </c>
      <c r="D12">
        <f t="shared" si="1"/>
        <v>-33.150000000000006</v>
      </c>
      <c r="E12">
        <f>ROUND(IF(lpg[[#This Row],[zbiornik PB95]]&gt;15,0,(lpg[[#This Row],[km]]/2)*6/100),2)</f>
        <v>0</v>
      </c>
      <c r="F12">
        <f>ROUND(IF(lpg[[#This Row],[zbiornik LPG]]&gt;15,lpg[[#This Row],[km]]*9/100,(lpg[[#This Row],[km]]/2)*9/100),2)</f>
        <v>0.72</v>
      </c>
      <c r="I12">
        <f>WEEKDAY(lpg[[#This Row],[data]],2)</f>
        <v>6</v>
      </c>
    </row>
    <row r="13" spans="1:9" x14ac:dyDescent="0.25">
      <c r="A13" s="1">
        <v>41651</v>
      </c>
      <c r="B13">
        <v>124</v>
      </c>
      <c r="C13">
        <f t="shared" si="0"/>
        <v>45</v>
      </c>
      <c r="D13">
        <f t="shared" si="1"/>
        <v>-33.870000000000005</v>
      </c>
      <c r="E13">
        <f>ROUND(IF(lpg[[#This Row],[zbiornik PB95]]&gt;15,0,(lpg[[#This Row],[km]]/2)*6/100),2)</f>
        <v>0</v>
      </c>
      <c r="F13">
        <f>ROUND(IF(lpg[[#This Row],[zbiornik LPG]]&gt;15,lpg[[#This Row],[km]]*9/100,(lpg[[#This Row],[km]]/2)*9/100),2)</f>
        <v>5.58</v>
      </c>
      <c r="I13">
        <f>WEEKDAY(lpg[[#This Row],[data]],2)</f>
        <v>7</v>
      </c>
    </row>
    <row r="14" spans="1:9" x14ac:dyDescent="0.25">
      <c r="A14" s="1">
        <v>41652</v>
      </c>
      <c r="B14">
        <v>65</v>
      </c>
      <c r="C14">
        <f t="shared" si="0"/>
        <v>45</v>
      </c>
      <c r="D14">
        <f t="shared" si="1"/>
        <v>-39.450000000000003</v>
      </c>
      <c r="E14">
        <f>ROUND(IF(lpg[[#This Row],[zbiornik PB95]]&gt;15,0,(lpg[[#This Row],[km]]/2)*6/100),2)</f>
        <v>0</v>
      </c>
      <c r="F14">
        <f>ROUND(IF(lpg[[#This Row],[zbiornik LPG]]&gt;15,lpg[[#This Row],[km]]*9/100,(lpg[[#This Row],[km]]/2)*9/100),2)</f>
        <v>2.93</v>
      </c>
      <c r="I14">
        <f>WEEKDAY(lpg[[#This Row],[data]],2)</f>
        <v>1</v>
      </c>
    </row>
    <row r="15" spans="1:9" x14ac:dyDescent="0.25">
      <c r="A15" s="1">
        <v>41653</v>
      </c>
      <c r="B15">
        <v>101</v>
      </c>
      <c r="C15">
        <f t="shared" si="0"/>
        <v>45</v>
      </c>
      <c r="D15">
        <f t="shared" si="1"/>
        <v>-42.38</v>
      </c>
      <c r="E15">
        <f>ROUND(IF(lpg[[#This Row],[zbiornik PB95]]&gt;15,0,(lpg[[#This Row],[km]]/2)*6/100),2)</f>
        <v>0</v>
      </c>
      <c r="F15">
        <f>ROUND(IF(lpg[[#This Row],[zbiornik LPG]]&gt;15,lpg[[#This Row],[km]]*9/100,(lpg[[#This Row],[km]]/2)*9/100),2)</f>
        <v>4.55</v>
      </c>
      <c r="I15">
        <f>WEEKDAY(lpg[[#This Row],[data]],2)</f>
        <v>2</v>
      </c>
    </row>
    <row r="16" spans="1:9" x14ac:dyDescent="0.25">
      <c r="A16" s="1">
        <v>41654</v>
      </c>
      <c r="B16">
        <v>19</v>
      </c>
      <c r="C16">
        <f t="shared" si="0"/>
        <v>45</v>
      </c>
      <c r="D16">
        <f t="shared" si="1"/>
        <v>-46.93</v>
      </c>
      <c r="E16">
        <f>ROUND(IF(lpg[[#This Row],[zbiornik PB95]]&gt;15,0,(lpg[[#This Row],[km]]/2)*6/100),2)</f>
        <v>0</v>
      </c>
      <c r="F16">
        <f>ROUND(IF(lpg[[#This Row],[zbiornik LPG]]&gt;15,lpg[[#This Row],[km]]*9/100,(lpg[[#This Row],[km]]/2)*9/100),2)</f>
        <v>0.86</v>
      </c>
      <c r="I16">
        <f>WEEKDAY(lpg[[#This Row],[data]],2)</f>
        <v>3</v>
      </c>
    </row>
    <row r="17" spans="1:9" x14ac:dyDescent="0.25">
      <c r="A17" s="1">
        <v>41655</v>
      </c>
      <c r="B17">
        <v>31</v>
      </c>
      <c r="C17">
        <f t="shared" si="0"/>
        <v>45</v>
      </c>
      <c r="D17">
        <f t="shared" si="1"/>
        <v>-47.79</v>
      </c>
      <c r="E17">
        <f>ROUND(IF(lpg[[#This Row],[zbiornik PB95]]&gt;15,0,(lpg[[#This Row],[km]]/2)*6/100),2)</f>
        <v>0</v>
      </c>
      <c r="F17">
        <f>ROUND(IF(lpg[[#This Row],[zbiornik LPG]]&gt;15,lpg[[#This Row],[km]]*9/100,(lpg[[#This Row],[km]]/2)*9/100),2)</f>
        <v>1.4</v>
      </c>
      <c r="I17">
        <f>WEEKDAY(lpg[[#This Row],[data]],2)</f>
        <v>4</v>
      </c>
    </row>
    <row r="18" spans="1:9" x14ac:dyDescent="0.25">
      <c r="A18" s="1">
        <v>41656</v>
      </c>
      <c r="B18">
        <v>109</v>
      </c>
      <c r="C18">
        <f t="shared" si="0"/>
        <v>45</v>
      </c>
      <c r="D18">
        <f t="shared" si="1"/>
        <v>-49.19</v>
      </c>
      <c r="E18">
        <f>ROUND(IF(lpg[[#This Row],[zbiornik PB95]]&gt;15,0,(lpg[[#This Row],[km]]/2)*6/100),2)</f>
        <v>0</v>
      </c>
      <c r="F18">
        <f>ROUND(IF(lpg[[#This Row],[zbiornik LPG]]&gt;15,lpg[[#This Row],[km]]*9/100,(lpg[[#This Row],[km]]/2)*9/100),2)</f>
        <v>4.91</v>
      </c>
      <c r="I18">
        <f>WEEKDAY(lpg[[#This Row],[data]],2)</f>
        <v>5</v>
      </c>
    </row>
    <row r="19" spans="1:9" x14ac:dyDescent="0.25">
      <c r="A19" s="1">
        <v>41657</v>
      </c>
      <c r="B19">
        <v>40</v>
      </c>
      <c r="C19">
        <f t="shared" si="0"/>
        <v>45</v>
      </c>
      <c r="D19">
        <f t="shared" si="1"/>
        <v>-54.099999999999994</v>
      </c>
      <c r="E19">
        <f>ROUND(IF(lpg[[#This Row],[zbiornik PB95]]&gt;15,0,(lpg[[#This Row],[km]]/2)*6/100),2)</f>
        <v>0</v>
      </c>
      <c r="F19">
        <f>ROUND(IF(lpg[[#This Row],[zbiornik LPG]]&gt;15,lpg[[#This Row],[km]]*9/100,(lpg[[#This Row],[km]]/2)*9/100),2)</f>
        <v>1.8</v>
      </c>
      <c r="I19">
        <f>WEEKDAY(lpg[[#This Row],[data]],2)</f>
        <v>6</v>
      </c>
    </row>
    <row r="20" spans="1:9" x14ac:dyDescent="0.25">
      <c r="A20" s="1">
        <v>41658</v>
      </c>
      <c r="B20">
        <v>70</v>
      </c>
      <c r="C20">
        <f t="shared" si="0"/>
        <v>45</v>
      </c>
      <c r="D20">
        <f t="shared" si="1"/>
        <v>-55.899999999999991</v>
      </c>
      <c r="E20">
        <f>ROUND(IF(lpg[[#This Row],[zbiornik PB95]]&gt;15,0,(lpg[[#This Row],[km]]/2)*6/100),2)</f>
        <v>0</v>
      </c>
      <c r="F20">
        <f>ROUND(IF(lpg[[#This Row],[zbiornik LPG]]&gt;15,lpg[[#This Row],[km]]*9/100,(lpg[[#This Row],[km]]/2)*9/100),2)</f>
        <v>3.15</v>
      </c>
      <c r="I20">
        <f>WEEKDAY(lpg[[#This Row],[data]],2)</f>
        <v>7</v>
      </c>
    </row>
    <row r="21" spans="1:9" x14ac:dyDescent="0.25">
      <c r="A21" s="1">
        <v>41659</v>
      </c>
      <c r="B21">
        <v>34</v>
      </c>
      <c r="C21">
        <f t="shared" si="0"/>
        <v>45</v>
      </c>
      <c r="D21">
        <f t="shared" si="1"/>
        <v>-59.04999999999999</v>
      </c>
      <c r="E21">
        <f>ROUND(IF(lpg[[#This Row],[zbiornik PB95]]&gt;15,0,(lpg[[#This Row],[km]]/2)*6/100),2)</f>
        <v>0</v>
      </c>
      <c r="F21">
        <f>ROUND(IF(lpg[[#This Row],[zbiornik LPG]]&gt;15,lpg[[#This Row],[km]]*9/100,(lpg[[#This Row],[km]]/2)*9/100),2)</f>
        <v>1.53</v>
      </c>
      <c r="I21">
        <f>WEEKDAY(lpg[[#This Row],[data]],2)</f>
        <v>1</v>
      </c>
    </row>
    <row r="22" spans="1:9" x14ac:dyDescent="0.25">
      <c r="A22" s="1">
        <v>41660</v>
      </c>
      <c r="B22">
        <v>111</v>
      </c>
      <c r="C22">
        <f t="shared" si="0"/>
        <v>45</v>
      </c>
      <c r="D22">
        <f t="shared" si="1"/>
        <v>-60.579999999999991</v>
      </c>
      <c r="E22">
        <f>ROUND(IF(lpg[[#This Row],[zbiornik PB95]]&gt;15,0,(lpg[[#This Row],[km]]/2)*6/100),2)</f>
        <v>0</v>
      </c>
      <c r="F22">
        <f>ROUND(IF(lpg[[#This Row],[zbiornik LPG]]&gt;15,lpg[[#This Row],[km]]*9/100,(lpg[[#This Row],[km]]/2)*9/100),2)</f>
        <v>5</v>
      </c>
      <c r="I22">
        <f>WEEKDAY(lpg[[#This Row],[data]],2)</f>
        <v>2</v>
      </c>
    </row>
    <row r="23" spans="1:9" x14ac:dyDescent="0.25">
      <c r="A23" s="1">
        <v>41661</v>
      </c>
      <c r="B23">
        <v>125</v>
      </c>
      <c r="C23">
        <f t="shared" si="0"/>
        <v>45</v>
      </c>
      <c r="D23">
        <f t="shared" si="1"/>
        <v>-65.579999999999984</v>
      </c>
      <c r="E23">
        <f>ROUND(IF(lpg[[#This Row],[zbiornik PB95]]&gt;15,0,(lpg[[#This Row],[km]]/2)*6/100),2)</f>
        <v>0</v>
      </c>
      <c r="F23">
        <f>ROUND(IF(lpg[[#This Row],[zbiornik LPG]]&gt;15,lpg[[#This Row],[km]]*9/100,(lpg[[#This Row],[km]]/2)*9/100),2)</f>
        <v>5.63</v>
      </c>
      <c r="I23">
        <f>WEEKDAY(lpg[[#This Row],[data]],2)</f>
        <v>3</v>
      </c>
    </row>
    <row r="24" spans="1:9" x14ac:dyDescent="0.25">
      <c r="A24" s="1">
        <v>41662</v>
      </c>
      <c r="B24">
        <v>76</v>
      </c>
      <c r="C24">
        <f t="shared" si="0"/>
        <v>45</v>
      </c>
      <c r="D24">
        <f t="shared" si="1"/>
        <v>-71.20999999999998</v>
      </c>
      <c r="E24">
        <f>ROUND(IF(lpg[[#This Row],[zbiornik PB95]]&gt;15,0,(lpg[[#This Row],[km]]/2)*6/100),2)</f>
        <v>0</v>
      </c>
      <c r="F24">
        <f>ROUND(IF(lpg[[#This Row],[zbiornik LPG]]&gt;15,lpg[[#This Row],[km]]*9/100,(lpg[[#This Row],[km]]/2)*9/100),2)</f>
        <v>3.42</v>
      </c>
      <c r="I24">
        <f>WEEKDAY(lpg[[#This Row],[data]],2)</f>
        <v>4</v>
      </c>
    </row>
    <row r="25" spans="1:9" x14ac:dyDescent="0.25">
      <c r="A25" s="1">
        <v>41663</v>
      </c>
      <c r="B25">
        <v>125</v>
      </c>
      <c r="C25">
        <f t="shared" si="0"/>
        <v>45</v>
      </c>
      <c r="D25">
        <f t="shared" si="1"/>
        <v>-74.629999999999981</v>
      </c>
      <c r="E25">
        <f>ROUND(IF(lpg[[#This Row],[zbiornik PB95]]&gt;15,0,(lpg[[#This Row],[km]]/2)*6/100),2)</f>
        <v>0</v>
      </c>
      <c r="F25">
        <f>ROUND(IF(lpg[[#This Row],[zbiornik LPG]]&gt;15,lpg[[#This Row],[km]]*9/100,(lpg[[#This Row],[km]]/2)*9/100),2)</f>
        <v>5.63</v>
      </c>
      <c r="I25">
        <f>WEEKDAY(lpg[[#This Row],[data]],2)</f>
        <v>5</v>
      </c>
    </row>
    <row r="26" spans="1:9" x14ac:dyDescent="0.25">
      <c r="A26" s="1">
        <v>41664</v>
      </c>
      <c r="B26">
        <v>23</v>
      </c>
      <c r="C26">
        <f t="shared" si="0"/>
        <v>45</v>
      </c>
      <c r="D26">
        <f t="shared" si="1"/>
        <v>-80.259999999999977</v>
      </c>
      <c r="E26">
        <f>ROUND(IF(lpg[[#This Row],[zbiornik PB95]]&gt;15,0,(lpg[[#This Row],[km]]/2)*6/100),2)</f>
        <v>0</v>
      </c>
      <c r="F26">
        <f>ROUND(IF(lpg[[#This Row],[zbiornik LPG]]&gt;15,lpg[[#This Row],[km]]*9/100,(lpg[[#This Row],[km]]/2)*9/100),2)</f>
        <v>1.04</v>
      </c>
      <c r="I26">
        <f>WEEKDAY(lpg[[#This Row],[data]],2)</f>
        <v>6</v>
      </c>
    </row>
    <row r="27" spans="1:9" x14ac:dyDescent="0.25">
      <c r="A27" s="1">
        <v>41665</v>
      </c>
      <c r="B27">
        <v>93</v>
      </c>
      <c r="C27">
        <f t="shared" si="0"/>
        <v>45</v>
      </c>
      <c r="D27">
        <f t="shared" si="1"/>
        <v>-81.299999999999983</v>
      </c>
      <c r="E27">
        <f>ROUND(IF(lpg[[#This Row],[zbiornik PB95]]&gt;15,0,(lpg[[#This Row],[km]]/2)*6/100),2)</f>
        <v>0</v>
      </c>
      <c r="F27">
        <f>ROUND(IF(lpg[[#This Row],[zbiornik LPG]]&gt;15,lpg[[#This Row],[km]]*9/100,(lpg[[#This Row],[km]]/2)*9/100),2)</f>
        <v>4.1900000000000004</v>
      </c>
      <c r="I27">
        <f>WEEKDAY(lpg[[#This Row],[data]],2)</f>
        <v>7</v>
      </c>
    </row>
    <row r="28" spans="1:9" x14ac:dyDescent="0.25">
      <c r="A28" s="1">
        <v>41666</v>
      </c>
      <c r="B28">
        <v>111</v>
      </c>
      <c r="C28">
        <f t="shared" si="0"/>
        <v>45</v>
      </c>
      <c r="D28">
        <f t="shared" si="1"/>
        <v>-85.489999999999981</v>
      </c>
      <c r="E28">
        <f>ROUND(IF(lpg[[#This Row],[zbiornik PB95]]&gt;15,0,(lpg[[#This Row],[km]]/2)*6/100),2)</f>
        <v>0</v>
      </c>
      <c r="F28">
        <f>ROUND(IF(lpg[[#This Row],[zbiornik LPG]]&gt;15,lpg[[#This Row],[km]]*9/100,(lpg[[#This Row],[km]]/2)*9/100),2)</f>
        <v>5</v>
      </c>
      <c r="I28">
        <f>WEEKDAY(lpg[[#This Row],[data]],2)</f>
        <v>1</v>
      </c>
    </row>
    <row r="29" spans="1:9" x14ac:dyDescent="0.25">
      <c r="A29" s="1">
        <v>41667</v>
      </c>
      <c r="B29">
        <v>52</v>
      </c>
      <c r="C29">
        <f t="shared" si="0"/>
        <v>45</v>
      </c>
      <c r="D29">
        <f t="shared" si="1"/>
        <v>-90.489999999999981</v>
      </c>
      <c r="E29">
        <f>ROUND(IF(lpg[[#This Row],[zbiornik PB95]]&gt;15,0,(lpg[[#This Row],[km]]/2)*6/100),2)</f>
        <v>0</v>
      </c>
      <c r="F29">
        <f>ROUND(IF(lpg[[#This Row],[zbiornik LPG]]&gt;15,lpg[[#This Row],[km]]*9/100,(lpg[[#This Row],[km]]/2)*9/100),2)</f>
        <v>2.34</v>
      </c>
      <c r="I29">
        <f>WEEKDAY(lpg[[#This Row],[data]],2)</f>
        <v>2</v>
      </c>
    </row>
    <row r="30" spans="1:9" x14ac:dyDescent="0.25">
      <c r="A30" s="1">
        <v>41668</v>
      </c>
      <c r="B30">
        <v>65</v>
      </c>
      <c r="C30">
        <f t="shared" si="0"/>
        <v>45</v>
      </c>
      <c r="D30">
        <f t="shared" si="1"/>
        <v>-92.829999999999984</v>
      </c>
      <c r="E30">
        <f>ROUND(IF(lpg[[#This Row],[zbiornik PB95]]&gt;15,0,(lpg[[#This Row],[km]]/2)*6/100),2)</f>
        <v>0</v>
      </c>
      <c r="F30">
        <f>ROUND(IF(lpg[[#This Row],[zbiornik LPG]]&gt;15,lpg[[#This Row],[km]]*9/100,(lpg[[#This Row],[km]]/2)*9/100),2)</f>
        <v>2.93</v>
      </c>
      <c r="I30">
        <f>WEEKDAY(lpg[[#This Row],[data]],2)</f>
        <v>3</v>
      </c>
    </row>
    <row r="31" spans="1:9" x14ac:dyDescent="0.25">
      <c r="A31" s="1">
        <v>41669</v>
      </c>
      <c r="B31">
        <v>120</v>
      </c>
      <c r="C31">
        <f t="shared" si="0"/>
        <v>45</v>
      </c>
      <c r="D31">
        <f t="shared" si="1"/>
        <v>-95.759999999999991</v>
      </c>
      <c r="E31">
        <f>ROUND(IF(lpg[[#This Row],[zbiornik PB95]]&gt;15,0,(lpg[[#This Row],[km]]/2)*6/100),2)</f>
        <v>0</v>
      </c>
      <c r="F31">
        <f>ROUND(IF(lpg[[#This Row],[zbiornik LPG]]&gt;15,lpg[[#This Row],[km]]*9/100,(lpg[[#This Row],[km]]/2)*9/100),2)</f>
        <v>5.4</v>
      </c>
      <c r="I31">
        <f>WEEKDAY(lpg[[#This Row],[data]],2)</f>
        <v>4</v>
      </c>
    </row>
    <row r="32" spans="1:9" x14ac:dyDescent="0.25">
      <c r="A32" s="1">
        <v>41670</v>
      </c>
      <c r="B32">
        <v>113</v>
      </c>
      <c r="C32">
        <f t="shared" si="0"/>
        <v>45</v>
      </c>
      <c r="D32">
        <f t="shared" si="1"/>
        <v>-101.16</v>
      </c>
      <c r="E32">
        <f>ROUND(IF(lpg[[#This Row],[zbiornik PB95]]&gt;15,0,(lpg[[#This Row],[km]]/2)*6/100),2)</f>
        <v>0</v>
      </c>
      <c r="F32">
        <f>ROUND(IF(lpg[[#This Row],[zbiornik LPG]]&gt;15,lpg[[#This Row],[km]]*9/100,(lpg[[#This Row],[km]]/2)*9/100),2)</f>
        <v>5.09</v>
      </c>
      <c r="I32">
        <f>WEEKDAY(lpg[[#This Row],[data]],2)</f>
        <v>5</v>
      </c>
    </row>
    <row r="33" spans="1:9" x14ac:dyDescent="0.25">
      <c r="A33" s="1">
        <v>41671</v>
      </c>
      <c r="B33">
        <v>110</v>
      </c>
      <c r="C33">
        <f t="shared" si="0"/>
        <v>45</v>
      </c>
      <c r="D33">
        <f t="shared" si="1"/>
        <v>-106.25</v>
      </c>
      <c r="E33">
        <f>ROUND(IF(lpg[[#This Row],[zbiornik PB95]]&gt;15,0,(lpg[[#This Row],[km]]/2)*6/100),2)</f>
        <v>0</v>
      </c>
      <c r="F33">
        <f>ROUND(IF(lpg[[#This Row],[zbiornik LPG]]&gt;15,lpg[[#This Row],[km]]*9/100,(lpg[[#This Row],[km]]/2)*9/100),2)</f>
        <v>4.95</v>
      </c>
      <c r="I33">
        <f>WEEKDAY(lpg[[#This Row],[data]],2)</f>
        <v>6</v>
      </c>
    </row>
    <row r="34" spans="1:9" x14ac:dyDescent="0.25">
      <c r="A34" s="1">
        <v>41672</v>
      </c>
      <c r="B34">
        <v>135</v>
      </c>
      <c r="C34">
        <f t="shared" si="0"/>
        <v>45</v>
      </c>
      <c r="D34">
        <f t="shared" si="1"/>
        <v>-111.2</v>
      </c>
      <c r="E34">
        <f>ROUND(IF(lpg[[#This Row],[zbiornik PB95]]&gt;15,0,(lpg[[#This Row],[km]]/2)*6/100),2)</f>
        <v>0</v>
      </c>
      <c r="F34">
        <f>ROUND(IF(lpg[[#This Row],[zbiornik LPG]]&gt;15,lpg[[#This Row],[km]]*9/100,(lpg[[#This Row],[km]]/2)*9/100),2)</f>
        <v>6.08</v>
      </c>
      <c r="I34">
        <f>WEEKDAY(lpg[[#This Row],[data]],2)</f>
        <v>7</v>
      </c>
    </row>
    <row r="35" spans="1:9" x14ac:dyDescent="0.25">
      <c r="A35" s="1">
        <v>41673</v>
      </c>
      <c r="B35">
        <v>37</v>
      </c>
      <c r="C35">
        <f t="shared" si="0"/>
        <v>45</v>
      </c>
      <c r="D35">
        <f t="shared" si="1"/>
        <v>-117.28</v>
      </c>
      <c r="E35">
        <f>ROUND(IF(lpg[[#This Row],[zbiornik PB95]]&gt;15,0,(lpg[[#This Row],[km]]/2)*6/100),2)</f>
        <v>0</v>
      </c>
      <c r="F35">
        <f>ROUND(IF(lpg[[#This Row],[zbiornik LPG]]&gt;15,lpg[[#This Row],[km]]*9/100,(lpg[[#This Row],[km]]/2)*9/100),2)</f>
        <v>1.67</v>
      </c>
      <c r="I35">
        <f>WEEKDAY(lpg[[#This Row],[data]],2)</f>
        <v>1</v>
      </c>
    </row>
    <row r="36" spans="1:9" x14ac:dyDescent="0.25">
      <c r="A36" s="1">
        <v>41674</v>
      </c>
      <c r="B36">
        <v>113</v>
      </c>
      <c r="C36">
        <f t="shared" si="0"/>
        <v>45</v>
      </c>
      <c r="D36">
        <f t="shared" si="1"/>
        <v>-118.95</v>
      </c>
      <c r="E36">
        <f>ROUND(IF(lpg[[#This Row],[zbiornik PB95]]&gt;15,0,(lpg[[#This Row],[km]]/2)*6/100),2)</f>
        <v>0</v>
      </c>
      <c r="F36">
        <f>ROUND(IF(lpg[[#This Row],[zbiornik LPG]]&gt;15,lpg[[#This Row],[km]]*9/100,(lpg[[#This Row],[km]]/2)*9/100),2)</f>
        <v>5.09</v>
      </c>
      <c r="I36">
        <f>WEEKDAY(lpg[[#This Row],[data]],2)</f>
        <v>2</v>
      </c>
    </row>
    <row r="37" spans="1:9" x14ac:dyDescent="0.25">
      <c r="A37" s="1">
        <v>41675</v>
      </c>
      <c r="B37">
        <v>79</v>
      </c>
      <c r="C37">
        <f t="shared" si="0"/>
        <v>45</v>
      </c>
      <c r="D37">
        <f t="shared" si="1"/>
        <v>-124.04</v>
      </c>
      <c r="E37">
        <f>ROUND(IF(lpg[[#This Row],[zbiornik PB95]]&gt;15,0,(lpg[[#This Row],[km]]/2)*6/100),2)</f>
        <v>0</v>
      </c>
      <c r="F37">
        <f>ROUND(IF(lpg[[#This Row],[zbiornik LPG]]&gt;15,lpg[[#This Row],[km]]*9/100,(lpg[[#This Row],[km]]/2)*9/100),2)</f>
        <v>3.56</v>
      </c>
      <c r="I37">
        <f>WEEKDAY(lpg[[#This Row],[data]],2)</f>
        <v>3</v>
      </c>
    </row>
    <row r="38" spans="1:9" x14ac:dyDescent="0.25">
      <c r="A38" s="1">
        <v>41676</v>
      </c>
      <c r="B38">
        <v>94</v>
      </c>
      <c r="C38">
        <f t="shared" si="0"/>
        <v>45</v>
      </c>
      <c r="D38">
        <f t="shared" si="1"/>
        <v>-127.60000000000001</v>
      </c>
      <c r="E38">
        <f>ROUND(IF(lpg[[#This Row],[zbiornik PB95]]&gt;15,0,(lpg[[#This Row],[km]]/2)*6/100),2)</f>
        <v>0</v>
      </c>
      <c r="F38">
        <f>ROUND(IF(lpg[[#This Row],[zbiornik LPG]]&gt;15,lpg[[#This Row],[km]]*9/100,(lpg[[#This Row],[km]]/2)*9/100),2)</f>
        <v>4.2300000000000004</v>
      </c>
      <c r="I38">
        <f>WEEKDAY(lpg[[#This Row],[data]],2)</f>
        <v>4</v>
      </c>
    </row>
    <row r="39" spans="1:9" x14ac:dyDescent="0.25">
      <c r="A39" s="1">
        <v>41677</v>
      </c>
      <c r="B39">
        <v>35</v>
      </c>
      <c r="C39">
        <f t="shared" si="0"/>
        <v>45</v>
      </c>
      <c r="D39">
        <f t="shared" si="1"/>
        <v>-131.83000000000001</v>
      </c>
      <c r="E39">
        <f>ROUND(IF(lpg[[#This Row],[zbiornik PB95]]&gt;15,0,(lpg[[#This Row],[km]]/2)*6/100),2)</f>
        <v>0</v>
      </c>
      <c r="F39">
        <f>ROUND(IF(lpg[[#This Row],[zbiornik LPG]]&gt;15,lpg[[#This Row],[km]]*9/100,(lpg[[#This Row],[km]]/2)*9/100),2)</f>
        <v>1.58</v>
      </c>
      <c r="I39">
        <f>WEEKDAY(lpg[[#This Row],[data]],2)</f>
        <v>5</v>
      </c>
    </row>
    <row r="40" spans="1:9" x14ac:dyDescent="0.25">
      <c r="A40" s="1">
        <v>41678</v>
      </c>
      <c r="B40">
        <v>54</v>
      </c>
      <c r="C40">
        <f t="shared" si="0"/>
        <v>45</v>
      </c>
      <c r="D40">
        <f t="shared" si="1"/>
        <v>-133.41000000000003</v>
      </c>
      <c r="E40">
        <f>ROUND(IF(lpg[[#This Row],[zbiornik PB95]]&gt;15,0,(lpg[[#This Row],[km]]/2)*6/100),2)</f>
        <v>0</v>
      </c>
      <c r="F40">
        <f>ROUND(IF(lpg[[#This Row],[zbiornik LPG]]&gt;15,lpg[[#This Row],[km]]*9/100,(lpg[[#This Row],[km]]/2)*9/100),2)</f>
        <v>2.4300000000000002</v>
      </c>
      <c r="I40">
        <f>WEEKDAY(lpg[[#This Row],[data]],2)</f>
        <v>6</v>
      </c>
    </row>
    <row r="41" spans="1:9" x14ac:dyDescent="0.25">
      <c r="A41" s="1">
        <v>41679</v>
      </c>
      <c r="B41">
        <v>57</v>
      </c>
      <c r="C41">
        <f t="shared" si="0"/>
        <v>45</v>
      </c>
      <c r="D41">
        <f t="shared" si="1"/>
        <v>-135.84000000000003</v>
      </c>
      <c r="E41">
        <f>ROUND(IF(lpg[[#This Row],[zbiornik PB95]]&gt;15,0,(lpg[[#This Row],[km]]/2)*6/100),2)</f>
        <v>0</v>
      </c>
      <c r="F41">
        <f>ROUND(IF(lpg[[#This Row],[zbiornik LPG]]&gt;15,lpg[[#This Row],[km]]*9/100,(lpg[[#This Row],[km]]/2)*9/100),2)</f>
        <v>2.57</v>
      </c>
      <c r="I41">
        <f>WEEKDAY(lpg[[#This Row],[data]],2)</f>
        <v>7</v>
      </c>
    </row>
    <row r="42" spans="1:9" x14ac:dyDescent="0.25">
      <c r="A42" s="1">
        <v>41680</v>
      </c>
      <c r="B42">
        <v>147</v>
      </c>
      <c r="C42">
        <f t="shared" si="0"/>
        <v>45</v>
      </c>
      <c r="D42">
        <f t="shared" si="1"/>
        <v>-138.41000000000003</v>
      </c>
      <c r="E42">
        <f>ROUND(IF(lpg[[#This Row],[zbiornik PB95]]&gt;15,0,(lpg[[#This Row],[km]]/2)*6/100),2)</f>
        <v>0</v>
      </c>
      <c r="F42">
        <f>ROUND(IF(lpg[[#This Row],[zbiornik LPG]]&gt;15,lpg[[#This Row],[km]]*9/100,(lpg[[#This Row],[km]]/2)*9/100),2)</f>
        <v>6.62</v>
      </c>
      <c r="I42">
        <f>WEEKDAY(lpg[[#This Row],[data]],2)</f>
        <v>1</v>
      </c>
    </row>
    <row r="43" spans="1:9" x14ac:dyDescent="0.25">
      <c r="A43" s="1">
        <v>41681</v>
      </c>
      <c r="B43">
        <v>144</v>
      </c>
      <c r="C43">
        <f t="shared" si="0"/>
        <v>45</v>
      </c>
      <c r="D43">
        <f t="shared" si="1"/>
        <v>-145.03000000000003</v>
      </c>
      <c r="E43">
        <f>ROUND(IF(lpg[[#This Row],[zbiornik PB95]]&gt;15,0,(lpg[[#This Row],[km]]/2)*6/100),2)</f>
        <v>0</v>
      </c>
      <c r="F43">
        <f>ROUND(IF(lpg[[#This Row],[zbiornik LPG]]&gt;15,lpg[[#This Row],[km]]*9/100,(lpg[[#This Row],[km]]/2)*9/100),2)</f>
        <v>6.48</v>
      </c>
      <c r="I43">
        <f>WEEKDAY(lpg[[#This Row],[data]],2)</f>
        <v>2</v>
      </c>
    </row>
    <row r="44" spans="1:9" x14ac:dyDescent="0.25">
      <c r="A44" s="1">
        <v>41682</v>
      </c>
      <c r="B44">
        <v>50</v>
      </c>
      <c r="C44">
        <f t="shared" si="0"/>
        <v>45</v>
      </c>
      <c r="D44">
        <f t="shared" si="1"/>
        <v>-151.51000000000002</v>
      </c>
      <c r="E44">
        <f>ROUND(IF(lpg[[#This Row],[zbiornik PB95]]&gt;15,0,(lpg[[#This Row],[km]]/2)*6/100),2)</f>
        <v>0</v>
      </c>
      <c r="F44">
        <f>ROUND(IF(lpg[[#This Row],[zbiornik LPG]]&gt;15,lpg[[#This Row],[km]]*9/100,(lpg[[#This Row],[km]]/2)*9/100),2)</f>
        <v>2.25</v>
      </c>
      <c r="I44">
        <f>WEEKDAY(lpg[[#This Row],[data]],2)</f>
        <v>3</v>
      </c>
    </row>
    <row r="45" spans="1:9" x14ac:dyDescent="0.25">
      <c r="A45" s="1">
        <v>41683</v>
      </c>
      <c r="B45">
        <v>129</v>
      </c>
      <c r="C45">
        <f t="shared" si="0"/>
        <v>45</v>
      </c>
      <c r="D45">
        <f t="shared" si="1"/>
        <v>-153.76000000000002</v>
      </c>
      <c r="E45">
        <f>ROUND(IF(lpg[[#This Row],[zbiornik PB95]]&gt;15,0,(lpg[[#This Row],[km]]/2)*6/100),2)</f>
        <v>0</v>
      </c>
      <c r="F45">
        <f>ROUND(IF(lpg[[#This Row],[zbiornik LPG]]&gt;15,lpg[[#This Row],[km]]*9/100,(lpg[[#This Row],[km]]/2)*9/100),2)</f>
        <v>5.81</v>
      </c>
      <c r="I45">
        <f>WEEKDAY(lpg[[#This Row],[data]],2)</f>
        <v>4</v>
      </c>
    </row>
    <row r="46" spans="1:9" x14ac:dyDescent="0.25">
      <c r="A46" s="1">
        <v>41684</v>
      </c>
      <c r="B46">
        <v>71</v>
      </c>
      <c r="C46">
        <f t="shared" si="0"/>
        <v>45</v>
      </c>
      <c r="D46">
        <f t="shared" si="1"/>
        <v>-159.57000000000002</v>
      </c>
      <c r="E46">
        <f>ROUND(IF(lpg[[#This Row],[zbiornik PB95]]&gt;15,0,(lpg[[#This Row],[km]]/2)*6/100),2)</f>
        <v>0</v>
      </c>
      <c r="F46">
        <f>ROUND(IF(lpg[[#This Row],[zbiornik LPG]]&gt;15,lpg[[#This Row],[km]]*9/100,(lpg[[#This Row],[km]]/2)*9/100),2)</f>
        <v>3.2</v>
      </c>
      <c r="I46">
        <f>WEEKDAY(lpg[[#This Row],[data]],2)</f>
        <v>5</v>
      </c>
    </row>
    <row r="47" spans="1:9" x14ac:dyDescent="0.25">
      <c r="A47" s="1">
        <v>41685</v>
      </c>
      <c r="B47">
        <v>125</v>
      </c>
      <c r="C47">
        <f t="shared" si="0"/>
        <v>45</v>
      </c>
      <c r="D47">
        <f t="shared" si="1"/>
        <v>-162.77000000000001</v>
      </c>
      <c r="E47">
        <f>ROUND(IF(lpg[[#This Row],[zbiornik PB95]]&gt;15,0,(lpg[[#This Row],[km]]/2)*6/100),2)</f>
        <v>0</v>
      </c>
      <c r="F47">
        <f>ROUND(IF(lpg[[#This Row],[zbiornik LPG]]&gt;15,lpg[[#This Row],[km]]*9/100,(lpg[[#This Row],[km]]/2)*9/100),2)</f>
        <v>5.63</v>
      </c>
      <c r="I47">
        <f>WEEKDAY(lpg[[#This Row],[data]],2)</f>
        <v>6</v>
      </c>
    </row>
    <row r="48" spans="1:9" x14ac:dyDescent="0.25">
      <c r="A48" s="1">
        <v>41686</v>
      </c>
      <c r="B48">
        <v>97</v>
      </c>
      <c r="C48">
        <f t="shared" si="0"/>
        <v>45</v>
      </c>
      <c r="D48">
        <f t="shared" si="1"/>
        <v>-168.4</v>
      </c>
      <c r="E48">
        <f>ROUND(IF(lpg[[#This Row],[zbiornik PB95]]&gt;15,0,(lpg[[#This Row],[km]]/2)*6/100),2)</f>
        <v>0</v>
      </c>
      <c r="F48">
        <f>ROUND(IF(lpg[[#This Row],[zbiornik LPG]]&gt;15,lpg[[#This Row],[km]]*9/100,(lpg[[#This Row],[km]]/2)*9/100),2)</f>
        <v>4.37</v>
      </c>
      <c r="I48">
        <f>WEEKDAY(lpg[[#This Row],[data]],2)</f>
        <v>7</v>
      </c>
    </row>
    <row r="49" spans="1:9" x14ac:dyDescent="0.25">
      <c r="A49" s="1">
        <v>41687</v>
      </c>
      <c r="B49">
        <v>104</v>
      </c>
      <c r="C49">
        <f t="shared" si="0"/>
        <v>45</v>
      </c>
      <c r="D49">
        <f t="shared" si="1"/>
        <v>-172.77</v>
      </c>
      <c r="E49">
        <f>ROUND(IF(lpg[[#This Row],[zbiornik PB95]]&gt;15,0,(lpg[[#This Row],[km]]/2)*6/100),2)</f>
        <v>0</v>
      </c>
      <c r="F49">
        <f>ROUND(IF(lpg[[#This Row],[zbiornik LPG]]&gt;15,lpg[[#This Row],[km]]*9/100,(lpg[[#This Row],[km]]/2)*9/100),2)</f>
        <v>4.68</v>
      </c>
      <c r="I49">
        <f>WEEKDAY(lpg[[#This Row],[data]],2)</f>
        <v>1</v>
      </c>
    </row>
    <row r="50" spans="1:9" x14ac:dyDescent="0.25">
      <c r="A50" s="1">
        <v>41688</v>
      </c>
      <c r="B50">
        <v>108</v>
      </c>
      <c r="C50">
        <f t="shared" si="0"/>
        <v>45</v>
      </c>
      <c r="D50">
        <f t="shared" si="1"/>
        <v>-177.45000000000002</v>
      </c>
      <c r="E50">
        <f>ROUND(IF(lpg[[#This Row],[zbiornik PB95]]&gt;15,0,(lpg[[#This Row],[km]]/2)*6/100),2)</f>
        <v>0</v>
      </c>
      <c r="F50">
        <f>ROUND(IF(lpg[[#This Row],[zbiornik LPG]]&gt;15,lpg[[#This Row],[km]]*9/100,(lpg[[#This Row],[km]]/2)*9/100),2)</f>
        <v>4.8600000000000003</v>
      </c>
      <c r="I50">
        <f>WEEKDAY(lpg[[#This Row],[data]],2)</f>
        <v>2</v>
      </c>
    </row>
    <row r="51" spans="1:9" x14ac:dyDescent="0.25">
      <c r="A51" s="1">
        <v>41689</v>
      </c>
      <c r="B51">
        <v>61</v>
      </c>
      <c r="C51">
        <f t="shared" si="0"/>
        <v>45</v>
      </c>
      <c r="D51">
        <f t="shared" si="1"/>
        <v>-182.31000000000003</v>
      </c>
      <c r="E51">
        <f>ROUND(IF(lpg[[#This Row],[zbiornik PB95]]&gt;15,0,(lpg[[#This Row],[km]]/2)*6/100),2)</f>
        <v>0</v>
      </c>
      <c r="F51">
        <f>ROUND(IF(lpg[[#This Row],[zbiornik LPG]]&gt;15,lpg[[#This Row],[km]]*9/100,(lpg[[#This Row],[km]]/2)*9/100),2)</f>
        <v>2.75</v>
      </c>
      <c r="I51">
        <f>WEEKDAY(lpg[[#This Row],[data]],2)</f>
        <v>3</v>
      </c>
    </row>
    <row r="52" spans="1:9" x14ac:dyDescent="0.25">
      <c r="A52" s="1">
        <v>41690</v>
      </c>
      <c r="B52">
        <v>35</v>
      </c>
      <c r="C52">
        <f t="shared" si="0"/>
        <v>45</v>
      </c>
      <c r="D52">
        <f t="shared" si="1"/>
        <v>-185.06000000000003</v>
      </c>
      <c r="E52">
        <f>ROUND(IF(lpg[[#This Row],[zbiornik PB95]]&gt;15,0,(lpg[[#This Row],[km]]/2)*6/100),2)</f>
        <v>0</v>
      </c>
      <c r="F52">
        <f>ROUND(IF(lpg[[#This Row],[zbiornik LPG]]&gt;15,lpg[[#This Row],[km]]*9/100,(lpg[[#This Row],[km]]/2)*9/100),2)</f>
        <v>1.58</v>
      </c>
      <c r="I52">
        <f>WEEKDAY(lpg[[#This Row],[data]],2)</f>
        <v>4</v>
      </c>
    </row>
    <row r="53" spans="1:9" x14ac:dyDescent="0.25">
      <c r="A53" s="1">
        <v>41691</v>
      </c>
      <c r="B53">
        <v>40</v>
      </c>
      <c r="C53">
        <f t="shared" si="0"/>
        <v>45</v>
      </c>
      <c r="D53">
        <f t="shared" si="1"/>
        <v>-186.64000000000004</v>
      </c>
      <c r="E53">
        <f>ROUND(IF(lpg[[#This Row],[zbiornik PB95]]&gt;15,0,(lpg[[#This Row],[km]]/2)*6/100),2)</f>
        <v>0</v>
      </c>
      <c r="F53">
        <f>ROUND(IF(lpg[[#This Row],[zbiornik LPG]]&gt;15,lpg[[#This Row],[km]]*9/100,(lpg[[#This Row],[km]]/2)*9/100),2)</f>
        <v>1.8</v>
      </c>
      <c r="I53">
        <f>WEEKDAY(lpg[[#This Row],[data]],2)</f>
        <v>5</v>
      </c>
    </row>
    <row r="54" spans="1:9" x14ac:dyDescent="0.25">
      <c r="A54" s="1">
        <v>41692</v>
      </c>
      <c r="B54">
        <v>23</v>
      </c>
      <c r="C54">
        <f t="shared" si="0"/>
        <v>45</v>
      </c>
      <c r="D54">
        <f t="shared" si="1"/>
        <v>-188.44000000000005</v>
      </c>
      <c r="E54">
        <f>ROUND(IF(lpg[[#This Row],[zbiornik PB95]]&gt;15,0,(lpg[[#This Row],[km]]/2)*6/100),2)</f>
        <v>0</v>
      </c>
      <c r="F54">
        <f>ROUND(IF(lpg[[#This Row],[zbiornik LPG]]&gt;15,lpg[[#This Row],[km]]*9/100,(lpg[[#This Row],[km]]/2)*9/100),2)</f>
        <v>1.04</v>
      </c>
      <c r="I54">
        <f>WEEKDAY(lpg[[#This Row],[data]],2)</f>
        <v>6</v>
      </c>
    </row>
    <row r="55" spans="1:9" x14ac:dyDescent="0.25">
      <c r="A55" s="1">
        <v>41693</v>
      </c>
      <c r="B55">
        <v>116</v>
      </c>
      <c r="C55">
        <f t="shared" si="0"/>
        <v>45</v>
      </c>
      <c r="D55">
        <f t="shared" si="1"/>
        <v>-189.48000000000005</v>
      </c>
      <c r="E55">
        <f>ROUND(IF(lpg[[#This Row],[zbiornik PB95]]&gt;15,0,(lpg[[#This Row],[km]]/2)*6/100),2)</f>
        <v>0</v>
      </c>
      <c r="F55">
        <f>ROUND(IF(lpg[[#This Row],[zbiornik LPG]]&gt;15,lpg[[#This Row],[km]]*9/100,(lpg[[#This Row],[km]]/2)*9/100),2)</f>
        <v>5.22</v>
      </c>
      <c r="I55">
        <f>WEEKDAY(lpg[[#This Row],[data]],2)</f>
        <v>7</v>
      </c>
    </row>
    <row r="56" spans="1:9" x14ac:dyDescent="0.25">
      <c r="A56" s="1">
        <v>41694</v>
      </c>
      <c r="B56">
        <v>77</v>
      </c>
      <c r="C56">
        <f t="shared" si="0"/>
        <v>45</v>
      </c>
      <c r="D56">
        <f t="shared" si="1"/>
        <v>-194.70000000000005</v>
      </c>
      <c r="E56">
        <f>ROUND(IF(lpg[[#This Row],[zbiornik PB95]]&gt;15,0,(lpg[[#This Row],[km]]/2)*6/100),2)</f>
        <v>0</v>
      </c>
      <c r="F56">
        <f>ROUND(IF(lpg[[#This Row],[zbiornik LPG]]&gt;15,lpg[[#This Row],[km]]*9/100,(lpg[[#This Row],[km]]/2)*9/100),2)</f>
        <v>3.47</v>
      </c>
      <c r="I56">
        <f>WEEKDAY(lpg[[#This Row],[data]],2)</f>
        <v>1</v>
      </c>
    </row>
    <row r="57" spans="1:9" x14ac:dyDescent="0.25">
      <c r="A57" s="1">
        <v>41695</v>
      </c>
      <c r="B57">
        <v>126</v>
      </c>
      <c r="C57">
        <f t="shared" si="0"/>
        <v>45</v>
      </c>
      <c r="D57">
        <f t="shared" si="1"/>
        <v>-198.17000000000004</v>
      </c>
      <c r="E57">
        <f>ROUND(IF(lpg[[#This Row],[zbiornik PB95]]&gt;15,0,(lpg[[#This Row],[km]]/2)*6/100),2)</f>
        <v>0</v>
      </c>
      <c r="F57">
        <f>ROUND(IF(lpg[[#This Row],[zbiornik LPG]]&gt;15,lpg[[#This Row],[km]]*9/100,(lpg[[#This Row],[km]]/2)*9/100),2)</f>
        <v>5.67</v>
      </c>
      <c r="I57">
        <f>WEEKDAY(lpg[[#This Row],[data]],2)</f>
        <v>2</v>
      </c>
    </row>
    <row r="58" spans="1:9" x14ac:dyDescent="0.25">
      <c r="A58" s="1">
        <v>41696</v>
      </c>
      <c r="B58">
        <v>123</v>
      </c>
      <c r="C58">
        <f t="shared" si="0"/>
        <v>45</v>
      </c>
      <c r="D58">
        <f t="shared" si="1"/>
        <v>-203.84000000000003</v>
      </c>
      <c r="E58">
        <f>ROUND(IF(lpg[[#This Row],[zbiornik PB95]]&gt;15,0,(lpg[[#This Row],[km]]/2)*6/100),2)</f>
        <v>0</v>
      </c>
      <c r="F58">
        <f>ROUND(IF(lpg[[#This Row],[zbiornik LPG]]&gt;15,lpg[[#This Row],[km]]*9/100,(lpg[[#This Row],[km]]/2)*9/100),2)</f>
        <v>5.54</v>
      </c>
      <c r="I58">
        <f>WEEKDAY(lpg[[#This Row],[data]],2)</f>
        <v>3</v>
      </c>
    </row>
    <row r="59" spans="1:9" x14ac:dyDescent="0.25">
      <c r="A59" s="1">
        <v>41697</v>
      </c>
      <c r="B59">
        <v>33</v>
      </c>
      <c r="C59">
        <f t="shared" si="0"/>
        <v>45</v>
      </c>
      <c r="D59">
        <f t="shared" si="1"/>
        <v>-209.38000000000002</v>
      </c>
      <c r="E59">
        <f>ROUND(IF(lpg[[#This Row],[zbiornik PB95]]&gt;15,0,(lpg[[#This Row],[km]]/2)*6/100),2)</f>
        <v>0</v>
      </c>
      <c r="F59">
        <f>ROUND(IF(lpg[[#This Row],[zbiornik LPG]]&gt;15,lpg[[#This Row],[km]]*9/100,(lpg[[#This Row],[km]]/2)*9/100),2)</f>
        <v>1.49</v>
      </c>
      <c r="I59">
        <f>WEEKDAY(lpg[[#This Row],[data]],2)</f>
        <v>4</v>
      </c>
    </row>
    <row r="60" spans="1:9" x14ac:dyDescent="0.25">
      <c r="A60" s="1">
        <v>41698</v>
      </c>
      <c r="B60">
        <v>34</v>
      </c>
      <c r="C60">
        <f t="shared" si="0"/>
        <v>45</v>
      </c>
      <c r="D60">
        <f t="shared" si="1"/>
        <v>-210.87000000000003</v>
      </c>
      <c r="E60">
        <f>ROUND(IF(lpg[[#This Row],[zbiornik PB95]]&gt;15,0,(lpg[[#This Row],[km]]/2)*6/100),2)</f>
        <v>0</v>
      </c>
      <c r="F60">
        <f>ROUND(IF(lpg[[#This Row],[zbiornik LPG]]&gt;15,lpg[[#This Row],[km]]*9/100,(lpg[[#This Row],[km]]/2)*9/100),2)</f>
        <v>1.53</v>
      </c>
      <c r="I60">
        <f>WEEKDAY(lpg[[#This Row],[data]],2)</f>
        <v>5</v>
      </c>
    </row>
    <row r="61" spans="1:9" x14ac:dyDescent="0.25">
      <c r="A61" s="1">
        <v>41699</v>
      </c>
      <c r="B61">
        <v>137</v>
      </c>
      <c r="C61">
        <f t="shared" si="0"/>
        <v>45</v>
      </c>
      <c r="D61">
        <f t="shared" si="1"/>
        <v>-212.40000000000003</v>
      </c>
      <c r="E61">
        <f>ROUND(IF(lpg[[#This Row],[zbiornik PB95]]&gt;15,0,(lpg[[#This Row],[km]]/2)*6/100),2)</f>
        <v>0</v>
      </c>
      <c r="F61">
        <f>ROUND(IF(lpg[[#This Row],[zbiornik LPG]]&gt;15,lpg[[#This Row],[km]]*9/100,(lpg[[#This Row],[km]]/2)*9/100),2)</f>
        <v>6.17</v>
      </c>
      <c r="I61">
        <f>WEEKDAY(lpg[[#This Row],[data]],2)</f>
        <v>6</v>
      </c>
    </row>
    <row r="62" spans="1:9" x14ac:dyDescent="0.25">
      <c r="A62" s="1">
        <v>41700</v>
      </c>
      <c r="B62">
        <v>39</v>
      </c>
      <c r="C62">
        <f t="shared" si="0"/>
        <v>45</v>
      </c>
      <c r="D62">
        <f t="shared" si="1"/>
        <v>-218.57000000000002</v>
      </c>
      <c r="E62">
        <f>ROUND(IF(lpg[[#This Row],[zbiornik PB95]]&gt;15,0,(lpg[[#This Row],[km]]/2)*6/100),2)</f>
        <v>0</v>
      </c>
      <c r="F62">
        <f>ROUND(IF(lpg[[#This Row],[zbiornik LPG]]&gt;15,lpg[[#This Row],[km]]*9/100,(lpg[[#This Row],[km]]/2)*9/100),2)</f>
        <v>1.76</v>
      </c>
      <c r="I62">
        <f>WEEKDAY(lpg[[#This Row],[data]],2)</f>
        <v>7</v>
      </c>
    </row>
    <row r="63" spans="1:9" x14ac:dyDescent="0.25">
      <c r="A63" s="1">
        <v>41701</v>
      </c>
      <c r="B63">
        <v>99</v>
      </c>
      <c r="C63">
        <f t="shared" si="0"/>
        <v>45</v>
      </c>
      <c r="D63">
        <f t="shared" si="1"/>
        <v>-220.33</v>
      </c>
      <c r="E63">
        <f>ROUND(IF(lpg[[#This Row],[zbiornik PB95]]&gt;15,0,(lpg[[#This Row],[km]]/2)*6/100),2)</f>
        <v>0</v>
      </c>
      <c r="F63">
        <f>ROUND(IF(lpg[[#This Row],[zbiornik LPG]]&gt;15,lpg[[#This Row],[km]]*9/100,(lpg[[#This Row],[km]]/2)*9/100),2)</f>
        <v>4.46</v>
      </c>
      <c r="I63">
        <f>WEEKDAY(lpg[[#This Row],[data]],2)</f>
        <v>1</v>
      </c>
    </row>
    <row r="64" spans="1:9" x14ac:dyDescent="0.25">
      <c r="A64" s="1">
        <v>41702</v>
      </c>
      <c r="B64">
        <v>65</v>
      </c>
      <c r="C64">
        <f t="shared" si="0"/>
        <v>45</v>
      </c>
      <c r="D64">
        <f t="shared" si="1"/>
        <v>-224.79000000000002</v>
      </c>
      <c r="E64">
        <f>ROUND(IF(lpg[[#This Row],[zbiornik PB95]]&gt;15,0,(lpg[[#This Row],[km]]/2)*6/100),2)</f>
        <v>0</v>
      </c>
      <c r="F64">
        <f>ROUND(IF(lpg[[#This Row],[zbiornik LPG]]&gt;15,lpg[[#This Row],[km]]*9/100,(lpg[[#This Row],[km]]/2)*9/100),2)</f>
        <v>2.93</v>
      </c>
      <c r="I64">
        <f>WEEKDAY(lpg[[#This Row],[data]],2)</f>
        <v>2</v>
      </c>
    </row>
    <row r="65" spans="1:9" x14ac:dyDescent="0.25">
      <c r="A65" s="1">
        <v>41703</v>
      </c>
      <c r="B65">
        <v>81</v>
      </c>
      <c r="C65">
        <f t="shared" si="0"/>
        <v>45</v>
      </c>
      <c r="D65">
        <f t="shared" si="1"/>
        <v>-227.72000000000003</v>
      </c>
      <c r="E65">
        <f>ROUND(IF(lpg[[#This Row],[zbiornik PB95]]&gt;15,0,(lpg[[#This Row],[km]]/2)*6/100),2)</f>
        <v>0</v>
      </c>
      <c r="F65">
        <f>ROUND(IF(lpg[[#This Row],[zbiornik LPG]]&gt;15,lpg[[#This Row],[km]]*9/100,(lpg[[#This Row],[km]]/2)*9/100),2)</f>
        <v>3.65</v>
      </c>
      <c r="I65">
        <f>WEEKDAY(lpg[[#This Row],[data]],2)</f>
        <v>3</v>
      </c>
    </row>
    <row r="66" spans="1:9" x14ac:dyDescent="0.25">
      <c r="A66" s="1">
        <v>41704</v>
      </c>
      <c r="B66">
        <v>42</v>
      </c>
      <c r="C66">
        <f t="shared" si="0"/>
        <v>45</v>
      </c>
      <c r="D66">
        <f t="shared" si="1"/>
        <v>-231.37000000000003</v>
      </c>
      <c r="E66">
        <f>ROUND(IF(lpg[[#This Row],[zbiornik PB95]]&gt;15,0,(lpg[[#This Row],[km]]/2)*6/100),2)</f>
        <v>0</v>
      </c>
      <c r="F66">
        <f>ROUND(IF(lpg[[#This Row],[zbiornik LPG]]&gt;15,lpg[[#This Row],[km]]*9/100,(lpg[[#This Row],[km]]/2)*9/100),2)</f>
        <v>1.89</v>
      </c>
      <c r="I66">
        <f>WEEKDAY(lpg[[#This Row],[data]],2)</f>
        <v>4</v>
      </c>
    </row>
    <row r="67" spans="1:9" x14ac:dyDescent="0.25">
      <c r="A67" s="1">
        <v>41705</v>
      </c>
      <c r="B67">
        <v>73</v>
      </c>
      <c r="C67">
        <f t="shared" si="0"/>
        <v>45</v>
      </c>
      <c r="D67">
        <f t="shared" si="1"/>
        <v>-233.26000000000002</v>
      </c>
      <c r="E67">
        <f>ROUND(IF(lpg[[#This Row],[zbiornik PB95]]&gt;15,0,(lpg[[#This Row],[km]]/2)*6/100),2)</f>
        <v>0</v>
      </c>
      <c r="F67">
        <f>ROUND(IF(lpg[[#This Row],[zbiornik LPG]]&gt;15,lpg[[#This Row],[km]]*9/100,(lpg[[#This Row],[km]]/2)*9/100),2)</f>
        <v>3.29</v>
      </c>
      <c r="I67">
        <f>WEEKDAY(lpg[[#This Row],[data]],2)</f>
        <v>5</v>
      </c>
    </row>
    <row r="68" spans="1:9" x14ac:dyDescent="0.25">
      <c r="A68" s="1">
        <v>41706</v>
      </c>
      <c r="B68">
        <v>95</v>
      </c>
      <c r="C68">
        <f t="shared" ref="C68:C131" si="2">C67-E67</f>
        <v>45</v>
      </c>
      <c r="D68">
        <f t="shared" ref="D68:D131" si="3">D67-F67</f>
        <v>-236.55</v>
      </c>
      <c r="E68">
        <f>ROUND(IF(lpg[[#This Row],[zbiornik PB95]]&gt;15,0,(lpg[[#This Row],[km]]/2)*6/100),2)</f>
        <v>0</v>
      </c>
      <c r="F68">
        <f>ROUND(IF(lpg[[#This Row],[zbiornik LPG]]&gt;15,lpg[[#This Row],[km]]*9/100,(lpg[[#This Row],[km]]/2)*9/100),2)</f>
        <v>4.28</v>
      </c>
      <c r="I68">
        <f>WEEKDAY(lpg[[#This Row],[data]],2)</f>
        <v>6</v>
      </c>
    </row>
    <row r="69" spans="1:9" x14ac:dyDescent="0.25">
      <c r="A69" s="1">
        <v>41707</v>
      </c>
      <c r="B69">
        <v>70</v>
      </c>
      <c r="C69">
        <f t="shared" si="2"/>
        <v>45</v>
      </c>
      <c r="D69">
        <f t="shared" si="3"/>
        <v>-240.83</v>
      </c>
      <c r="E69">
        <f>ROUND(IF(lpg[[#This Row],[zbiornik PB95]]&gt;15,0,(lpg[[#This Row],[km]]/2)*6/100),2)</f>
        <v>0</v>
      </c>
      <c r="F69">
        <f>ROUND(IF(lpg[[#This Row],[zbiornik LPG]]&gt;15,lpg[[#This Row],[km]]*9/100,(lpg[[#This Row],[km]]/2)*9/100),2)</f>
        <v>3.15</v>
      </c>
      <c r="I69">
        <f>WEEKDAY(lpg[[#This Row],[data]],2)</f>
        <v>7</v>
      </c>
    </row>
    <row r="70" spans="1:9" x14ac:dyDescent="0.25">
      <c r="A70" s="1">
        <v>41708</v>
      </c>
      <c r="B70">
        <v>18</v>
      </c>
      <c r="C70">
        <f t="shared" si="2"/>
        <v>45</v>
      </c>
      <c r="D70">
        <f t="shared" si="3"/>
        <v>-243.98000000000002</v>
      </c>
      <c r="E70">
        <f>ROUND(IF(lpg[[#This Row],[zbiornik PB95]]&gt;15,0,(lpg[[#This Row],[km]]/2)*6/100),2)</f>
        <v>0</v>
      </c>
      <c r="F70">
        <f>ROUND(IF(lpg[[#This Row],[zbiornik LPG]]&gt;15,lpg[[#This Row],[km]]*9/100,(lpg[[#This Row],[km]]/2)*9/100),2)</f>
        <v>0.81</v>
      </c>
      <c r="I70">
        <f>WEEKDAY(lpg[[#This Row],[data]],2)</f>
        <v>1</v>
      </c>
    </row>
    <row r="71" spans="1:9" x14ac:dyDescent="0.25">
      <c r="A71" s="1">
        <v>41709</v>
      </c>
      <c r="B71">
        <v>140</v>
      </c>
      <c r="C71">
        <f t="shared" si="2"/>
        <v>45</v>
      </c>
      <c r="D71">
        <f t="shared" si="3"/>
        <v>-244.79000000000002</v>
      </c>
      <c r="E71">
        <f>ROUND(IF(lpg[[#This Row],[zbiornik PB95]]&gt;15,0,(lpg[[#This Row],[km]]/2)*6/100),2)</f>
        <v>0</v>
      </c>
      <c r="F71">
        <f>ROUND(IF(lpg[[#This Row],[zbiornik LPG]]&gt;15,lpg[[#This Row],[km]]*9/100,(lpg[[#This Row],[km]]/2)*9/100),2)</f>
        <v>6.3</v>
      </c>
      <c r="I71">
        <f>WEEKDAY(lpg[[#This Row],[data]],2)</f>
        <v>2</v>
      </c>
    </row>
    <row r="72" spans="1:9" x14ac:dyDescent="0.25">
      <c r="A72" s="1">
        <v>41710</v>
      </c>
      <c r="B72">
        <v>35</v>
      </c>
      <c r="C72">
        <f t="shared" si="2"/>
        <v>45</v>
      </c>
      <c r="D72">
        <f t="shared" si="3"/>
        <v>-251.09000000000003</v>
      </c>
      <c r="E72">
        <f>ROUND(IF(lpg[[#This Row],[zbiornik PB95]]&gt;15,0,(lpg[[#This Row],[km]]/2)*6/100),2)</f>
        <v>0</v>
      </c>
      <c r="F72">
        <f>ROUND(IF(lpg[[#This Row],[zbiornik LPG]]&gt;15,lpg[[#This Row],[km]]*9/100,(lpg[[#This Row],[km]]/2)*9/100),2)</f>
        <v>1.58</v>
      </c>
      <c r="I72">
        <f>WEEKDAY(lpg[[#This Row],[data]],2)</f>
        <v>3</v>
      </c>
    </row>
    <row r="73" spans="1:9" x14ac:dyDescent="0.25">
      <c r="A73" s="1">
        <v>41711</v>
      </c>
      <c r="B73">
        <v>65</v>
      </c>
      <c r="C73">
        <f t="shared" si="2"/>
        <v>45</v>
      </c>
      <c r="D73">
        <f t="shared" si="3"/>
        <v>-252.67000000000004</v>
      </c>
      <c r="E73">
        <f>ROUND(IF(lpg[[#This Row],[zbiornik PB95]]&gt;15,0,(lpg[[#This Row],[km]]/2)*6/100),2)</f>
        <v>0</v>
      </c>
      <c r="F73">
        <f>ROUND(IF(lpg[[#This Row],[zbiornik LPG]]&gt;15,lpg[[#This Row],[km]]*9/100,(lpg[[#This Row],[km]]/2)*9/100),2)</f>
        <v>2.93</v>
      </c>
      <c r="I73">
        <f>WEEKDAY(lpg[[#This Row],[data]],2)</f>
        <v>4</v>
      </c>
    </row>
    <row r="74" spans="1:9" x14ac:dyDescent="0.25">
      <c r="A74" s="1">
        <v>41712</v>
      </c>
      <c r="B74">
        <v>225</v>
      </c>
      <c r="C74">
        <f t="shared" si="2"/>
        <v>45</v>
      </c>
      <c r="D74">
        <f t="shared" si="3"/>
        <v>-255.60000000000005</v>
      </c>
      <c r="E74">
        <f>ROUND(IF(lpg[[#This Row],[zbiornik PB95]]&gt;15,0,(lpg[[#This Row],[km]]/2)*6/100),2)</f>
        <v>0</v>
      </c>
      <c r="F74">
        <f>ROUND(IF(lpg[[#This Row],[zbiornik LPG]]&gt;15,lpg[[#This Row],[km]]*9/100,(lpg[[#This Row],[km]]/2)*9/100),2)</f>
        <v>10.130000000000001</v>
      </c>
      <c r="I74">
        <f>WEEKDAY(lpg[[#This Row],[data]],2)</f>
        <v>5</v>
      </c>
    </row>
    <row r="75" spans="1:9" x14ac:dyDescent="0.25">
      <c r="A75" s="1">
        <v>41713</v>
      </c>
      <c r="B75">
        <v>138</v>
      </c>
      <c r="C75">
        <f t="shared" si="2"/>
        <v>45</v>
      </c>
      <c r="D75">
        <f t="shared" si="3"/>
        <v>-265.73000000000008</v>
      </c>
      <c r="E75">
        <f>ROUND(IF(lpg[[#This Row],[zbiornik PB95]]&gt;15,0,(lpg[[#This Row],[km]]/2)*6/100),2)</f>
        <v>0</v>
      </c>
      <c r="F75">
        <f>ROUND(IF(lpg[[#This Row],[zbiornik LPG]]&gt;15,lpg[[#This Row],[km]]*9/100,(lpg[[#This Row],[km]]/2)*9/100),2)</f>
        <v>6.21</v>
      </c>
      <c r="I75">
        <f>WEEKDAY(lpg[[#This Row],[data]],2)</f>
        <v>6</v>
      </c>
    </row>
    <row r="76" spans="1:9" x14ac:dyDescent="0.25">
      <c r="A76" s="1">
        <v>41714</v>
      </c>
      <c r="B76">
        <v>64</v>
      </c>
      <c r="C76">
        <f t="shared" si="2"/>
        <v>45</v>
      </c>
      <c r="D76">
        <f t="shared" si="3"/>
        <v>-271.94000000000005</v>
      </c>
      <c r="E76">
        <f>ROUND(IF(lpg[[#This Row],[zbiornik PB95]]&gt;15,0,(lpg[[#This Row],[km]]/2)*6/100),2)</f>
        <v>0</v>
      </c>
      <c r="F76">
        <f>ROUND(IF(lpg[[#This Row],[zbiornik LPG]]&gt;15,lpg[[#This Row],[km]]*9/100,(lpg[[#This Row],[km]]/2)*9/100),2)</f>
        <v>2.88</v>
      </c>
      <c r="I76">
        <f>WEEKDAY(lpg[[#This Row],[data]],2)</f>
        <v>7</v>
      </c>
    </row>
    <row r="77" spans="1:9" x14ac:dyDescent="0.25">
      <c r="A77" s="1">
        <v>41715</v>
      </c>
      <c r="B77">
        <v>73</v>
      </c>
      <c r="C77">
        <f t="shared" si="2"/>
        <v>45</v>
      </c>
      <c r="D77">
        <f t="shared" si="3"/>
        <v>-274.82000000000005</v>
      </c>
      <c r="E77">
        <f>ROUND(IF(lpg[[#This Row],[zbiornik PB95]]&gt;15,0,(lpg[[#This Row],[km]]/2)*6/100),2)</f>
        <v>0</v>
      </c>
      <c r="F77">
        <f>ROUND(IF(lpg[[#This Row],[zbiornik LPG]]&gt;15,lpg[[#This Row],[km]]*9/100,(lpg[[#This Row],[km]]/2)*9/100),2)</f>
        <v>3.29</v>
      </c>
      <c r="I77">
        <f>WEEKDAY(lpg[[#This Row],[data]],2)</f>
        <v>1</v>
      </c>
    </row>
    <row r="78" spans="1:9" x14ac:dyDescent="0.25">
      <c r="A78" s="1">
        <v>41716</v>
      </c>
      <c r="B78">
        <v>109</v>
      </c>
      <c r="C78">
        <f t="shared" si="2"/>
        <v>45</v>
      </c>
      <c r="D78">
        <f t="shared" si="3"/>
        <v>-278.11000000000007</v>
      </c>
      <c r="E78">
        <f>ROUND(IF(lpg[[#This Row],[zbiornik PB95]]&gt;15,0,(lpg[[#This Row],[km]]/2)*6/100),2)</f>
        <v>0</v>
      </c>
      <c r="F78">
        <f>ROUND(IF(lpg[[#This Row],[zbiornik LPG]]&gt;15,lpg[[#This Row],[km]]*9/100,(lpg[[#This Row],[km]]/2)*9/100),2)</f>
        <v>4.91</v>
      </c>
      <c r="I78">
        <f>WEEKDAY(lpg[[#This Row],[data]],2)</f>
        <v>2</v>
      </c>
    </row>
    <row r="79" spans="1:9" x14ac:dyDescent="0.25">
      <c r="A79" s="1">
        <v>41717</v>
      </c>
      <c r="B79">
        <v>69</v>
      </c>
      <c r="C79">
        <f t="shared" si="2"/>
        <v>45</v>
      </c>
      <c r="D79">
        <f t="shared" si="3"/>
        <v>-283.0200000000001</v>
      </c>
      <c r="E79">
        <f>ROUND(IF(lpg[[#This Row],[zbiornik PB95]]&gt;15,0,(lpg[[#This Row],[km]]/2)*6/100),2)</f>
        <v>0</v>
      </c>
      <c r="F79">
        <f>ROUND(IF(lpg[[#This Row],[zbiornik LPG]]&gt;15,lpg[[#This Row],[km]]*9/100,(lpg[[#This Row],[km]]/2)*9/100),2)</f>
        <v>3.11</v>
      </c>
      <c r="I79">
        <f>WEEKDAY(lpg[[#This Row],[data]],2)</f>
        <v>3</v>
      </c>
    </row>
    <row r="80" spans="1:9" x14ac:dyDescent="0.25">
      <c r="A80" s="1">
        <v>41718</v>
      </c>
      <c r="B80">
        <v>21</v>
      </c>
      <c r="C80">
        <f t="shared" si="2"/>
        <v>45</v>
      </c>
      <c r="D80">
        <f t="shared" si="3"/>
        <v>-286.13000000000011</v>
      </c>
      <c r="E80">
        <f>ROUND(IF(lpg[[#This Row],[zbiornik PB95]]&gt;15,0,(lpg[[#This Row],[km]]/2)*6/100),2)</f>
        <v>0</v>
      </c>
      <c r="F80">
        <f>ROUND(IF(lpg[[#This Row],[zbiornik LPG]]&gt;15,lpg[[#This Row],[km]]*9/100,(lpg[[#This Row],[km]]/2)*9/100),2)</f>
        <v>0.95</v>
      </c>
      <c r="I80">
        <f>WEEKDAY(lpg[[#This Row],[data]],2)</f>
        <v>4</v>
      </c>
    </row>
    <row r="81" spans="1:9" x14ac:dyDescent="0.25">
      <c r="A81" s="1">
        <v>41719</v>
      </c>
      <c r="B81">
        <v>116</v>
      </c>
      <c r="C81">
        <f t="shared" si="2"/>
        <v>45</v>
      </c>
      <c r="D81">
        <f t="shared" si="3"/>
        <v>-287.0800000000001</v>
      </c>
      <c r="E81">
        <f>ROUND(IF(lpg[[#This Row],[zbiornik PB95]]&gt;15,0,(lpg[[#This Row],[km]]/2)*6/100),2)</f>
        <v>0</v>
      </c>
      <c r="F81">
        <f>ROUND(IF(lpg[[#This Row],[zbiornik LPG]]&gt;15,lpg[[#This Row],[km]]*9/100,(lpg[[#This Row],[km]]/2)*9/100),2)</f>
        <v>5.22</v>
      </c>
      <c r="I81">
        <f>WEEKDAY(lpg[[#This Row],[data]],2)</f>
        <v>5</v>
      </c>
    </row>
    <row r="82" spans="1:9" x14ac:dyDescent="0.25">
      <c r="A82" s="1">
        <v>41720</v>
      </c>
      <c r="B82">
        <v>47</v>
      </c>
      <c r="C82">
        <f t="shared" si="2"/>
        <v>45</v>
      </c>
      <c r="D82">
        <f t="shared" si="3"/>
        <v>-292.30000000000013</v>
      </c>
      <c r="E82">
        <f>ROUND(IF(lpg[[#This Row],[zbiornik PB95]]&gt;15,0,(lpg[[#This Row],[km]]/2)*6/100),2)</f>
        <v>0</v>
      </c>
      <c r="F82">
        <f>ROUND(IF(lpg[[#This Row],[zbiornik LPG]]&gt;15,lpg[[#This Row],[km]]*9/100,(lpg[[#This Row],[km]]/2)*9/100),2)</f>
        <v>2.12</v>
      </c>
      <c r="I82">
        <f>WEEKDAY(lpg[[#This Row],[data]],2)</f>
        <v>6</v>
      </c>
    </row>
    <row r="83" spans="1:9" x14ac:dyDescent="0.25">
      <c r="A83" s="1">
        <v>41721</v>
      </c>
      <c r="B83">
        <v>59</v>
      </c>
      <c r="C83">
        <f t="shared" si="2"/>
        <v>45</v>
      </c>
      <c r="D83">
        <f t="shared" si="3"/>
        <v>-294.42000000000013</v>
      </c>
      <c r="E83">
        <f>ROUND(IF(lpg[[#This Row],[zbiornik PB95]]&gt;15,0,(lpg[[#This Row],[km]]/2)*6/100),2)</f>
        <v>0</v>
      </c>
      <c r="F83">
        <f>ROUND(IF(lpg[[#This Row],[zbiornik LPG]]&gt;15,lpg[[#This Row],[km]]*9/100,(lpg[[#This Row],[km]]/2)*9/100),2)</f>
        <v>2.66</v>
      </c>
      <c r="I83">
        <f>WEEKDAY(lpg[[#This Row],[data]],2)</f>
        <v>7</v>
      </c>
    </row>
    <row r="84" spans="1:9" x14ac:dyDescent="0.25">
      <c r="A84" s="1">
        <v>41722</v>
      </c>
      <c r="B84">
        <v>85</v>
      </c>
      <c r="C84">
        <f t="shared" si="2"/>
        <v>45</v>
      </c>
      <c r="D84">
        <f t="shared" si="3"/>
        <v>-297.08000000000015</v>
      </c>
      <c r="E84">
        <f>ROUND(IF(lpg[[#This Row],[zbiornik PB95]]&gt;15,0,(lpg[[#This Row],[km]]/2)*6/100),2)</f>
        <v>0</v>
      </c>
      <c r="F84">
        <f>ROUND(IF(lpg[[#This Row],[zbiornik LPG]]&gt;15,lpg[[#This Row],[km]]*9/100,(lpg[[#This Row],[km]]/2)*9/100),2)</f>
        <v>3.83</v>
      </c>
      <c r="I84">
        <f>WEEKDAY(lpg[[#This Row],[data]],2)</f>
        <v>1</v>
      </c>
    </row>
    <row r="85" spans="1:9" x14ac:dyDescent="0.25">
      <c r="A85" s="1">
        <v>41723</v>
      </c>
      <c r="B85">
        <v>46</v>
      </c>
      <c r="C85">
        <f t="shared" si="2"/>
        <v>45</v>
      </c>
      <c r="D85">
        <f t="shared" si="3"/>
        <v>-300.91000000000014</v>
      </c>
      <c r="E85">
        <f>ROUND(IF(lpg[[#This Row],[zbiornik PB95]]&gt;15,0,(lpg[[#This Row],[km]]/2)*6/100),2)</f>
        <v>0</v>
      </c>
      <c r="F85">
        <f>ROUND(IF(lpg[[#This Row],[zbiornik LPG]]&gt;15,lpg[[#This Row],[km]]*9/100,(lpg[[#This Row],[km]]/2)*9/100),2)</f>
        <v>2.0699999999999998</v>
      </c>
      <c r="I85">
        <f>WEEKDAY(lpg[[#This Row],[data]],2)</f>
        <v>2</v>
      </c>
    </row>
    <row r="86" spans="1:9" x14ac:dyDescent="0.25">
      <c r="A86" s="1">
        <v>41724</v>
      </c>
      <c r="B86">
        <v>41</v>
      </c>
      <c r="C86">
        <f t="shared" si="2"/>
        <v>45</v>
      </c>
      <c r="D86">
        <f t="shared" si="3"/>
        <v>-302.98000000000013</v>
      </c>
      <c r="E86">
        <f>ROUND(IF(lpg[[#This Row],[zbiornik PB95]]&gt;15,0,(lpg[[#This Row],[km]]/2)*6/100),2)</f>
        <v>0</v>
      </c>
      <c r="F86">
        <f>ROUND(IF(lpg[[#This Row],[zbiornik LPG]]&gt;15,lpg[[#This Row],[km]]*9/100,(lpg[[#This Row],[km]]/2)*9/100),2)</f>
        <v>1.85</v>
      </c>
      <c r="I86">
        <f>WEEKDAY(lpg[[#This Row],[data]],2)</f>
        <v>3</v>
      </c>
    </row>
    <row r="87" spans="1:9" x14ac:dyDescent="0.25">
      <c r="A87" s="1">
        <v>41725</v>
      </c>
      <c r="B87">
        <v>102</v>
      </c>
      <c r="C87">
        <f t="shared" si="2"/>
        <v>45</v>
      </c>
      <c r="D87">
        <f t="shared" si="3"/>
        <v>-304.83000000000015</v>
      </c>
      <c r="E87">
        <f>ROUND(IF(lpg[[#This Row],[zbiornik PB95]]&gt;15,0,(lpg[[#This Row],[km]]/2)*6/100),2)</f>
        <v>0</v>
      </c>
      <c r="F87">
        <f>ROUND(IF(lpg[[#This Row],[zbiornik LPG]]&gt;15,lpg[[#This Row],[km]]*9/100,(lpg[[#This Row],[km]]/2)*9/100),2)</f>
        <v>4.59</v>
      </c>
      <c r="I87">
        <f>WEEKDAY(lpg[[#This Row],[data]],2)</f>
        <v>4</v>
      </c>
    </row>
    <row r="88" spans="1:9" x14ac:dyDescent="0.25">
      <c r="A88" s="1">
        <v>41726</v>
      </c>
      <c r="B88">
        <v>129</v>
      </c>
      <c r="C88">
        <f t="shared" si="2"/>
        <v>45</v>
      </c>
      <c r="D88">
        <f t="shared" si="3"/>
        <v>-309.42000000000013</v>
      </c>
      <c r="E88">
        <f>ROUND(IF(lpg[[#This Row],[zbiornik PB95]]&gt;15,0,(lpg[[#This Row],[km]]/2)*6/100),2)</f>
        <v>0</v>
      </c>
      <c r="F88">
        <f>ROUND(IF(lpg[[#This Row],[zbiornik LPG]]&gt;15,lpg[[#This Row],[km]]*9/100,(lpg[[#This Row],[km]]/2)*9/100),2)</f>
        <v>5.81</v>
      </c>
      <c r="I88">
        <f>WEEKDAY(lpg[[#This Row],[data]],2)</f>
        <v>5</v>
      </c>
    </row>
    <row r="89" spans="1:9" x14ac:dyDescent="0.25">
      <c r="A89" s="1">
        <v>41727</v>
      </c>
      <c r="B89">
        <v>22</v>
      </c>
      <c r="C89">
        <f t="shared" si="2"/>
        <v>45</v>
      </c>
      <c r="D89">
        <f t="shared" si="3"/>
        <v>-315.23000000000013</v>
      </c>
      <c r="E89">
        <f>ROUND(IF(lpg[[#This Row],[zbiornik PB95]]&gt;15,0,(lpg[[#This Row],[km]]/2)*6/100),2)</f>
        <v>0</v>
      </c>
      <c r="F89">
        <f>ROUND(IF(lpg[[#This Row],[zbiornik LPG]]&gt;15,lpg[[#This Row],[km]]*9/100,(lpg[[#This Row],[km]]/2)*9/100),2)</f>
        <v>0.99</v>
      </c>
      <c r="I89">
        <f>WEEKDAY(lpg[[#This Row],[data]],2)</f>
        <v>6</v>
      </c>
    </row>
    <row r="90" spans="1:9" x14ac:dyDescent="0.25">
      <c r="A90" s="1">
        <v>41728</v>
      </c>
      <c r="B90">
        <v>25</v>
      </c>
      <c r="C90">
        <f t="shared" si="2"/>
        <v>45</v>
      </c>
      <c r="D90">
        <f t="shared" si="3"/>
        <v>-316.22000000000014</v>
      </c>
      <c r="E90">
        <f>ROUND(IF(lpg[[#This Row],[zbiornik PB95]]&gt;15,0,(lpg[[#This Row],[km]]/2)*6/100),2)</f>
        <v>0</v>
      </c>
      <c r="F90">
        <f>ROUND(IF(lpg[[#This Row],[zbiornik LPG]]&gt;15,lpg[[#This Row],[km]]*9/100,(lpg[[#This Row],[km]]/2)*9/100),2)</f>
        <v>1.1299999999999999</v>
      </c>
      <c r="I90">
        <f>WEEKDAY(lpg[[#This Row],[data]],2)</f>
        <v>7</v>
      </c>
    </row>
    <row r="91" spans="1:9" x14ac:dyDescent="0.25">
      <c r="A91" s="1">
        <v>41729</v>
      </c>
      <c r="B91">
        <v>26</v>
      </c>
      <c r="C91">
        <f t="shared" si="2"/>
        <v>45</v>
      </c>
      <c r="D91">
        <f t="shared" si="3"/>
        <v>-317.35000000000014</v>
      </c>
      <c r="E91">
        <f>ROUND(IF(lpg[[#This Row],[zbiornik PB95]]&gt;15,0,(lpg[[#This Row],[km]]/2)*6/100),2)</f>
        <v>0</v>
      </c>
      <c r="F91">
        <f>ROUND(IF(lpg[[#This Row],[zbiornik LPG]]&gt;15,lpg[[#This Row],[km]]*9/100,(lpg[[#This Row],[km]]/2)*9/100),2)</f>
        <v>1.17</v>
      </c>
      <c r="I91">
        <f>WEEKDAY(lpg[[#This Row],[data]],2)</f>
        <v>1</v>
      </c>
    </row>
    <row r="92" spans="1:9" x14ac:dyDescent="0.25">
      <c r="A92" s="1">
        <v>41730</v>
      </c>
      <c r="B92">
        <v>84</v>
      </c>
      <c r="C92">
        <f t="shared" si="2"/>
        <v>45</v>
      </c>
      <c r="D92">
        <f t="shared" si="3"/>
        <v>-318.52000000000015</v>
      </c>
      <c r="E92">
        <f>ROUND(IF(lpg[[#This Row],[zbiornik PB95]]&gt;15,0,(lpg[[#This Row],[km]]/2)*6/100),2)</f>
        <v>0</v>
      </c>
      <c r="F92">
        <f>ROUND(IF(lpg[[#This Row],[zbiornik LPG]]&gt;15,lpg[[#This Row],[km]]*9/100,(lpg[[#This Row],[km]]/2)*9/100),2)</f>
        <v>3.78</v>
      </c>
      <c r="I92">
        <f>WEEKDAY(lpg[[#This Row],[data]],2)</f>
        <v>2</v>
      </c>
    </row>
    <row r="93" spans="1:9" x14ac:dyDescent="0.25">
      <c r="A93" s="1">
        <v>41731</v>
      </c>
      <c r="B93">
        <v>129</v>
      </c>
      <c r="C93">
        <f t="shared" si="2"/>
        <v>45</v>
      </c>
      <c r="D93">
        <f t="shared" si="3"/>
        <v>-322.30000000000013</v>
      </c>
      <c r="E93">
        <f>ROUND(IF(lpg[[#This Row],[zbiornik PB95]]&gt;15,0,(lpg[[#This Row],[km]]/2)*6/100),2)</f>
        <v>0</v>
      </c>
      <c r="F93">
        <f>ROUND(IF(lpg[[#This Row],[zbiornik LPG]]&gt;15,lpg[[#This Row],[km]]*9/100,(lpg[[#This Row],[km]]/2)*9/100),2)</f>
        <v>5.81</v>
      </c>
      <c r="I93">
        <f>WEEKDAY(lpg[[#This Row],[data]],2)</f>
        <v>3</v>
      </c>
    </row>
    <row r="94" spans="1:9" x14ac:dyDescent="0.25">
      <c r="A94" s="1">
        <v>41732</v>
      </c>
      <c r="B94">
        <v>18</v>
      </c>
      <c r="C94">
        <f t="shared" si="2"/>
        <v>45</v>
      </c>
      <c r="D94">
        <f t="shared" si="3"/>
        <v>-328.11000000000013</v>
      </c>
      <c r="E94">
        <f>ROUND(IF(lpg[[#This Row],[zbiornik PB95]]&gt;15,0,(lpg[[#This Row],[km]]/2)*6/100),2)</f>
        <v>0</v>
      </c>
      <c r="F94">
        <f>ROUND(IF(lpg[[#This Row],[zbiornik LPG]]&gt;15,lpg[[#This Row],[km]]*9/100,(lpg[[#This Row],[km]]/2)*9/100),2)</f>
        <v>0.81</v>
      </c>
      <c r="I94">
        <f>WEEKDAY(lpg[[#This Row],[data]],2)</f>
        <v>4</v>
      </c>
    </row>
    <row r="95" spans="1:9" x14ac:dyDescent="0.25">
      <c r="A95" s="1">
        <v>41733</v>
      </c>
      <c r="B95">
        <v>60</v>
      </c>
      <c r="C95">
        <f t="shared" si="2"/>
        <v>45</v>
      </c>
      <c r="D95">
        <f t="shared" si="3"/>
        <v>-328.92000000000013</v>
      </c>
      <c r="E95">
        <f>ROUND(IF(lpg[[#This Row],[zbiornik PB95]]&gt;15,0,(lpg[[#This Row],[km]]/2)*6/100),2)</f>
        <v>0</v>
      </c>
      <c r="F95">
        <f>ROUND(IF(lpg[[#This Row],[zbiornik LPG]]&gt;15,lpg[[#This Row],[km]]*9/100,(lpg[[#This Row],[km]]/2)*9/100),2)</f>
        <v>2.7</v>
      </c>
      <c r="I95">
        <f>WEEKDAY(lpg[[#This Row],[data]],2)</f>
        <v>5</v>
      </c>
    </row>
    <row r="96" spans="1:9" x14ac:dyDescent="0.25">
      <c r="A96" s="1">
        <v>41734</v>
      </c>
      <c r="B96">
        <v>25</v>
      </c>
      <c r="C96">
        <f t="shared" si="2"/>
        <v>45</v>
      </c>
      <c r="D96">
        <f t="shared" si="3"/>
        <v>-331.62000000000012</v>
      </c>
      <c r="E96">
        <f>ROUND(IF(lpg[[#This Row],[zbiornik PB95]]&gt;15,0,(lpg[[#This Row],[km]]/2)*6/100),2)</f>
        <v>0</v>
      </c>
      <c r="F96">
        <f>ROUND(IF(lpg[[#This Row],[zbiornik LPG]]&gt;15,lpg[[#This Row],[km]]*9/100,(lpg[[#This Row],[km]]/2)*9/100),2)</f>
        <v>1.1299999999999999</v>
      </c>
      <c r="I96">
        <f>WEEKDAY(lpg[[#This Row],[data]],2)</f>
        <v>6</v>
      </c>
    </row>
    <row r="97" spans="1:9" x14ac:dyDescent="0.25">
      <c r="A97" s="1">
        <v>41735</v>
      </c>
      <c r="B97">
        <v>126</v>
      </c>
      <c r="C97">
        <f t="shared" si="2"/>
        <v>45</v>
      </c>
      <c r="D97">
        <f t="shared" si="3"/>
        <v>-332.75000000000011</v>
      </c>
      <c r="E97">
        <f>ROUND(IF(lpg[[#This Row],[zbiornik PB95]]&gt;15,0,(lpg[[#This Row],[km]]/2)*6/100),2)</f>
        <v>0</v>
      </c>
      <c r="F97">
        <f>ROUND(IF(lpg[[#This Row],[zbiornik LPG]]&gt;15,lpg[[#This Row],[km]]*9/100,(lpg[[#This Row],[km]]/2)*9/100),2)</f>
        <v>5.67</v>
      </c>
      <c r="I97">
        <f>WEEKDAY(lpg[[#This Row],[data]],2)</f>
        <v>7</v>
      </c>
    </row>
    <row r="98" spans="1:9" x14ac:dyDescent="0.25">
      <c r="A98" s="1">
        <v>41736</v>
      </c>
      <c r="B98">
        <v>35</v>
      </c>
      <c r="C98">
        <f t="shared" si="2"/>
        <v>45</v>
      </c>
      <c r="D98">
        <f t="shared" si="3"/>
        <v>-338.42000000000013</v>
      </c>
      <c r="E98">
        <f>ROUND(IF(lpg[[#This Row],[zbiornik PB95]]&gt;15,0,(lpg[[#This Row],[km]]/2)*6/100),2)</f>
        <v>0</v>
      </c>
      <c r="F98">
        <f>ROUND(IF(lpg[[#This Row],[zbiornik LPG]]&gt;15,lpg[[#This Row],[km]]*9/100,(lpg[[#This Row],[km]]/2)*9/100),2)</f>
        <v>1.58</v>
      </c>
      <c r="I98">
        <f>WEEKDAY(lpg[[#This Row],[data]],2)</f>
        <v>1</v>
      </c>
    </row>
    <row r="99" spans="1:9" x14ac:dyDescent="0.25">
      <c r="A99" s="1">
        <v>41737</v>
      </c>
      <c r="B99">
        <v>143</v>
      </c>
      <c r="C99">
        <f t="shared" si="2"/>
        <v>45</v>
      </c>
      <c r="D99">
        <f t="shared" si="3"/>
        <v>-340.00000000000011</v>
      </c>
      <c r="E99">
        <f>ROUND(IF(lpg[[#This Row],[zbiornik PB95]]&gt;15,0,(lpg[[#This Row],[km]]/2)*6/100),2)</f>
        <v>0</v>
      </c>
      <c r="F99">
        <f>ROUND(IF(lpg[[#This Row],[zbiornik LPG]]&gt;15,lpg[[#This Row],[km]]*9/100,(lpg[[#This Row],[km]]/2)*9/100),2)</f>
        <v>6.44</v>
      </c>
      <c r="I99">
        <f>WEEKDAY(lpg[[#This Row],[data]],2)</f>
        <v>2</v>
      </c>
    </row>
    <row r="100" spans="1:9" x14ac:dyDescent="0.25">
      <c r="A100" s="1">
        <v>41738</v>
      </c>
      <c r="B100">
        <v>89</v>
      </c>
      <c r="C100">
        <f t="shared" si="2"/>
        <v>45</v>
      </c>
      <c r="D100">
        <f t="shared" si="3"/>
        <v>-346.44000000000011</v>
      </c>
      <c r="E100">
        <f>ROUND(IF(lpg[[#This Row],[zbiornik PB95]]&gt;15,0,(lpg[[#This Row],[km]]/2)*6/100),2)</f>
        <v>0</v>
      </c>
      <c r="F100">
        <f>ROUND(IF(lpg[[#This Row],[zbiornik LPG]]&gt;15,lpg[[#This Row],[km]]*9/100,(lpg[[#This Row],[km]]/2)*9/100),2)</f>
        <v>4.01</v>
      </c>
      <c r="I100">
        <f>WEEKDAY(lpg[[#This Row],[data]],2)</f>
        <v>3</v>
      </c>
    </row>
    <row r="101" spans="1:9" x14ac:dyDescent="0.25">
      <c r="A101" s="1">
        <v>41739</v>
      </c>
      <c r="B101">
        <v>60</v>
      </c>
      <c r="C101">
        <f t="shared" si="2"/>
        <v>45</v>
      </c>
      <c r="D101">
        <f t="shared" si="3"/>
        <v>-350.4500000000001</v>
      </c>
      <c r="E101">
        <f>ROUND(IF(lpg[[#This Row],[zbiornik PB95]]&gt;15,0,(lpg[[#This Row],[km]]/2)*6/100),2)</f>
        <v>0</v>
      </c>
      <c r="F101">
        <f>ROUND(IF(lpg[[#This Row],[zbiornik LPG]]&gt;15,lpg[[#This Row],[km]]*9/100,(lpg[[#This Row],[km]]/2)*9/100),2)</f>
        <v>2.7</v>
      </c>
      <c r="I101">
        <f>WEEKDAY(lpg[[#This Row],[data]],2)</f>
        <v>4</v>
      </c>
    </row>
    <row r="102" spans="1:9" x14ac:dyDescent="0.25">
      <c r="A102" s="1">
        <v>41740</v>
      </c>
      <c r="B102">
        <v>52</v>
      </c>
      <c r="C102">
        <f t="shared" si="2"/>
        <v>45</v>
      </c>
      <c r="D102">
        <f t="shared" si="3"/>
        <v>-353.15000000000009</v>
      </c>
      <c r="E102">
        <f>ROUND(IF(lpg[[#This Row],[zbiornik PB95]]&gt;15,0,(lpg[[#This Row],[km]]/2)*6/100),2)</f>
        <v>0</v>
      </c>
      <c r="F102">
        <f>ROUND(IF(lpg[[#This Row],[zbiornik LPG]]&gt;15,lpg[[#This Row],[km]]*9/100,(lpg[[#This Row],[km]]/2)*9/100),2)</f>
        <v>2.34</v>
      </c>
      <c r="I102">
        <f>WEEKDAY(lpg[[#This Row],[data]],2)</f>
        <v>5</v>
      </c>
    </row>
    <row r="103" spans="1:9" x14ac:dyDescent="0.25">
      <c r="A103" s="1">
        <v>41741</v>
      </c>
      <c r="B103">
        <v>24</v>
      </c>
      <c r="C103">
        <f t="shared" si="2"/>
        <v>45</v>
      </c>
      <c r="D103">
        <f t="shared" si="3"/>
        <v>-355.49000000000007</v>
      </c>
      <c r="E103">
        <f>ROUND(IF(lpg[[#This Row],[zbiornik PB95]]&gt;15,0,(lpg[[#This Row],[km]]/2)*6/100),2)</f>
        <v>0</v>
      </c>
      <c r="F103">
        <f>ROUND(IF(lpg[[#This Row],[zbiornik LPG]]&gt;15,lpg[[#This Row],[km]]*9/100,(lpg[[#This Row],[km]]/2)*9/100),2)</f>
        <v>1.08</v>
      </c>
      <c r="I103">
        <f>WEEKDAY(lpg[[#This Row],[data]],2)</f>
        <v>6</v>
      </c>
    </row>
    <row r="104" spans="1:9" x14ac:dyDescent="0.25">
      <c r="A104" s="1">
        <v>41742</v>
      </c>
      <c r="B104">
        <v>80</v>
      </c>
      <c r="C104">
        <f t="shared" si="2"/>
        <v>45</v>
      </c>
      <c r="D104">
        <f t="shared" si="3"/>
        <v>-356.57000000000005</v>
      </c>
      <c r="E104">
        <f>ROUND(IF(lpg[[#This Row],[zbiornik PB95]]&gt;15,0,(lpg[[#This Row],[km]]/2)*6/100),2)</f>
        <v>0</v>
      </c>
      <c r="F104">
        <f>ROUND(IF(lpg[[#This Row],[zbiornik LPG]]&gt;15,lpg[[#This Row],[km]]*9/100,(lpg[[#This Row],[km]]/2)*9/100),2)</f>
        <v>3.6</v>
      </c>
      <c r="I104">
        <f>WEEKDAY(lpg[[#This Row],[data]],2)</f>
        <v>7</v>
      </c>
    </row>
    <row r="105" spans="1:9" x14ac:dyDescent="0.25">
      <c r="A105" s="1">
        <v>41743</v>
      </c>
      <c r="B105">
        <v>79</v>
      </c>
      <c r="C105">
        <f t="shared" si="2"/>
        <v>45</v>
      </c>
      <c r="D105">
        <f t="shared" si="3"/>
        <v>-360.17000000000007</v>
      </c>
      <c r="E105">
        <f>ROUND(IF(lpg[[#This Row],[zbiornik PB95]]&gt;15,0,(lpg[[#This Row],[km]]/2)*6/100),2)</f>
        <v>0</v>
      </c>
      <c r="F105">
        <f>ROUND(IF(lpg[[#This Row],[zbiornik LPG]]&gt;15,lpg[[#This Row],[km]]*9/100,(lpg[[#This Row],[km]]/2)*9/100),2)</f>
        <v>3.56</v>
      </c>
      <c r="I105">
        <f>WEEKDAY(lpg[[#This Row],[data]],2)</f>
        <v>1</v>
      </c>
    </row>
    <row r="106" spans="1:9" x14ac:dyDescent="0.25">
      <c r="A106" s="1">
        <v>41744</v>
      </c>
      <c r="B106">
        <v>115</v>
      </c>
      <c r="C106">
        <f t="shared" si="2"/>
        <v>45</v>
      </c>
      <c r="D106">
        <f t="shared" si="3"/>
        <v>-363.73000000000008</v>
      </c>
      <c r="E106">
        <f>ROUND(IF(lpg[[#This Row],[zbiornik PB95]]&gt;15,0,(lpg[[#This Row],[km]]/2)*6/100),2)</f>
        <v>0</v>
      </c>
      <c r="F106">
        <f>ROUND(IF(lpg[[#This Row],[zbiornik LPG]]&gt;15,lpg[[#This Row],[km]]*9/100,(lpg[[#This Row],[km]]/2)*9/100),2)</f>
        <v>5.18</v>
      </c>
      <c r="I106">
        <f>WEEKDAY(lpg[[#This Row],[data]],2)</f>
        <v>2</v>
      </c>
    </row>
    <row r="107" spans="1:9" x14ac:dyDescent="0.25">
      <c r="A107" s="1">
        <v>41745</v>
      </c>
      <c r="B107">
        <v>55</v>
      </c>
      <c r="C107">
        <f t="shared" si="2"/>
        <v>45</v>
      </c>
      <c r="D107">
        <f t="shared" si="3"/>
        <v>-368.91000000000008</v>
      </c>
      <c r="E107">
        <f>ROUND(IF(lpg[[#This Row],[zbiornik PB95]]&gt;15,0,(lpg[[#This Row],[km]]/2)*6/100),2)</f>
        <v>0</v>
      </c>
      <c r="F107">
        <f>ROUND(IF(lpg[[#This Row],[zbiornik LPG]]&gt;15,lpg[[#This Row],[km]]*9/100,(lpg[[#This Row],[km]]/2)*9/100),2)</f>
        <v>2.48</v>
      </c>
      <c r="I107">
        <f>WEEKDAY(lpg[[#This Row],[data]],2)</f>
        <v>3</v>
      </c>
    </row>
    <row r="108" spans="1:9" x14ac:dyDescent="0.25">
      <c r="A108" s="1">
        <v>41746</v>
      </c>
      <c r="B108">
        <v>124</v>
      </c>
      <c r="C108">
        <f t="shared" si="2"/>
        <v>45</v>
      </c>
      <c r="D108">
        <f t="shared" si="3"/>
        <v>-371.3900000000001</v>
      </c>
      <c r="E108">
        <f>ROUND(IF(lpg[[#This Row],[zbiornik PB95]]&gt;15,0,(lpg[[#This Row],[km]]/2)*6/100),2)</f>
        <v>0</v>
      </c>
      <c r="F108">
        <f>ROUND(IF(lpg[[#This Row],[zbiornik LPG]]&gt;15,lpg[[#This Row],[km]]*9/100,(lpg[[#This Row],[km]]/2)*9/100),2)</f>
        <v>5.58</v>
      </c>
      <c r="I108">
        <f>WEEKDAY(lpg[[#This Row],[data]],2)</f>
        <v>4</v>
      </c>
    </row>
    <row r="109" spans="1:9" x14ac:dyDescent="0.25">
      <c r="A109" s="1">
        <v>41747</v>
      </c>
      <c r="B109">
        <v>104</v>
      </c>
      <c r="C109">
        <f t="shared" si="2"/>
        <v>45</v>
      </c>
      <c r="D109">
        <f t="shared" si="3"/>
        <v>-376.97000000000008</v>
      </c>
      <c r="E109">
        <f>ROUND(IF(lpg[[#This Row],[zbiornik PB95]]&gt;15,0,(lpg[[#This Row],[km]]/2)*6/100),2)</f>
        <v>0</v>
      </c>
      <c r="F109">
        <f>ROUND(IF(lpg[[#This Row],[zbiornik LPG]]&gt;15,lpg[[#This Row],[km]]*9/100,(lpg[[#This Row],[km]]/2)*9/100),2)</f>
        <v>4.68</v>
      </c>
      <c r="I109">
        <f>WEEKDAY(lpg[[#This Row],[data]],2)</f>
        <v>5</v>
      </c>
    </row>
    <row r="110" spans="1:9" x14ac:dyDescent="0.25">
      <c r="A110" s="1">
        <v>41748</v>
      </c>
      <c r="B110">
        <v>20</v>
      </c>
      <c r="C110">
        <f t="shared" si="2"/>
        <v>45</v>
      </c>
      <c r="D110">
        <f t="shared" si="3"/>
        <v>-381.65000000000009</v>
      </c>
      <c r="E110">
        <f>ROUND(IF(lpg[[#This Row],[zbiornik PB95]]&gt;15,0,(lpg[[#This Row],[km]]/2)*6/100),2)</f>
        <v>0</v>
      </c>
      <c r="F110">
        <f>ROUND(IF(lpg[[#This Row],[zbiornik LPG]]&gt;15,lpg[[#This Row],[km]]*9/100,(lpg[[#This Row],[km]]/2)*9/100),2)</f>
        <v>0.9</v>
      </c>
      <c r="I110">
        <f>WEEKDAY(lpg[[#This Row],[data]],2)</f>
        <v>6</v>
      </c>
    </row>
    <row r="111" spans="1:9" x14ac:dyDescent="0.25">
      <c r="A111" s="1">
        <v>41749</v>
      </c>
      <c r="B111">
        <v>68</v>
      </c>
      <c r="C111">
        <f t="shared" si="2"/>
        <v>45</v>
      </c>
      <c r="D111">
        <f t="shared" si="3"/>
        <v>-382.55000000000007</v>
      </c>
      <c r="E111">
        <f>ROUND(IF(lpg[[#This Row],[zbiornik PB95]]&gt;15,0,(lpg[[#This Row],[km]]/2)*6/100),2)</f>
        <v>0</v>
      </c>
      <c r="F111">
        <f>ROUND(IF(lpg[[#This Row],[zbiornik LPG]]&gt;15,lpg[[#This Row],[km]]*9/100,(lpg[[#This Row],[km]]/2)*9/100),2)</f>
        <v>3.06</v>
      </c>
      <c r="I111">
        <f>WEEKDAY(lpg[[#This Row],[data]],2)</f>
        <v>7</v>
      </c>
    </row>
    <row r="112" spans="1:9" x14ac:dyDescent="0.25">
      <c r="A112" s="1">
        <v>41750</v>
      </c>
      <c r="B112">
        <v>25</v>
      </c>
      <c r="C112">
        <f t="shared" si="2"/>
        <v>45</v>
      </c>
      <c r="D112">
        <f t="shared" si="3"/>
        <v>-385.61000000000007</v>
      </c>
      <c r="E112">
        <f>ROUND(IF(lpg[[#This Row],[zbiornik PB95]]&gt;15,0,(lpg[[#This Row],[km]]/2)*6/100),2)</f>
        <v>0</v>
      </c>
      <c r="F112">
        <f>ROUND(IF(lpg[[#This Row],[zbiornik LPG]]&gt;15,lpg[[#This Row],[km]]*9/100,(lpg[[#This Row],[km]]/2)*9/100),2)</f>
        <v>1.1299999999999999</v>
      </c>
      <c r="I112">
        <f>WEEKDAY(lpg[[#This Row],[data]],2)</f>
        <v>1</v>
      </c>
    </row>
    <row r="113" spans="1:9" x14ac:dyDescent="0.25">
      <c r="A113" s="1">
        <v>41751</v>
      </c>
      <c r="B113">
        <v>93</v>
      </c>
      <c r="C113">
        <f t="shared" si="2"/>
        <v>45</v>
      </c>
      <c r="D113">
        <f t="shared" si="3"/>
        <v>-386.74000000000007</v>
      </c>
      <c r="E113">
        <f>ROUND(IF(lpg[[#This Row],[zbiornik PB95]]&gt;15,0,(lpg[[#This Row],[km]]/2)*6/100),2)</f>
        <v>0</v>
      </c>
      <c r="F113">
        <f>ROUND(IF(lpg[[#This Row],[zbiornik LPG]]&gt;15,lpg[[#This Row],[km]]*9/100,(lpg[[#This Row],[km]]/2)*9/100),2)</f>
        <v>4.1900000000000004</v>
      </c>
      <c r="I113">
        <f>WEEKDAY(lpg[[#This Row],[data]],2)</f>
        <v>2</v>
      </c>
    </row>
    <row r="114" spans="1:9" x14ac:dyDescent="0.25">
      <c r="A114" s="1">
        <v>41752</v>
      </c>
      <c r="B114">
        <v>49</v>
      </c>
      <c r="C114">
        <f t="shared" si="2"/>
        <v>45</v>
      </c>
      <c r="D114">
        <f t="shared" si="3"/>
        <v>-390.93000000000006</v>
      </c>
      <c r="E114">
        <f>ROUND(IF(lpg[[#This Row],[zbiornik PB95]]&gt;15,0,(lpg[[#This Row],[km]]/2)*6/100),2)</f>
        <v>0</v>
      </c>
      <c r="F114">
        <f>ROUND(IF(lpg[[#This Row],[zbiornik LPG]]&gt;15,lpg[[#This Row],[km]]*9/100,(lpg[[#This Row],[km]]/2)*9/100),2)</f>
        <v>2.21</v>
      </c>
      <c r="I114">
        <f>WEEKDAY(lpg[[#This Row],[data]],2)</f>
        <v>3</v>
      </c>
    </row>
    <row r="115" spans="1:9" x14ac:dyDescent="0.25">
      <c r="A115" s="1">
        <v>41753</v>
      </c>
      <c r="B115">
        <v>29</v>
      </c>
      <c r="C115">
        <f t="shared" si="2"/>
        <v>45</v>
      </c>
      <c r="D115">
        <f t="shared" si="3"/>
        <v>-393.14000000000004</v>
      </c>
      <c r="E115">
        <f>ROUND(IF(lpg[[#This Row],[zbiornik PB95]]&gt;15,0,(lpg[[#This Row],[km]]/2)*6/100),2)</f>
        <v>0</v>
      </c>
      <c r="F115">
        <f>ROUND(IF(lpg[[#This Row],[zbiornik LPG]]&gt;15,lpg[[#This Row],[km]]*9/100,(lpg[[#This Row],[km]]/2)*9/100),2)</f>
        <v>1.31</v>
      </c>
      <c r="I115">
        <f>WEEKDAY(lpg[[#This Row],[data]],2)</f>
        <v>4</v>
      </c>
    </row>
    <row r="116" spans="1:9" x14ac:dyDescent="0.25">
      <c r="A116" s="1">
        <v>41754</v>
      </c>
      <c r="B116">
        <v>59</v>
      </c>
      <c r="C116">
        <f t="shared" si="2"/>
        <v>45</v>
      </c>
      <c r="D116">
        <f t="shared" si="3"/>
        <v>-394.45000000000005</v>
      </c>
      <c r="E116">
        <f>ROUND(IF(lpg[[#This Row],[zbiornik PB95]]&gt;15,0,(lpg[[#This Row],[km]]/2)*6/100),2)</f>
        <v>0</v>
      </c>
      <c r="F116">
        <f>ROUND(IF(lpg[[#This Row],[zbiornik LPG]]&gt;15,lpg[[#This Row],[km]]*9/100,(lpg[[#This Row],[km]]/2)*9/100),2)</f>
        <v>2.66</v>
      </c>
      <c r="I116">
        <f>WEEKDAY(lpg[[#This Row],[data]],2)</f>
        <v>5</v>
      </c>
    </row>
    <row r="117" spans="1:9" x14ac:dyDescent="0.25">
      <c r="A117" s="1">
        <v>41755</v>
      </c>
      <c r="B117">
        <v>65</v>
      </c>
      <c r="C117">
        <f t="shared" si="2"/>
        <v>45</v>
      </c>
      <c r="D117">
        <f t="shared" si="3"/>
        <v>-397.11000000000007</v>
      </c>
      <c r="E117">
        <f>ROUND(IF(lpg[[#This Row],[zbiornik PB95]]&gt;15,0,(lpg[[#This Row],[km]]/2)*6/100),2)</f>
        <v>0</v>
      </c>
      <c r="F117">
        <f>ROUND(IF(lpg[[#This Row],[zbiornik LPG]]&gt;15,lpg[[#This Row],[km]]*9/100,(lpg[[#This Row],[km]]/2)*9/100),2)</f>
        <v>2.93</v>
      </c>
      <c r="I117">
        <f>WEEKDAY(lpg[[#This Row],[data]],2)</f>
        <v>6</v>
      </c>
    </row>
    <row r="118" spans="1:9" x14ac:dyDescent="0.25">
      <c r="A118" s="1">
        <v>41756</v>
      </c>
      <c r="B118">
        <v>25</v>
      </c>
      <c r="C118">
        <f t="shared" si="2"/>
        <v>45</v>
      </c>
      <c r="D118">
        <f t="shared" si="3"/>
        <v>-400.04000000000008</v>
      </c>
      <c r="E118">
        <f>ROUND(IF(lpg[[#This Row],[zbiornik PB95]]&gt;15,0,(lpg[[#This Row],[km]]/2)*6/100),2)</f>
        <v>0</v>
      </c>
      <c r="F118">
        <f>ROUND(IF(lpg[[#This Row],[zbiornik LPG]]&gt;15,lpg[[#This Row],[km]]*9/100,(lpg[[#This Row],[km]]/2)*9/100),2)</f>
        <v>1.1299999999999999</v>
      </c>
      <c r="I118">
        <f>WEEKDAY(lpg[[#This Row],[data]],2)</f>
        <v>7</v>
      </c>
    </row>
    <row r="119" spans="1:9" x14ac:dyDescent="0.25">
      <c r="A119" s="1">
        <v>41757</v>
      </c>
      <c r="B119">
        <v>3</v>
      </c>
      <c r="C119">
        <f t="shared" si="2"/>
        <v>45</v>
      </c>
      <c r="D119">
        <f t="shared" si="3"/>
        <v>-401.17000000000007</v>
      </c>
      <c r="E119">
        <f>ROUND(IF(lpg[[#This Row],[zbiornik PB95]]&gt;15,0,(lpg[[#This Row],[km]]/2)*6/100),2)</f>
        <v>0</v>
      </c>
      <c r="F119">
        <f>ROUND(IF(lpg[[#This Row],[zbiornik LPG]]&gt;15,lpg[[#This Row],[km]]*9/100,(lpg[[#This Row],[km]]/2)*9/100),2)</f>
        <v>0.14000000000000001</v>
      </c>
      <c r="I119">
        <f>WEEKDAY(lpg[[#This Row],[data]],2)</f>
        <v>1</v>
      </c>
    </row>
    <row r="120" spans="1:9" x14ac:dyDescent="0.25">
      <c r="A120" s="1">
        <v>41758</v>
      </c>
      <c r="B120">
        <v>58</v>
      </c>
      <c r="C120">
        <f t="shared" si="2"/>
        <v>45</v>
      </c>
      <c r="D120">
        <f t="shared" si="3"/>
        <v>-401.31000000000006</v>
      </c>
      <c r="E120">
        <f>ROUND(IF(lpg[[#This Row],[zbiornik PB95]]&gt;15,0,(lpg[[#This Row],[km]]/2)*6/100),2)</f>
        <v>0</v>
      </c>
      <c r="F120">
        <f>ROUND(IF(lpg[[#This Row],[zbiornik LPG]]&gt;15,lpg[[#This Row],[km]]*9/100,(lpg[[#This Row],[km]]/2)*9/100),2)</f>
        <v>2.61</v>
      </c>
      <c r="I120">
        <f>WEEKDAY(lpg[[#This Row],[data]],2)</f>
        <v>2</v>
      </c>
    </row>
    <row r="121" spans="1:9" x14ac:dyDescent="0.25">
      <c r="A121" s="1">
        <v>41759</v>
      </c>
      <c r="B121">
        <v>35</v>
      </c>
      <c r="C121">
        <f t="shared" si="2"/>
        <v>45</v>
      </c>
      <c r="D121">
        <f t="shared" si="3"/>
        <v>-403.92000000000007</v>
      </c>
      <c r="E121">
        <f>ROUND(IF(lpg[[#This Row],[zbiornik PB95]]&gt;15,0,(lpg[[#This Row],[km]]/2)*6/100),2)</f>
        <v>0</v>
      </c>
      <c r="F121">
        <f>ROUND(IF(lpg[[#This Row],[zbiornik LPG]]&gt;15,lpg[[#This Row],[km]]*9/100,(lpg[[#This Row],[km]]/2)*9/100),2)</f>
        <v>1.58</v>
      </c>
      <c r="I121">
        <f>WEEKDAY(lpg[[#This Row],[data]],2)</f>
        <v>3</v>
      </c>
    </row>
    <row r="122" spans="1:9" x14ac:dyDescent="0.25">
      <c r="A122" s="1">
        <v>41760</v>
      </c>
      <c r="B122">
        <v>146</v>
      </c>
      <c r="C122">
        <f t="shared" si="2"/>
        <v>45</v>
      </c>
      <c r="D122">
        <f t="shared" si="3"/>
        <v>-405.50000000000006</v>
      </c>
      <c r="E122">
        <f>ROUND(IF(lpg[[#This Row],[zbiornik PB95]]&gt;15,0,(lpg[[#This Row],[km]]/2)*6/100),2)</f>
        <v>0</v>
      </c>
      <c r="F122">
        <f>ROUND(IF(lpg[[#This Row],[zbiornik LPG]]&gt;15,lpg[[#This Row],[km]]*9/100,(lpg[[#This Row],[km]]/2)*9/100),2)</f>
        <v>6.57</v>
      </c>
      <c r="I122">
        <f>WEEKDAY(lpg[[#This Row],[data]],2)</f>
        <v>4</v>
      </c>
    </row>
    <row r="123" spans="1:9" x14ac:dyDescent="0.25">
      <c r="A123" s="1">
        <v>41761</v>
      </c>
      <c r="B123">
        <v>45</v>
      </c>
      <c r="C123">
        <f t="shared" si="2"/>
        <v>45</v>
      </c>
      <c r="D123">
        <f t="shared" si="3"/>
        <v>-412.07000000000005</v>
      </c>
      <c r="E123">
        <f>ROUND(IF(lpg[[#This Row],[zbiornik PB95]]&gt;15,0,(lpg[[#This Row],[km]]/2)*6/100),2)</f>
        <v>0</v>
      </c>
      <c r="F123">
        <f>ROUND(IF(lpg[[#This Row],[zbiornik LPG]]&gt;15,lpg[[#This Row],[km]]*9/100,(lpg[[#This Row],[km]]/2)*9/100),2)</f>
        <v>2.0299999999999998</v>
      </c>
      <c r="I123">
        <f>WEEKDAY(lpg[[#This Row],[data]],2)</f>
        <v>5</v>
      </c>
    </row>
    <row r="124" spans="1:9" x14ac:dyDescent="0.25">
      <c r="A124" s="1">
        <v>41762</v>
      </c>
      <c r="B124">
        <v>127</v>
      </c>
      <c r="C124">
        <f t="shared" si="2"/>
        <v>45</v>
      </c>
      <c r="D124">
        <f t="shared" si="3"/>
        <v>-414.1</v>
      </c>
      <c r="E124">
        <f>ROUND(IF(lpg[[#This Row],[zbiornik PB95]]&gt;15,0,(lpg[[#This Row],[km]]/2)*6/100),2)</f>
        <v>0</v>
      </c>
      <c r="F124">
        <f>ROUND(IF(lpg[[#This Row],[zbiornik LPG]]&gt;15,lpg[[#This Row],[km]]*9/100,(lpg[[#This Row],[km]]/2)*9/100),2)</f>
        <v>5.72</v>
      </c>
      <c r="I124">
        <f>WEEKDAY(lpg[[#This Row],[data]],2)</f>
        <v>6</v>
      </c>
    </row>
    <row r="125" spans="1:9" x14ac:dyDescent="0.25">
      <c r="A125" s="1">
        <v>41763</v>
      </c>
      <c r="B125">
        <v>48</v>
      </c>
      <c r="C125">
        <f t="shared" si="2"/>
        <v>45</v>
      </c>
      <c r="D125">
        <f t="shared" si="3"/>
        <v>-419.82000000000005</v>
      </c>
      <c r="E125">
        <f>ROUND(IF(lpg[[#This Row],[zbiornik PB95]]&gt;15,0,(lpg[[#This Row],[km]]/2)*6/100),2)</f>
        <v>0</v>
      </c>
      <c r="F125">
        <f>ROUND(IF(lpg[[#This Row],[zbiornik LPG]]&gt;15,lpg[[#This Row],[km]]*9/100,(lpg[[#This Row],[km]]/2)*9/100),2)</f>
        <v>2.16</v>
      </c>
      <c r="I125">
        <f>WEEKDAY(lpg[[#This Row],[data]],2)</f>
        <v>7</v>
      </c>
    </row>
    <row r="126" spans="1:9" x14ac:dyDescent="0.25">
      <c r="A126" s="1">
        <v>41764</v>
      </c>
      <c r="B126">
        <v>128</v>
      </c>
      <c r="C126">
        <f t="shared" si="2"/>
        <v>45</v>
      </c>
      <c r="D126">
        <f t="shared" si="3"/>
        <v>-421.98000000000008</v>
      </c>
      <c r="E126">
        <f>ROUND(IF(lpg[[#This Row],[zbiornik PB95]]&gt;15,0,(lpg[[#This Row],[km]]/2)*6/100),2)</f>
        <v>0</v>
      </c>
      <c r="F126">
        <f>ROUND(IF(lpg[[#This Row],[zbiornik LPG]]&gt;15,lpg[[#This Row],[km]]*9/100,(lpg[[#This Row],[km]]/2)*9/100),2)</f>
        <v>5.76</v>
      </c>
      <c r="I126">
        <f>WEEKDAY(lpg[[#This Row],[data]],2)</f>
        <v>1</v>
      </c>
    </row>
    <row r="127" spans="1:9" x14ac:dyDescent="0.25">
      <c r="A127" s="1">
        <v>41765</v>
      </c>
      <c r="B127">
        <v>115</v>
      </c>
      <c r="C127">
        <f t="shared" si="2"/>
        <v>45</v>
      </c>
      <c r="D127">
        <f t="shared" si="3"/>
        <v>-427.74000000000007</v>
      </c>
      <c r="E127">
        <f>ROUND(IF(lpg[[#This Row],[zbiornik PB95]]&gt;15,0,(lpg[[#This Row],[km]]/2)*6/100),2)</f>
        <v>0</v>
      </c>
      <c r="F127">
        <f>ROUND(IF(lpg[[#This Row],[zbiornik LPG]]&gt;15,lpg[[#This Row],[km]]*9/100,(lpg[[#This Row],[km]]/2)*9/100),2)</f>
        <v>5.18</v>
      </c>
      <c r="I127">
        <f>WEEKDAY(lpg[[#This Row],[data]],2)</f>
        <v>2</v>
      </c>
    </row>
    <row r="128" spans="1:9" x14ac:dyDescent="0.25">
      <c r="A128" s="1">
        <v>41766</v>
      </c>
      <c r="B128">
        <v>103</v>
      </c>
      <c r="C128">
        <f t="shared" si="2"/>
        <v>45</v>
      </c>
      <c r="D128">
        <f t="shared" si="3"/>
        <v>-432.92000000000007</v>
      </c>
      <c r="E128">
        <f>ROUND(IF(lpg[[#This Row],[zbiornik PB95]]&gt;15,0,(lpg[[#This Row],[km]]/2)*6/100),2)</f>
        <v>0</v>
      </c>
      <c r="F128">
        <f>ROUND(IF(lpg[[#This Row],[zbiornik LPG]]&gt;15,lpg[[#This Row],[km]]*9/100,(lpg[[#This Row],[km]]/2)*9/100),2)</f>
        <v>4.6399999999999997</v>
      </c>
      <c r="I128">
        <f>WEEKDAY(lpg[[#This Row],[data]],2)</f>
        <v>3</v>
      </c>
    </row>
    <row r="129" spans="1:9" x14ac:dyDescent="0.25">
      <c r="A129" s="1">
        <v>41767</v>
      </c>
      <c r="B129">
        <v>21</v>
      </c>
      <c r="C129">
        <f t="shared" si="2"/>
        <v>45</v>
      </c>
      <c r="D129">
        <f t="shared" si="3"/>
        <v>-437.56000000000006</v>
      </c>
      <c r="E129">
        <f>ROUND(IF(lpg[[#This Row],[zbiornik PB95]]&gt;15,0,(lpg[[#This Row],[km]]/2)*6/100),2)</f>
        <v>0</v>
      </c>
      <c r="F129">
        <f>ROUND(IF(lpg[[#This Row],[zbiornik LPG]]&gt;15,lpg[[#This Row],[km]]*9/100,(lpg[[#This Row],[km]]/2)*9/100),2)</f>
        <v>0.95</v>
      </c>
      <c r="I129">
        <f>WEEKDAY(lpg[[#This Row],[data]],2)</f>
        <v>4</v>
      </c>
    </row>
    <row r="130" spans="1:9" x14ac:dyDescent="0.25">
      <c r="A130" s="1">
        <v>41768</v>
      </c>
      <c r="B130">
        <v>150</v>
      </c>
      <c r="C130">
        <f t="shared" si="2"/>
        <v>45</v>
      </c>
      <c r="D130">
        <f t="shared" si="3"/>
        <v>-438.51000000000005</v>
      </c>
      <c r="E130">
        <f>ROUND(IF(lpg[[#This Row],[zbiornik PB95]]&gt;15,0,(lpg[[#This Row],[km]]/2)*6/100),2)</f>
        <v>0</v>
      </c>
      <c r="F130">
        <f>ROUND(IF(lpg[[#This Row],[zbiornik LPG]]&gt;15,lpg[[#This Row],[km]]*9/100,(lpg[[#This Row],[km]]/2)*9/100),2)</f>
        <v>6.75</v>
      </c>
      <c r="I130">
        <f>WEEKDAY(lpg[[#This Row],[data]],2)</f>
        <v>5</v>
      </c>
    </row>
    <row r="131" spans="1:9" x14ac:dyDescent="0.25">
      <c r="A131" s="1">
        <v>41769</v>
      </c>
      <c r="B131">
        <v>49</v>
      </c>
      <c r="C131">
        <f t="shared" si="2"/>
        <v>45</v>
      </c>
      <c r="D131">
        <f t="shared" si="3"/>
        <v>-445.26000000000005</v>
      </c>
      <c r="E131">
        <f>ROUND(IF(lpg[[#This Row],[zbiornik PB95]]&gt;15,0,(lpg[[#This Row],[km]]/2)*6/100),2)</f>
        <v>0</v>
      </c>
      <c r="F131">
        <f>ROUND(IF(lpg[[#This Row],[zbiornik LPG]]&gt;15,lpg[[#This Row],[km]]*9/100,(lpg[[#This Row],[km]]/2)*9/100),2)</f>
        <v>2.21</v>
      </c>
      <c r="I131">
        <f>WEEKDAY(lpg[[#This Row],[data]],2)</f>
        <v>6</v>
      </c>
    </row>
    <row r="132" spans="1:9" x14ac:dyDescent="0.25">
      <c r="A132" s="1">
        <v>41770</v>
      </c>
      <c r="B132">
        <v>20</v>
      </c>
      <c r="C132">
        <f t="shared" ref="C132:C195" si="4">C131-E131</f>
        <v>45</v>
      </c>
      <c r="D132">
        <f t="shared" ref="D132:D195" si="5">D131-F131</f>
        <v>-447.47</v>
      </c>
      <c r="E132">
        <f>ROUND(IF(lpg[[#This Row],[zbiornik PB95]]&gt;15,0,(lpg[[#This Row],[km]]/2)*6/100),2)</f>
        <v>0</v>
      </c>
      <c r="F132">
        <f>ROUND(IF(lpg[[#This Row],[zbiornik LPG]]&gt;15,lpg[[#This Row],[km]]*9/100,(lpg[[#This Row],[km]]/2)*9/100),2)</f>
        <v>0.9</v>
      </c>
      <c r="I132">
        <f>WEEKDAY(lpg[[#This Row],[data]],2)</f>
        <v>7</v>
      </c>
    </row>
    <row r="133" spans="1:9" x14ac:dyDescent="0.25">
      <c r="A133" s="1">
        <v>41771</v>
      </c>
      <c r="B133">
        <v>120</v>
      </c>
      <c r="C133">
        <f t="shared" si="4"/>
        <v>45</v>
      </c>
      <c r="D133">
        <f t="shared" si="5"/>
        <v>-448.37</v>
      </c>
      <c r="E133">
        <f>ROUND(IF(lpg[[#This Row],[zbiornik PB95]]&gt;15,0,(lpg[[#This Row],[km]]/2)*6/100),2)</f>
        <v>0</v>
      </c>
      <c r="F133">
        <f>ROUND(IF(lpg[[#This Row],[zbiornik LPG]]&gt;15,lpg[[#This Row],[km]]*9/100,(lpg[[#This Row],[km]]/2)*9/100),2)</f>
        <v>5.4</v>
      </c>
      <c r="I133">
        <f>WEEKDAY(lpg[[#This Row],[data]],2)</f>
        <v>1</v>
      </c>
    </row>
    <row r="134" spans="1:9" x14ac:dyDescent="0.25">
      <c r="A134" s="1">
        <v>41772</v>
      </c>
      <c r="B134">
        <v>39</v>
      </c>
      <c r="C134">
        <f t="shared" si="4"/>
        <v>45</v>
      </c>
      <c r="D134">
        <f t="shared" si="5"/>
        <v>-453.77</v>
      </c>
      <c r="E134">
        <f>ROUND(IF(lpg[[#This Row],[zbiornik PB95]]&gt;15,0,(lpg[[#This Row],[km]]/2)*6/100),2)</f>
        <v>0</v>
      </c>
      <c r="F134">
        <f>ROUND(IF(lpg[[#This Row],[zbiornik LPG]]&gt;15,lpg[[#This Row],[km]]*9/100,(lpg[[#This Row],[km]]/2)*9/100),2)</f>
        <v>1.76</v>
      </c>
      <c r="I134">
        <f>WEEKDAY(lpg[[#This Row],[data]],2)</f>
        <v>2</v>
      </c>
    </row>
    <row r="135" spans="1:9" x14ac:dyDescent="0.25">
      <c r="A135" s="1">
        <v>41773</v>
      </c>
      <c r="B135">
        <v>15</v>
      </c>
      <c r="C135">
        <f t="shared" si="4"/>
        <v>45</v>
      </c>
      <c r="D135">
        <f t="shared" si="5"/>
        <v>-455.53</v>
      </c>
      <c r="E135">
        <f>ROUND(IF(lpg[[#This Row],[zbiornik PB95]]&gt;15,0,(lpg[[#This Row],[km]]/2)*6/100),2)</f>
        <v>0</v>
      </c>
      <c r="F135">
        <f>ROUND(IF(lpg[[#This Row],[zbiornik LPG]]&gt;15,lpg[[#This Row],[km]]*9/100,(lpg[[#This Row],[km]]/2)*9/100),2)</f>
        <v>0.68</v>
      </c>
      <c r="I135">
        <f>WEEKDAY(lpg[[#This Row],[data]],2)</f>
        <v>3</v>
      </c>
    </row>
    <row r="136" spans="1:9" x14ac:dyDescent="0.25">
      <c r="A136" s="1">
        <v>41774</v>
      </c>
      <c r="B136">
        <v>118</v>
      </c>
      <c r="C136">
        <f t="shared" si="4"/>
        <v>45</v>
      </c>
      <c r="D136">
        <f t="shared" si="5"/>
        <v>-456.21</v>
      </c>
      <c r="E136">
        <f>ROUND(IF(lpg[[#This Row],[zbiornik PB95]]&gt;15,0,(lpg[[#This Row],[km]]/2)*6/100),2)</f>
        <v>0</v>
      </c>
      <c r="F136">
        <f>ROUND(IF(lpg[[#This Row],[zbiornik LPG]]&gt;15,lpg[[#This Row],[km]]*9/100,(lpg[[#This Row],[km]]/2)*9/100),2)</f>
        <v>5.31</v>
      </c>
      <c r="I136">
        <f>WEEKDAY(lpg[[#This Row],[data]],2)</f>
        <v>4</v>
      </c>
    </row>
    <row r="137" spans="1:9" x14ac:dyDescent="0.25">
      <c r="A137" s="1">
        <v>41775</v>
      </c>
      <c r="B137">
        <v>37</v>
      </c>
      <c r="C137">
        <f t="shared" si="4"/>
        <v>45</v>
      </c>
      <c r="D137">
        <f t="shared" si="5"/>
        <v>-461.52</v>
      </c>
      <c r="E137">
        <f>ROUND(IF(lpg[[#This Row],[zbiornik PB95]]&gt;15,0,(lpg[[#This Row],[km]]/2)*6/100),2)</f>
        <v>0</v>
      </c>
      <c r="F137">
        <f>ROUND(IF(lpg[[#This Row],[zbiornik LPG]]&gt;15,lpg[[#This Row],[km]]*9/100,(lpg[[#This Row],[km]]/2)*9/100),2)</f>
        <v>1.67</v>
      </c>
      <c r="I137">
        <f>WEEKDAY(lpg[[#This Row],[data]],2)</f>
        <v>5</v>
      </c>
    </row>
    <row r="138" spans="1:9" x14ac:dyDescent="0.25">
      <c r="A138" s="1">
        <v>41776</v>
      </c>
      <c r="B138">
        <v>107</v>
      </c>
      <c r="C138">
        <f t="shared" si="4"/>
        <v>45</v>
      </c>
      <c r="D138">
        <f t="shared" si="5"/>
        <v>-463.19</v>
      </c>
      <c r="E138">
        <f>ROUND(IF(lpg[[#This Row],[zbiornik PB95]]&gt;15,0,(lpg[[#This Row],[km]]/2)*6/100),2)</f>
        <v>0</v>
      </c>
      <c r="F138">
        <f>ROUND(IF(lpg[[#This Row],[zbiornik LPG]]&gt;15,lpg[[#This Row],[km]]*9/100,(lpg[[#This Row],[km]]/2)*9/100),2)</f>
        <v>4.82</v>
      </c>
      <c r="I138">
        <f>WEEKDAY(lpg[[#This Row],[data]],2)</f>
        <v>6</v>
      </c>
    </row>
    <row r="139" spans="1:9" x14ac:dyDescent="0.25">
      <c r="A139" s="1">
        <v>41777</v>
      </c>
      <c r="B139">
        <v>51</v>
      </c>
      <c r="C139">
        <f t="shared" si="4"/>
        <v>45</v>
      </c>
      <c r="D139">
        <f t="shared" si="5"/>
        <v>-468.01</v>
      </c>
      <c r="E139">
        <f>ROUND(IF(lpg[[#This Row],[zbiornik PB95]]&gt;15,0,(lpg[[#This Row],[km]]/2)*6/100),2)</f>
        <v>0</v>
      </c>
      <c r="F139">
        <f>ROUND(IF(lpg[[#This Row],[zbiornik LPG]]&gt;15,lpg[[#This Row],[km]]*9/100,(lpg[[#This Row],[km]]/2)*9/100),2)</f>
        <v>2.2999999999999998</v>
      </c>
      <c r="I139">
        <f>WEEKDAY(lpg[[#This Row],[data]],2)</f>
        <v>7</v>
      </c>
    </row>
    <row r="140" spans="1:9" x14ac:dyDescent="0.25">
      <c r="A140" s="1">
        <v>41778</v>
      </c>
      <c r="B140">
        <v>76</v>
      </c>
      <c r="C140">
        <f t="shared" si="4"/>
        <v>45</v>
      </c>
      <c r="D140">
        <f t="shared" si="5"/>
        <v>-470.31</v>
      </c>
      <c r="E140">
        <f>ROUND(IF(lpg[[#This Row],[zbiornik PB95]]&gt;15,0,(lpg[[#This Row],[km]]/2)*6/100),2)</f>
        <v>0</v>
      </c>
      <c r="F140">
        <f>ROUND(IF(lpg[[#This Row],[zbiornik LPG]]&gt;15,lpg[[#This Row],[km]]*9/100,(lpg[[#This Row],[km]]/2)*9/100),2)</f>
        <v>3.42</v>
      </c>
      <c r="I140">
        <f>WEEKDAY(lpg[[#This Row],[data]],2)</f>
        <v>1</v>
      </c>
    </row>
    <row r="141" spans="1:9" x14ac:dyDescent="0.25">
      <c r="A141" s="1">
        <v>41779</v>
      </c>
      <c r="B141">
        <v>41</v>
      </c>
      <c r="C141">
        <f t="shared" si="4"/>
        <v>45</v>
      </c>
      <c r="D141">
        <f t="shared" si="5"/>
        <v>-473.73</v>
      </c>
      <c r="E141">
        <f>ROUND(IF(lpg[[#This Row],[zbiornik PB95]]&gt;15,0,(lpg[[#This Row],[km]]/2)*6/100),2)</f>
        <v>0</v>
      </c>
      <c r="F141">
        <f>ROUND(IF(lpg[[#This Row],[zbiornik LPG]]&gt;15,lpg[[#This Row],[km]]*9/100,(lpg[[#This Row],[km]]/2)*9/100),2)</f>
        <v>1.85</v>
      </c>
      <c r="I141">
        <f>WEEKDAY(lpg[[#This Row],[data]],2)</f>
        <v>2</v>
      </c>
    </row>
    <row r="142" spans="1:9" x14ac:dyDescent="0.25">
      <c r="A142" s="1">
        <v>41780</v>
      </c>
      <c r="B142">
        <v>149</v>
      </c>
      <c r="C142">
        <f t="shared" si="4"/>
        <v>45</v>
      </c>
      <c r="D142">
        <f t="shared" si="5"/>
        <v>-475.58000000000004</v>
      </c>
      <c r="E142">
        <f>ROUND(IF(lpg[[#This Row],[zbiornik PB95]]&gt;15,0,(lpg[[#This Row],[km]]/2)*6/100),2)</f>
        <v>0</v>
      </c>
      <c r="F142">
        <f>ROUND(IF(lpg[[#This Row],[zbiornik LPG]]&gt;15,lpg[[#This Row],[km]]*9/100,(lpg[[#This Row],[km]]/2)*9/100),2)</f>
        <v>6.71</v>
      </c>
      <c r="I142">
        <f>WEEKDAY(lpg[[#This Row],[data]],2)</f>
        <v>3</v>
      </c>
    </row>
    <row r="143" spans="1:9" x14ac:dyDescent="0.25">
      <c r="A143" s="1">
        <v>41781</v>
      </c>
      <c r="B143">
        <v>72</v>
      </c>
      <c r="C143">
        <f t="shared" si="4"/>
        <v>45</v>
      </c>
      <c r="D143">
        <f t="shared" si="5"/>
        <v>-482.29</v>
      </c>
      <c r="E143">
        <f>ROUND(IF(lpg[[#This Row],[zbiornik PB95]]&gt;15,0,(lpg[[#This Row],[km]]/2)*6/100),2)</f>
        <v>0</v>
      </c>
      <c r="F143">
        <f>ROUND(IF(lpg[[#This Row],[zbiornik LPG]]&gt;15,lpg[[#This Row],[km]]*9/100,(lpg[[#This Row],[km]]/2)*9/100),2)</f>
        <v>3.24</v>
      </c>
      <c r="I143">
        <f>WEEKDAY(lpg[[#This Row],[data]],2)</f>
        <v>4</v>
      </c>
    </row>
    <row r="144" spans="1:9" x14ac:dyDescent="0.25">
      <c r="A144" s="1">
        <v>41782</v>
      </c>
      <c r="B144">
        <v>83</v>
      </c>
      <c r="C144">
        <f t="shared" si="4"/>
        <v>45</v>
      </c>
      <c r="D144">
        <f t="shared" si="5"/>
        <v>-485.53000000000003</v>
      </c>
      <c r="E144">
        <f>ROUND(IF(lpg[[#This Row],[zbiornik PB95]]&gt;15,0,(lpg[[#This Row],[km]]/2)*6/100),2)</f>
        <v>0</v>
      </c>
      <c r="F144">
        <f>ROUND(IF(lpg[[#This Row],[zbiornik LPG]]&gt;15,lpg[[#This Row],[km]]*9/100,(lpg[[#This Row],[km]]/2)*9/100),2)</f>
        <v>3.74</v>
      </c>
      <c r="I144">
        <f>WEEKDAY(lpg[[#This Row],[data]],2)</f>
        <v>5</v>
      </c>
    </row>
    <row r="145" spans="1:9" x14ac:dyDescent="0.25">
      <c r="A145" s="1">
        <v>41783</v>
      </c>
      <c r="B145">
        <v>101</v>
      </c>
      <c r="C145">
        <f t="shared" si="4"/>
        <v>45</v>
      </c>
      <c r="D145">
        <f t="shared" si="5"/>
        <v>-489.27000000000004</v>
      </c>
      <c r="E145">
        <f>ROUND(IF(lpg[[#This Row],[zbiornik PB95]]&gt;15,0,(lpg[[#This Row],[km]]/2)*6/100),2)</f>
        <v>0</v>
      </c>
      <c r="F145">
        <f>ROUND(IF(lpg[[#This Row],[zbiornik LPG]]&gt;15,lpg[[#This Row],[km]]*9/100,(lpg[[#This Row],[km]]/2)*9/100),2)</f>
        <v>4.55</v>
      </c>
      <c r="I145">
        <f>WEEKDAY(lpg[[#This Row],[data]],2)</f>
        <v>6</v>
      </c>
    </row>
    <row r="146" spans="1:9" x14ac:dyDescent="0.25">
      <c r="A146" s="1">
        <v>41784</v>
      </c>
      <c r="B146">
        <v>43</v>
      </c>
      <c r="C146">
        <f t="shared" si="4"/>
        <v>45</v>
      </c>
      <c r="D146">
        <f t="shared" si="5"/>
        <v>-493.82000000000005</v>
      </c>
      <c r="E146">
        <f>ROUND(IF(lpg[[#This Row],[zbiornik PB95]]&gt;15,0,(lpg[[#This Row],[km]]/2)*6/100),2)</f>
        <v>0</v>
      </c>
      <c r="F146">
        <f>ROUND(IF(lpg[[#This Row],[zbiornik LPG]]&gt;15,lpg[[#This Row],[km]]*9/100,(lpg[[#This Row],[km]]/2)*9/100),2)</f>
        <v>1.94</v>
      </c>
      <c r="I146">
        <f>WEEKDAY(lpg[[#This Row],[data]],2)</f>
        <v>7</v>
      </c>
    </row>
    <row r="147" spans="1:9" x14ac:dyDescent="0.25">
      <c r="A147" s="1">
        <v>41785</v>
      </c>
      <c r="B147">
        <v>59</v>
      </c>
      <c r="C147">
        <f t="shared" si="4"/>
        <v>45</v>
      </c>
      <c r="D147">
        <f t="shared" si="5"/>
        <v>-495.76000000000005</v>
      </c>
      <c r="E147">
        <f>ROUND(IF(lpg[[#This Row],[zbiornik PB95]]&gt;15,0,(lpg[[#This Row],[km]]/2)*6/100),2)</f>
        <v>0</v>
      </c>
      <c r="F147">
        <f>ROUND(IF(lpg[[#This Row],[zbiornik LPG]]&gt;15,lpg[[#This Row],[km]]*9/100,(lpg[[#This Row],[km]]/2)*9/100),2)</f>
        <v>2.66</v>
      </c>
      <c r="I147">
        <f>WEEKDAY(lpg[[#This Row],[data]],2)</f>
        <v>1</v>
      </c>
    </row>
    <row r="148" spans="1:9" x14ac:dyDescent="0.25">
      <c r="A148" s="1">
        <v>41786</v>
      </c>
      <c r="B148">
        <v>81</v>
      </c>
      <c r="C148">
        <f t="shared" si="4"/>
        <v>45</v>
      </c>
      <c r="D148">
        <f t="shared" si="5"/>
        <v>-498.42000000000007</v>
      </c>
      <c r="E148">
        <f>ROUND(IF(lpg[[#This Row],[zbiornik PB95]]&gt;15,0,(lpg[[#This Row],[km]]/2)*6/100),2)</f>
        <v>0</v>
      </c>
      <c r="F148">
        <f>ROUND(IF(lpg[[#This Row],[zbiornik LPG]]&gt;15,lpg[[#This Row],[km]]*9/100,(lpg[[#This Row],[km]]/2)*9/100),2)</f>
        <v>3.65</v>
      </c>
      <c r="I148">
        <f>WEEKDAY(lpg[[#This Row],[data]],2)</f>
        <v>2</v>
      </c>
    </row>
    <row r="149" spans="1:9" x14ac:dyDescent="0.25">
      <c r="A149" s="1">
        <v>41787</v>
      </c>
      <c r="B149">
        <v>89</v>
      </c>
      <c r="C149">
        <f t="shared" si="4"/>
        <v>45</v>
      </c>
      <c r="D149">
        <f t="shared" si="5"/>
        <v>-502.07000000000005</v>
      </c>
      <c r="E149">
        <f>ROUND(IF(lpg[[#This Row],[zbiornik PB95]]&gt;15,0,(lpg[[#This Row],[km]]/2)*6/100),2)</f>
        <v>0</v>
      </c>
      <c r="F149">
        <f>ROUND(IF(lpg[[#This Row],[zbiornik LPG]]&gt;15,lpg[[#This Row],[km]]*9/100,(lpg[[#This Row],[km]]/2)*9/100),2)</f>
        <v>4.01</v>
      </c>
      <c r="I149">
        <f>WEEKDAY(lpg[[#This Row],[data]],2)</f>
        <v>3</v>
      </c>
    </row>
    <row r="150" spans="1:9" x14ac:dyDescent="0.25">
      <c r="A150" s="1">
        <v>41788</v>
      </c>
      <c r="B150">
        <v>43</v>
      </c>
      <c r="C150">
        <f t="shared" si="4"/>
        <v>45</v>
      </c>
      <c r="D150">
        <f t="shared" si="5"/>
        <v>-506.08000000000004</v>
      </c>
      <c r="E150">
        <f>ROUND(IF(lpg[[#This Row],[zbiornik PB95]]&gt;15,0,(lpg[[#This Row],[km]]/2)*6/100),2)</f>
        <v>0</v>
      </c>
      <c r="F150">
        <f>ROUND(IF(lpg[[#This Row],[zbiornik LPG]]&gt;15,lpg[[#This Row],[km]]*9/100,(lpg[[#This Row],[km]]/2)*9/100),2)</f>
        <v>1.94</v>
      </c>
      <c r="I150">
        <f>WEEKDAY(lpg[[#This Row],[data]],2)</f>
        <v>4</v>
      </c>
    </row>
    <row r="151" spans="1:9" x14ac:dyDescent="0.25">
      <c r="A151" s="1">
        <v>41789</v>
      </c>
      <c r="B151">
        <v>67</v>
      </c>
      <c r="C151">
        <f t="shared" si="4"/>
        <v>45</v>
      </c>
      <c r="D151">
        <f t="shared" si="5"/>
        <v>-508.02000000000004</v>
      </c>
      <c r="E151">
        <f>ROUND(IF(lpg[[#This Row],[zbiornik PB95]]&gt;15,0,(lpg[[#This Row],[km]]/2)*6/100),2)</f>
        <v>0</v>
      </c>
      <c r="F151">
        <f>ROUND(IF(lpg[[#This Row],[zbiornik LPG]]&gt;15,lpg[[#This Row],[km]]*9/100,(lpg[[#This Row],[km]]/2)*9/100),2)</f>
        <v>3.02</v>
      </c>
      <c r="I151">
        <f>WEEKDAY(lpg[[#This Row],[data]],2)</f>
        <v>5</v>
      </c>
    </row>
    <row r="152" spans="1:9" x14ac:dyDescent="0.25">
      <c r="A152" s="1">
        <v>41790</v>
      </c>
      <c r="B152">
        <v>122</v>
      </c>
      <c r="C152">
        <f t="shared" si="4"/>
        <v>45</v>
      </c>
      <c r="D152">
        <f t="shared" si="5"/>
        <v>-511.04</v>
      </c>
      <c r="E152">
        <f>ROUND(IF(lpg[[#This Row],[zbiornik PB95]]&gt;15,0,(lpg[[#This Row],[km]]/2)*6/100),2)</f>
        <v>0</v>
      </c>
      <c r="F152">
        <f>ROUND(IF(lpg[[#This Row],[zbiornik LPG]]&gt;15,lpg[[#This Row],[km]]*9/100,(lpg[[#This Row],[km]]/2)*9/100),2)</f>
        <v>5.49</v>
      </c>
      <c r="I152">
        <f>WEEKDAY(lpg[[#This Row],[data]],2)</f>
        <v>6</v>
      </c>
    </row>
    <row r="153" spans="1:9" x14ac:dyDescent="0.25">
      <c r="A153" s="1">
        <v>41791</v>
      </c>
      <c r="B153">
        <v>100</v>
      </c>
      <c r="C153">
        <f t="shared" si="4"/>
        <v>45</v>
      </c>
      <c r="D153">
        <f t="shared" si="5"/>
        <v>-516.53</v>
      </c>
      <c r="E153">
        <f>ROUND(IF(lpg[[#This Row],[zbiornik PB95]]&gt;15,0,(lpg[[#This Row],[km]]/2)*6/100),2)</f>
        <v>0</v>
      </c>
      <c r="F153">
        <f>ROUND(IF(lpg[[#This Row],[zbiornik LPG]]&gt;15,lpg[[#This Row],[km]]*9/100,(lpg[[#This Row],[km]]/2)*9/100),2)</f>
        <v>4.5</v>
      </c>
      <c r="I153">
        <f>WEEKDAY(lpg[[#This Row],[data]],2)</f>
        <v>7</v>
      </c>
    </row>
    <row r="154" spans="1:9" x14ac:dyDescent="0.25">
      <c r="A154" s="1">
        <v>41792</v>
      </c>
      <c r="B154">
        <v>145</v>
      </c>
      <c r="C154">
        <f t="shared" si="4"/>
        <v>45</v>
      </c>
      <c r="D154">
        <f t="shared" si="5"/>
        <v>-521.03</v>
      </c>
      <c r="E154">
        <f>ROUND(IF(lpg[[#This Row],[zbiornik PB95]]&gt;15,0,(lpg[[#This Row],[km]]/2)*6/100),2)</f>
        <v>0</v>
      </c>
      <c r="F154">
        <f>ROUND(IF(lpg[[#This Row],[zbiornik LPG]]&gt;15,lpg[[#This Row],[km]]*9/100,(lpg[[#This Row],[km]]/2)*9/100),2)</f>
        <v>6.53</v>
      </c>
      <c r="I154">
        <f>WEEKDAY(lpg[[#This Row],[data]],2)</f>
        <v>1</v>
      </c>
    </row>
    <row r="155" spans="1:9" x14ac:dyDescent="0.25">
      <c r="A155" s="1">
        <v>41793</v>
      </c>
      <c r="B155">
        <v>36</v>
      </c>
      <c r="C155">
        <f t="shared" si="4"/>
        <v>45</v>
      </c>
      <c r="D155">
        <f t="shared" si="5"/>
        <v>-527.55999999999995</v>
      </c>
      <c r="E155">
        <f>ROUND(IF(lpg[[#This Row],[zbiornik PB95]]&gt;15,0,(lpg[[#This Row],[km]]/2)*6/100),2)</f>
        <v>0</v>
      </c>
      <c r="F155">
        <f>ROUND(IF(lpg[[#This Row],[zbiornik LPG]]&gt;15,lpg[[#This Row],[km]]*9/100,(lpg[[#This Row],[km]]/2)*9/100),2)</f>
        <v>1.62</v>
      </c>
      <c r="I155">
        <f>WEEKDAY(lpg[[#This Row],[data]],2)</f>
        <v>2</v>
      </c>
    </row>
    <row r="156" spans="1:9" x14ac:dyDescent="0.25">
      <c r="A156" s="1">
        <v>41794</v>
      </c>
      <c r="B156">
        <v>75</v>
      </c>
      <c r="C156">
        <f t="shared" si="4"/>
        <v>45</v>
      </c>
      <c r="D156">
        <f t="shared" si="5"/>
        <v>-529.17999999999995</v>
      </c>
      <c r="E156">
        <f>ROUND(IF(lpg[[#This Row],[zbiornik PB95]]&gt;15,0,(lpg[[#This Row],[km]]/2)*6/100),2)</f>
        <v>0</v>
      </c>
      <c r="F156">
        <f>ROUND(IF(lpg[[#This Row],[zbiornik LPG]]&gt;15,lpg[[#This Row],[km]]*9/100,(lpg[[#This Row],[km]]/2)*9/100),2)</f>
        <v>3.38</v>
      </c>
      <c r="I156">
        <f>WEEKDAY(lpg[[#This Row],[data]],2)</f>
        <v>3</v>
      </c>
    </row>
    <row r="157" spans="1:9" x14ac:dyDescent="0.25">
      <c r="A157" s="1">
        <v>41795</v>
      </c>
      <c r="B157">
        <v>132</v>
      </c>
      <c r="C157">
        <f t="shared" si="4"/>
        <v>45</v>
      </c>
      <c r="D157">
        <f t="shared" si="5"/>
        <v>-532.55999999999995</v>
      </c>
      <c r="E157">
        <f>ROUND(IF(lpg[[#This Row],[zbiornik PB95]]&gt;15,0,(lpg[[#This Row],[km]]/2)*6/100),2)</f>
        <v>0</v>
      </c>
      <c r="F157">
        <f>ROUND(IF(lpg[[#This Row],[zbiornik LPG]]&gt;15,lpg[[#This Row],[km]]*9/100,(lpg[[#This Row],[km]]/2)*9/100),2)</f>
        <v>5.94</v>
      </c>
      <c r="I157">
        <f>WEEKDAY(lpg[[#This Row],[data]],2)</f>
        <v>4</v>
      </c>
    </row>
    <row r="158" spans="1:9" x14ac:dyDescent="0.25">
      <c r="A158" s="1">
        <v>41796</v>
      </c>
      <c r="B158">
        <v>51</v>
      </c>
      <c r="C158">
        <f t="shared" si="4"/>
        <v>45</v>
      </c>
      <c r="D158">
        <f t="shared" si="5"/>
        <v>-538.5</v>
      </c>
      <c r="E158">
        <f>ROUND(IF(lpg[[#This Row],[zbiornik PB95]]&gt;15,0,(lpg[[#This Row],[km]]/2)*6/100),2)</f>
        <v>0</v>
      </c>
      <c r="F158">
        <f>ROUND(IF(lpg[[#This Row],[zbiornik LPG]]&gt;15,lpg[[#This Row],[km]]*9/100,(lpg[[#This Row],[km]]/2)*9/100),2)</f>
        <v>2.2999999999999998</v>
      </c>
      <c r="I158">
        <f>WEEKDAY(lpg[[#This Row],[data]],2)</f>
        <v>5</v>
      </c>
    </row>
    <row r="159" spans="1:9" x14ac:dyDescent="0.25">
      <c r="A159" s="1">
        <v>41797</v>
      </c>
      <c r="B159">
        <v>32</v>
      </c>
      <c r="C159">
        <f t="shared" si="4"/>
        <v>45</v>
      </c>
      <c r="D159">
        <f t="shared" si="5"/>
        <v>-540.79999999999995</v>
      </c>
      <c r="E159">
        <f>ROUND(IF(lpg[[#This Row],[zbiornik PB95]]&gt;15,0,(lpg[[#This Row],[km]]/2)*6/100),2)</f>
        <v>0</v>
      </c>
      <c r="F159">
        <f>ROUND(IF(lpg[[#This Row],[zbiornik LPG]]&gt;15,lpg[[#This Row],[km]]*9/100,(lpg[[#This Row],[km]]/2)*9/100),2)</f>
        <v>1.44</v>
      </c>
      <c r="I159">
        <f>WEEKDAY(lpg[[#This Row],[data]],2)</f>
        <v>6</v>
      </c>
    </row>
    <row r="160" spans="1:9" x14ac:dyDescent="0.25">
      <c r="A160" s="1">
        <v>41798</v>
      </c>
      <c r="B160">
        <v>130</v>
      </c>
      <c r="C160">
        <f t="shared" si="4"/>
        <v>45</v>
      </c>
      <c r="D160">
        <f t="shared" si="5"/>
        <v>-542.24</v>
      </c>
      <c r="E160">
        <f>ROUND(IF(lpg[[#This Row],[zbiornik PB95]]&gt;15,0,(lpg[[#This Row],[km]]/2)*6/100),2)</f>
        <v>0</v>
      </c>
      <c r="F160">
        <f>ROUND(IF(lpg[[#This Row],[zbiornik LPG]]&gt;15,lpg[[#This Row],[km]]*9/100,(lpg[[#This Row],[km]]/2)*9/100),2)</f>
        <v>5.85</v>
      </c>
      <c r="I160">
        <f>WEEKDAY(lpg[[#This Row],[data]],2)</f>
        <v>7</v>
      </c>
    </row>
    <row r="161" spans="1:9" x14ac:dyDescent="0.25">
      <c r="A161" s="1">
        <v>41799</v>
      </c>
      <c r="B161">
        <v>25</v>
      </c>
      <c r="C161">
        <f t="shared" si="4"/>
        <v>45</v>
      </c>
      <c r="D161">
        <f t="shared" si="5"/>
        <v>-548.09</v>
      </c>
      <c r="E161">
        <f>ROUND(IF(lpg[[#This Row],[zbiornik PB95]]&gt;15,0,(lpg[[#This Row],[km]]/2)*6/100),2)</f>
        <v>0</v>
      </c>
      <c r="F161">
        <f>ROUND(IF(lpg[[#This Row],[zbiornik LPG]]&gt;15,lpg[[#This Row],[km]]*9/100,(lpg[[#This Row],[km]]/2)*9/100),2)</f>
        <v>1.1299999999999999</v>
      </c>
      <c r="I161">
        <f>WEEKDAY(lpg[[#This Row],[data]],2)</f>
        <v>1</v>
      </c>
    </row>
    <row r="162" spans="1:9" x14ac:dyDescent="0.25">
      <c r="A162" s="1">
        <v>41800</v>
      </c>
      <c r="B162">
        <v>60</v>
      </c>
      <c r="C162">
        <f t="shared" si="4"/>
        <v>45</v>
      </c>
      <c r="D162">
        <f t="shared" si="5"/>
        <v>-549.22</v>
      </c>
      <c r="E162">
        <f>ROUND(IF(lpg[[#This Row],[zbiornik PB95]]&gt;15,0,(lpg[[#This Row],[km]]/2)*6/100),2)</f>
        <v>0</v>
      </c>
      <c r="F162">
        <f>ROUND(IF(lpg[[#This Row],[zbiornik LPG]]&gt;15,lpg[[#This Row],[km]]*9/100,(lpg[[#This Row],[km]]/2)*9/100),2)</f>
        <v>2.7</v>
      </c>
      <c r="I162">
        <f>WEEKDAY(lpg[[#This Row],[data]],2)</f>
        <v>2</v>
      </c>
    </row>
    <row r="163" spans="1:9" x14ac:dyDescent="0.25">
      <c r="A163" s="1">
        <v>41801</v>
      </c>
      <c r="B163">
        <v>104</v>
      </c>
      <c r="C163">
        <f t="shared" si="4"/>
        <v>45</v>
      </c>
      <c r="D163">
        <f t="shared" si="5"/>
        <v>-551.92000000000007</v>
      </c>
      <c r="E163">
        <f>ROUND(IF(lpg[[#This Row],[zbiornik PB95]]&gt;15,0,(lpg[[#This Row],[km]]/2)*6/100),2)</f>
        <v>0</v>
      </c>
      <c r="F163">
        <f>ROUND(IF(lpg[[#This Row],[zbiornik LPG]]&gt;15,lpg[[#This Row],[km]]*9/100,(lpg[[#This Row],[km]]/2)*9/100),2)</f>
        <v>4.68</v>
      </c>
      <c r="I163">
        <f>WEEKDAY(lpg[[#This Row],[data]],2)</f>
        <v>3</v>
      </c>
    </row>
    <row r="164" spans="1:9" x14ac:dyDescent="0.25">
      <c r="A164" s="1">
        <v>41802</v>
      </c>
      <c r="B164">
        <v>118</v>
      </c>
      <c r="C164">
        <f t="shared" si="4"/>
        <v>45</v>
      </c>
      <c r="D164">
        <f t="shared" si="5"/>
        <v>-556.6</v>
      </c>
      <c r="E164">
        <f>ROUND(IF(lpg[[#This Row],[zbiornik PB95]]&gt;15,0,(lpg[[#This Row],[km]]/2)*6/100),2)</f>
        <v>0</v>
      </c>
      <c r="F164">
        <f>ROUND(IF(lpg[[#This Row],[zbiornik LPG]]&gt;15,lpg[[#This Row],[km]]*9/100,(lpg[[#This Row],[km]]/2)*9/100),2)</f>
        <v>5.31</v>
      </c>
      <c r="I164">
        <f>WEEKDAY(lpg[[#This Row],[data]],2)</f>
        <v>4</v>
      </c>
    </row>
    <row r="165" spans="1:9" x14ac:dyDescent="0.25">
      <c r="A165" s="1">
        <v>41803</v>
      </c>
      <c r="B165">
        <v>35</v>
      </c>
      <c r="C165">
        <f t="shared" si="4"/>
        <v>45</v>
      </c>
      <c r="D165">
        <f t="shared" si="5"/>
        <v>-561.91</v>
      </c>
      <c r="E165">
        <f>ROUND(IF(lpg[[#This Row],[zbiornik PB95]]&gt;15,0,(lpg[[#This Row],[km]]/2)*6/100),2)</f>
        <v>0</v>
      </c>
      <c r="F165">
        <f>ROUND(IF(lpg[[#This Row],[zbiornik LPG]]&gt;15,lpg[[#This Row],[km]]*9/100,(lpg[[#This Row],[km]]/2)*9/100),2)</f>
        <v>1.58</v>
      </c>
      <c r="I165">
        <f>WEEKDAY(lpg[[#This Row],[data]],2)</f>
        <v>5</v>
      </c>
    </row>
    <row r="166" spans="1:9" x14ac:dyDescent="0.25">
      <c r="A166" s="1">
        <v>41804</v>
      </c>
      <c r="B166">
        <v>96</v>
      </c>
      <c r="C166">
        <f t="shared" si="4"/>
        <v>45</v>
      </c>
      <c r="D166">
        <f t="shared" si="5"/>
        <v>-563.49</v>
      </c>
      <c r="E166">
        <f>ROUND(IF(lpg[[#This Row],[zbiornik PB95]]&gt;15,0,(lpg[[#This Row],[km]]/2)*6/100),2)</f>
        <v>0</v>
      </c>
      <c r="F166">
        <f>ROUND(IF(lpg[[#This Row],[zbiornik LPG]]&gt;15,lpg[[#This Row],[km]]*9/100,(lpg[[#This Row],[km]]/2)*9/100),2)</f>
        <v>4.32</v>
      </c>
      <c r="I166">
        <f>WEEKDAY(lpg[[#This Row],[data]],2)</f>
        <v>6</v>
      </c>
    </row>
    <row r="167" spans="1:9" x14ac:dyDescent="0.25">
      <c r="A167" s="1">
        <v>41805</v>
      </c>
      <c r="B167">
        <v>23</v>
      </c>
      <c r="C167">
        <f t="shared" si="4"/>
        <v>45</v>
      </c>
      <c r="D167">
        <f t="shared" si="5"/>
        <v>-567.81000000000006</v>
      </c>
      <c r="E167">
        <f>ROUND(IF(lpg[[#This Row],[zbiornik PB95]]&gt;15,0,(lpg[[#This Row],[km]]/2)*6/100),2)</f>
        <v>0</v>
      </c>
      <c r="F167">
        <f>ROUND(IF(lpg[[#This Row],[zbiornik LPG]]&gt;15,lpg[[#This Row],[km]]*9/100,(lpg[[#This Row],[km]]/2)*9/100),2)</f>
        <v>1.04</v>
      </c>
      <c r="I167">
        <f>WEEKDAY(lpg[[#This Row],[data]],2)</f>
        <v>7</v>
      </c>
    </row>
    <row r="168" spans="1:9" x14ac:dyDescent="0.25">
      <c r="A168" s="1">
        <v>41806</v>
      </c>
      <c r="B168">
        <v>109</v>
      </c>
      <c r="C168">
        <f t="shared" si="4"/>
        <v>45</v>
      </c>
      <c r="D168">
        <f t="shared" si="5"/>
        <v>-568.85</v>
      </c>
      <c r="E168">
        <f>ROUND(IF(lpg[[#This Row],[zbiornik PB95]]&gt;15,0,(lpg[[#This Row],[km]]/2)*6/100),2)</f>
        <v>0</v>
      </c>
      <c r="F168">
        <f>ROUND(IF(lpg[[#This Row],[zbiornik LPG]]&gt;15,lpg[[#This Row],[km]]*9/100,(lpg[[#This Row],[km]]/2)*9/100),2)</f>
        <v>4.91</v>
      </c>
      <c r="I168">
        <f>WEEKDAY(lpg[[#This Row],[data]],2)</f>
        <v>1</v>
      </c>
    </row>
    <row r="169" spans="1:9" x14ac:dyDescent="0.25">
      <c r="A169" s="1">
        <v>41807</v>
      </c>
      <c r="B169">
        <v>39</v>
      </c>
      <c r="C169">
        <f t="shared" si="4"/>
        <v>45</v>
      </c>
      <c r="D169">
        <f t="shared" si="5"/>
        <v>-573.76</v>
      </c>
      <c r="E169">
        <f>ROUND(IF(lpg[[#This Row],[zbiornik PB95]]&gt;15,0,(lpg[[#This Row],[km]]/2)*6/100),2)</f>
        <v>0</v>
      </c>
      <c r="F169">
        <f>ROUND(IF(lpg[[#This Row],[zbiornik LPG]]&gt;15,lpg[[#This Row],[km]]*9/100,(lpg[[#This Row],[km]]/2)*9/100),2)</f>
        <v>1.76</v>
      </c>
      <c r="I169">
        <f>WEEKDAY(lpg[[#This Row],[data]],2)</f>
        <v>2</v>
      </c>
    </row>
    <row r="170" spans="1:9" x14ac:dyDescent="0.25">
      <c r="A170" s="1">
        <v>41808</v>
      </c>
      <c r="B170">
        <v>136</v>
      </c>
      <c r="C170">
        <f t="shared" si="4"/>
        <v>45</v>
      </c>
      <c r="D170">
        <f t="shared" si="5"/>
        <v>-575.52</v>
      </c>
      <c r="E170">
        <f>ROUND(IF(lpg[[#This Row],[zbiornik PB95]]&gt;15,0,(lpg[[#This Row],[km]]/2)*6/100),2)</f>
        <v>0</v>
      </c>
      <c r="F170">
        <f>ROUND(IF(lpg[[#This Row],[zbiornik LPG]]&gt;15,lpg[[#This Row],[km]]*9/100,(lpg[[#This Row],[km]]/2)*9/100),2)</f>
        <v>6.12</v>
      </c>
      <c r="I170">
        <f>WEEKDAY(lpg[[#This Row],[data]],2)</f>
        <v>3</v>
      </c>
    </row>
    <row r="171" spans="1:9" x14ac:dyDescent="0.25">
      <c r="A171" s="1">
        <v>41809</v>
      </c>
      <c r="B171">
        <v>132</v>
      </c>
      <c r="C171">
        <f t="shared" si="4"/>
        <v>45</v>
      </c>
      <c r="D171">
        <f t="shared" si="5"/>
        <v>-581.64</v>
      </c>
      <c r="E171">
        <f>ROUND(IF(lpg[[#This Row],[zbiornik PB95]]&gt;15,0,(lpg[[#This Row],[km]]/2)*6/100),2)</f>
        <v>0</v>
      </c>
      <c r="F171">
        <f>ROUND(IF(lpg[[#This Row],[zbiornik LPG]]&gt;15,lpg[[#This Row],[km]]*9/100,(lpg[[#This Row],[km]]/2)*9/100),2)</f>
        <v>5.94</v>
      </c>
      <c r="I171">
        <f>WEEKDAY(lpg[[#This Row],[data]],2)</f>
        <v>4</v>
      </c>
    </row>
    <row r="172" spans="1:9" x14ac:dyDescent="0.25">
      <c r="A172" s="1">
        <v>41810</v>
      </c>
      <c r="B172">
        <v>92</v>
      </c>
      <c r="C172">
        <f t="shared" si="4"/>
        <v>45</v>
      </c>
      <c r="D172">
        <f t="shared" si="5"/>
        <v>-587.58000000000004</v>
      </c>
      <c r="E172">
        <f>ROUND(IF(lpg[[#This Row],[zbiornik PB95]]&gt;15,0,(lpg[[#This Row],[km]]/2)*6/100),2)</f>
        <v>0</v>
      </c>
      <c r="F172">
        <f>ROUND(IF(lpg[[#This Row],[zbiornik LPG]]&gt;15,lpg[[#This Row],[km]]*9/100,(lpg[[#This Row],[km]]/2)*9/100),2)</f>
        <v>4.1399999999999997</v>
      </c>
      <c r="I172">
        <f>WEEKDAY(lpg[[#This Row],[data]],2)</f>
        <v>5</v>
      </c>
    </row>
    <row r="173" spans="1:9" x14ac:dyDescent="0.25">
      <c r="A173" s="1">
        <v>41811</v>
      </c>
      <c r="B173">
        <v>49</v>
      </c>
      <c r="C173">
        <f t="shared" si="4"/>
        <v>45</v>
      </c>
      <c r="D173">
        <f t="shared" si="5"/>
        <v>-591.72</v>
      </c>
      <c r="E173">
        <f>ROUND(IF(lpg[[#This Row],[zbiornik PB95]]&gt;15,0,(lpg[[#This Row],[km]]/2)*6/100),2)</f>
        <v>0</v>
      </c>
      <c r="F173">
        <f>ROUND(IF(lpg[[#This Row],[zbiornik LPG]]&gt;15,lpg[[#This Row],[km]]*9/100,(lpg[[#This Row],[km]]/2)*9/100),2)</f>
        <v>2.21</v>
      </c>
      <c r="I173">
        <f>WEEKDAY(lpg[[#This Row],[data]],2)</f>
        <v>6</v>
      </c>
    </row>
    <row r="174" spans="1:9" x14ac:dyDescent="0.25">
      <c r="A174" s="1">
        <v>41812</v>
      </c>
      <c r="B174">
        <v>146</v>
      </c>
      <c r="C174">
        <f t="shared" si="4"/>
        <v>45</v>
      </c>
      <c r="D174">
        <f t="shared" si="5"/>
        <v>-593.93000000000006</v>
      </c>
      <c r="E174">
        <f>ROUND(IF(lpg[[#This Row],[zbiornik PB95]]&gt;15,0,(lpg[[#This Row],[km]]/2)*6/100),2)</f>
        <v>0</v>
      </c>
      <c r="F174">
        <f>ROUND(IF(lpg[[#This Row],[zbiornik LPG]]&gt;15,lpg[[#This Row],[km]]*9/100,(lpg[[#This Row],[km]]/2)*9/100),2)</f>
        <v>6.57</v>
      </c>
      <c r="I174">
        <f>WEEKDAY(lpg[[#This Row],[data]],2)</f>
        <v>7</v>
      </c>
    </row>
    <row r="175" spans="1:9" x14ac:dyDescent="0.25">
      <c r="A175" s="1">
        <v>41813</v>
      </c>
      <c r="B175">
        <v>90</v>
      </c>
      <c r="C175">
        <f t="shared" si="4"/>
        <v>45</v>
      </c>
      <c r="D175">
        <f t="shared" si="5"/>
        <v>-600.50000000000011</v>
      </c>
      <c r="E175">
        <f>ROUND(IF(lpg[[#This Row],[zbiornik PB95]]&gt;15,0,(lpg[[#This Row],[km]]/2)*6/100),2)</f>
        <v>0</v>
      </c>
      <c r="F175">
        <f>ROUND(IF(lpg[[#This Row],[zbiornik LPG]]&gt;15,lpg[[#This Row],[km]]*9/100,(lpg[[#This Row],[km]]/2)*9/100),2)</f>
        <v>4.05</v>
      </c>
      <c r="I175">
        <f>WEEKDAY(lpg[[#This Row],[data]],2)</f>
        <v>1</v>
      </c>
    </row>
    <row r="176" spans="1:9" x14ac:dyDescent="0.25">
      <c r="A176" s="1">
        <v>41814</v>
      </c>
      <c r="B176">
        <v>74</v>
      </c>
      <c r="C176">
        <f t="shared" si="4"/>
        <v>45</v>
      </c>
      <c r="D176">
        <f t="shared" si="5"/>
        <v>-604.55000000000007</v>
      </c>
      <c r="E176">
        <f>ROUND(IF(lpg[[#This Row],[zbiornik PB95]]&gt;15,0,(lpg[[#This Row],[km]]/2)*6/100),2)</f>
        <v>0</v>
      </c>
      <c r="F176">
        <f>ROUND(IF(lpg[[#This Row],[zbiornik LPG]]&gt;15,lpg[[#This Row],[km]]*9/100,(lpg[[#This Row],[km]]/2)*9/100),2)</f>
        <v>3.33</v>
      </c>
      <c r="I176">
        <f>WEEKDAY(lpg[[#This Row],[data]],2)</f>
        <v>2</v>
      </c>
    </row>
    <row r="177" spans="1:9" x14ac:dyDescent="0.25">
      <c r="A177" s="1">
        <v>41815</v>
      </c>
      <c r="B177">
        <v>97</v>
      </c>
      <c r="C177">
        <f t="shared" si="4"/>
        <v>45</v>
      </c>
      <c r="D177">
        <f t="shared" si="5"/>
        <v>-607.88000000000011</v>
      </c>
      <c r="E177">
        <f>ROUND(IF(lpg[[#This Row],[zbiornik PB95]]&gt;15,0,(lpg[[#This Row],[km]]/2)*6/100),2)</f>
        <v>0</v>
      </c>
      <c r="F177">
        <f>ROUND(IF(lpg[[#This Row],[zbiornik LPG]]&gt;15,lpg[[#This Row],[km]]*9/100,(lpg[[#This Row],[km]]/2)*9/100),2)</f>
        <v>4.37</v>
      </c>
      <c r="I177">
        <f>WEEKDAY(lpg[[#This Row],[data]],2)</f>
        <v>3</v>
      </c>
    </row>
    <row r="178" spans="1:9" x14ac:dyDescent="0.25">
      <c r="A178" s="1">
        <v>41816</v>
      </c>
      <c r="B178">
        <v>148</v>
      </c>
      <c r="C178">
        <f t="shared" si="4"/>
        <v>45</v>
      </c>
      <c r="D178">
        <f t="shared" si="5"/>
        <v>-612.25000000000011</v>
      </c>
      <c r="E178">
        <f>ROUND(IF(lpg[[#This Row],[zbiornik PB95]]&gt;15,0,(lpg[[#This Row],[km]]/2)*6/100),2)</f>
        <v>0</v>
      </c>
      <c r="F178">
        <f>ROUND(IF(lpg[[#This Row],[zbiornik LPG]]&gt;15,lpg[[#This Row],[km]]*9/100,(lpg[[#This Row],[km]]/2)*9/100),2)</f>
        <v>6.66</v>
      </c>
      <c r="I178">
        <f>WEEKDAY(lpg[[#This Row],[data]],2)</f>
        <v>4</v>
      </c>
    </row>
    <row r="179" spans="1:9" x14ac:dyDescent="0.25">
      <c r="A179" s="1">
        <v>41817</v>
      </c>
      <c r="B179">
        <v>65</v>
      </c>
      <c r="C179">
        <f t="shared" si="4"/>
        <v>45</v>
      </c>
      <c r="D179">
        <f t="shared" si="5"/>
        <v>-618.91000000000008</v>
      </c>
      <c r="E179">
        <f>ROUND(IF(lpg[[#This Row],[zbiornik PB95]]&gt;15,0,(lpg[[#This Row],[km]]/2)*6/100),2)</f>
        <v>0</v>
      </c>
      <c r="F179">
        <f>ROUND(IF(lpg[[#This Row],[zbiornik LPG]]&gt;15,lpg[[#This Row],[km]]*9/100,(lpg[[#This Row],[km]]/2)*9/100),2)</f>
        <v>2.93</v>
      </c>
      <c r="I179">
        <f>WEEKDAY(lpg[[#This Row],[data]],2)</f>
        <v>5</v>
      </c>
    </row>
    <row r="180" spans="1:9" x14ac:dyDescent="0.25">
      <c r="A180" s="1">
        <v>41818</v>
      </c>
      <c r="B180">
        <v>62</v>
      </c>
      <c r="C180">
        <f t="shared" si="4"/>
        <v>45</v>
      </c>
      <c r="D180">
        <f t="shared" si="5"/>
        <v>-621.84</v>
      </c>
      <c r="E180">
        <f>ROUND(IF(lpg[[#This Row],[zbiornik PB95]]&gt;15,0,(lpg[[#This Row],[km]]/2)*6/100),2)</f>
        <v>0</v>
      </c>
      <c r="F180">
        <f>ROUND(IF(lpg[[#This Row],[zbiornik LPG]]&gt;15,lpg[[#This Row],[km]]*9/100,(lpg[[#This Row],[km]]/2)*9/100),2)</f>
        <v>2.79</v>
      </c>
      <c r="I180">
        <f>WEEKDAY(lpg[[#This Row],[data]],2)</f>
        <v>6</v>
      </c>
    </row>
    <row r="181" spans="1:9" x14ac:dyDescent="0.25">
      <c r="A181" s="1">
        <v>41819</v>
      </c>
      <c r="B181">
        <v>130</v>
      </c>
      <c r="C181">
        <f t="shared" si="4"/>
        <v>45</v>
      </c>
      <c r="D181">
        <f t="shared" si="5"/>
        <v>-624.63</v>
      </c>
      <c r="E181">
        <f>ROUND(IF(lpg[[#This Row],[zbiornik PB95]]&gt;15,0,(lpg[[#This Row],[km]]/2)*6/100),2)</f>
        <v>0</v>
      </c>
      <c r="F181">
        <f>ROUND(IF(lpg[[#This Row],[zbiornik LPG]]&gt;15,lpg[[#This Row],[km]]*9/100,(lpg[[#This Row],[km]]/2)*9/100),2)</f>
        <v>5.85</v>
      </c>
      <c r="I181">
        <f>WEEKDAY(lpg[[#This Row],[data]],2)</f>
        <v>7</v>
      </c>
    </row>
    <row r="182" spans="1:9" x14ac:dyDescent="0.25">
      <c r="A182" s="1">
        <v>41820</v>
      </c>
      <c r="B182">
        <v>39</v>
      </c>
      <c r="C182">
        <f t="shared" si="4"/>
        <v>45</v>
      </c>
      <c r="D182">
        <f t="shared" si="5"/>
        <v>-630.48</v>
      </c>
      <c r="E182">
        <f>ROUND(IF(lpg[[#This Row],[zbiornik PB95]]&gt;15,0,(lpg[[#This Row],[km]]/2)*6/100),2)</f>
        <v>0</v>
      </c>
      <c r="F182">
        <f>ROUND(IF(lpg[[#This Row],[zbiornik LPG]]&gt;15,lpg[[#This Row],[km]]*9/100,(lpg[[#This Row],[km]]/2)*9/100),2)</f>
        <v>1.76</v>
      </c>
      <c r="I182">
        <f>WEEKDAY(lpg[[#This Row],[data]],2)</f>
        <v>1</v>
      </c>
    </row>
    <row r="183" spans="1:9" x14ac:dyDescent="0.25">
      <c r="A183" s="1">
        <v>41821</v>
      </c>
      <c r="B183">
        <v>95</v>
      </c>
      <c r="C183">
        <f t="shared" si="4"/>
        <v>45</v>
      </c>
      <c r="D183">
        <f t="shared" si="5"/>
        <v>-632.24</v>
      </c>
      <c r="E183">
        <f>ROUND(IF(lpg[[#This Row],[zbiornik PB95]]&gt;15,0,(lpg[[#This Row],[km]]/2)*6/100),2)</f>
        <v>0</v>
      </c>
      <c r="F183">
        <f>ROUND(IF(lpg[[#This Row],[zbiornik LPG]]&gt;15,lpg[[#This Row],[km]]*9/100,(lpg[[#This Row],[km]]/2)*9/100),2)</f>
        <v>4.28</v>
      </c>
      <c r="I183">
        <f>WEEKDAY(lpg[[#This Row],[data]],2)</f>
        <v>2</v>
      </c>
    </row>
    <row r="184" spans="1:9" x14ac:dyDescent="0.25">
      <c r="A184" s="1">
        <v>41822</v>
      </c>
      <c r="B184">
        <v>100</v>
      </c>
      <c r="C184">
        <f t="shared" si="4"/>
        <v>45</v>
      </c>
      <c r="D184">
        <f t="shared" si="5"/>
        <v>-636.52</v>
      </c>
      <c r="E184">
        <f>ROUND(IF(lpg[[#This Row],[zbiornik PB95]]&gt;15,0,(lpg[[#This Row],[km]]/2)*6/100),2)</f>
        <v>0</v>
      </c>
      <c r="F184">
        <f>ROUND(IF(lpg[[#This Row],[zbiornik LPG]]&gt;15,lpg[[#This Row],[km]]*9/100,(lpg[[#This Row],[km]]/2)*9/100),2)</f>
        <v>4.5</v>
      </c>
      <c r="I184">
        <f>WEEKDAY(lpg[[#This Row],[data]],2)</f>
        <v>3</v>
      </c>
    </row>
    <row r="185" spans="1:9" x14ac:dyDescent="0.25">
      <c r="A185" s="1">
        <v>41823</v>
      </c>
      <c r="B185">
        <v>75</v>
      </c>
      <c r="C185">
        <f t="shared" si="4"/>
        <v>45</v>
      </c>
      <c r="D185">
        <f t="shared" si="5"/>
        <v>-641.02</v>
      </c>
      <c r="E185">
        <f>ROUND(IF(lpg[[#This Row],[zbiornik PB95]]&gt;15,0,(lpg[[#This Row],[km]]/2)*6/100),2)</f>
        <v>0</v>
      </c>
      <c r="F185">
        <f>ROUND(IF(lpg[[#This Row],[zbiornik LPG]]&gt;15,lpg[[#This Row],[km]]*9/100,(lpg[[#This Row],[km]]/2)*9/100),2)</f>
        <v>3.38</v>
      </c>
      <c r="I185">
        <f>WEEKDAY(lpg[[#This Row],[data]],2)</f>
        <v>4</v>
      </c>
    </row>
    <row r="186" spans="1:9" x14ac:dyDescent="0.25">
      <c r="A186" s="1">
        <v>41824</v>
      </c>
      <c r="B186">
        <v>27</v>
      </c>
      <c r="C186">
        <f t="shared" si="4"/>
        <v>45</v>
      </c>
      <c r="D186">
        <f t="shared" si="5"/>
        <v>-644.4</v>
      </c>
      <c r="E186">
        <f>ROUND(IF(lpg[[#This Row],[zbiornik PB95]]&gt;15,0,(lpg[[#This Row],[km]]/2)*6/100),2)</f>
        <v>0</v>
      </c>
      <c r="F186">
        <f>ROUND(IF(lpg[[#This Row],[zbiornik LPG]]&gt;15,lpg[[#This Row],[km]]*9/100,(lpg[[#This Row],[km]]/2)*9/100),2)</f>
        <v>1.22</v>
      </c>
      <c r="I186">
        <f>WEEKDAY(lpg[[#This Row],[data]],2)</f>
        <v>5</v>
      </c>
    </row>
    <row r="187" spans="1:9" x14ac:dyDescent="0.25">
      <c r="A187" s="1">
        <v>41825</v>
      </c>
      <c r="B187">
        <v>56</v>
      </c>
      <c r="C187">
        <f t="shared" si="4"/>
        <v>45</v>
      </c>
      <c r="D187">
        <f t="shared" si="5"/>
        <v>-645.62</v>
      </c>
      <c r="E187">
        <f>ROUND(IF(lpg[[#This Row],[zbiornik PB95]]&gt;15,0,(lpg[[#This Row],[km]]/2)*6/100),2)</f>
        <v>0</v>
      </c>
      <c r="F187">
        <f>ROUND(IF(lpg[[#This Row],[zbiornik LPG]]&gt;15,lpg[[#This Row],[km]]*9/100,(lpg[[#This Row],[km]]/2)*9/100),2)</f>
        <v>2.52</v>
      </c>
      <c r="I187">
        <f>WEEKDAY(lpg[[#This Row],[data]],2)</f>
        <v>6</v>
      </c>
    </row>
    <row r="188" spans="1:9" x14ac:dyDescent="0.25">
      <c r="A188" s="1">
        <v>41826</v>
      </c>
      <c r="B188">
        <v>141</v>
      </c>
      <c r="C188">
        <f t="shared" si="4"/>
        <v>45</v>
      </c>
      <c r="D188">
        <f t="shared" si="5"/>
        <v>-648.14</v>
      </c>
      <c r="E188">
        <f>ROUND(IF(lpg[[#This Row],[zbiornik PB95]]&gt;15,0,(lpg[[#This Row],[km]]/2)*6/100),2)</f>
        <v>0</v>
      </c>
      <c r="F188">
        <f>ROUND(IF(lpg[[#This Row],[zbiornik LPG]]&gt;15,lpg[[#This Row],[km]]*9/100,(lpg[[#This Row],[km]]/2)*9/100),2)</f>
        <v>6.35</v>
      </c>
      <c r="I188">
        <f>WEEKDAY(lpg[[#This Row],[data]],2)</f>
        <v>7</v>
      </c>
    </row>
    <row r="189" spans="1:9" x14ac:dyDescent="0.25">
      <c r="A189" s="1">
        <v>41827</v>
      </c>
      <c r="B189">
        <v>120</v>
      </c>
      <c r="C189">
        <f t="shared" si="4"/>
        <v>45</v>
      </c>
      <c r="D189">
        <f t="shared" si="5"/>
        <v>-654.49</v>
      </c>
      <c r="E189">
        <f>ROUND(IF(lpg[[#This Row],[zbiornik PB95]]&gt;15,0,(lpg[[#This Row],[km]]/2)*6/100),2)</f>
        <v>0</v>
      </c>
      <c r="F189">
        <f>ROUND(IF(lpg[[#This Row],[zbiornik LPG]]&gt;15,lpg[[#This Row],[km]]*9/100,(lpg[[#This Row],[km]]/2)*9/100),2)</f>
        <v>5.4</v>
      </c>
      <c r="I189">
        <f>WEEKDAY(lpg[[#This Row],[data]],2)</f>
        <v>1</v>
      </c>
    </row>
    <row r="190" spans="1:9" x14ac:dyDescent="0.25">
      <c r="A190" s="1">
        <v>41828</v>
      </c>
      <c r="B190">
        <v>95</v>
      </c>
      <c r="C190">
        <f t="shared" si="4"/>
        <v>45</v>
      </c>
      <c r="D190">
        <f t="shared" si="5"/>
        <v>-659.89</v>
      </c>
      <c r="E190">
        <f>ROUND(IF(lpg[[#This Row],[zbiornik PB95]]&gt;15,0,(lpg[[#This Row],[km]]/2)*6/100),2)</f>
        <v>0</v>
      </c>
      <c r="F190">
        <f>ROUND(IF(lpg[[#This Row],[zbiornik LPG]]&gt;15,lpg[[#This Row],[km]]*9/100,(lpg[[#This Row],[km]]/2)*9/100),2)</f>
        <v>4.28</v>
      </c>
      <c r="I190">
        <f>WEEKDAY(lpg[[#This Row],[data]],2)</f>
        <v>2</v>
      </c>
    </row>
    <row r="191" spans="1:9" x14ac:dyDescent="0.25">
      <c r="A191" s="1">
        <v>41829</v>
      </c>
      <c r="B191">
        <v>81</v>
      </c>
      <c r="C191">
        <f t="shared" si="4"/>
        <v>45</v>
      </c>
      <c r="D191">
        <f t="shared" si="5"/>
        <v>-664.17</v>
      </c>
      <c r="E191">
        <f>ROUND(IF(lpg[[#This Row],[zbiornik PB95]]&gt;15,0,(lpg[[#This Row],[km]]/2)*6/100),2)</f>
        <v>0</v>
      </c>
      <c r="F191">
        <f>ROUND(IF(lpg[[#This Row],[zbiornik LPG]]&gt;15,lpg[[#This Row],[km]]*9/100,(lpg[[#This Row],[km]]/2)*9/100),2)</f>
        <v>3.65</v>
      </c>
      <c r="I191">
        <f>WEEKDAY(lpg[[#This Row],[data]],2)</f>
        <v>3</v>
      </c>
    </row>
    <row r="192" spans="1:9" x14ac:dyDescent="0.25">
      <c r="A192" s="1">
        <v>41830</v>
      </c>
      <c r="B192">
        <v>30</v>
      </c>
      <c r="C192">
        <f t="shared" si="4"/>
        <v>45</v>
      </c>
      <c r="D192">
        <f t="shared" si="5"/>
        <v>-667.81999999999994</v>
      </c>
      <c r="E192">
        <f>ROUND(IF(lpg[[#This Row],[zbiornik PB95]]&gt;15,0,(lpg[[#This Row],[km]]/2)*6/100),2)</f>
        <v>0</v>
      </c>
      <c r="F192">
        <f>ROUND(IF(lpg[[#This Row],[zbiornik LPG]]&gt;15,lpg[[#This Row],[km]]*9/100,(lpg[[#This Row],[km]]/2)*9/100),2)</f>
        <v>1.35</v>
      </c>
      <c r="I192">
        <f>WEEKDAY(lpg[[#This Row],[data]],2)</f>
        <v>4</v>
      </c>
    </row>
    <row r="193" spans="1:9" x14ac:dyDescent="0.25">
      <c r="A193" s="1">
        <v>41831</v>
      </c>
      <c r="B193">
        <v>76</v>
      </c>
      <c r="C193">
        <f t="shared" si="4"/>
        <v>45</v>
      </c>
      <c r="D193">
        <f t="shared" si="5"/>
        <v>-669.17</v>
      </c>
      <c r="E193">
        <f>ROUND(IF(lpg[[#This Row],[zbiornik PB95]]&gt;15,0,(lpg[[#This Row],[km]]/2)*6/100),2)</f>
        <v>0</v>
      </c>
      <c r="F193">
        <f>ROUND(IF(lpg[[#This Row],[zbiornik LPG]]&gt;15,lpg[[#This Row],[km]]*9/100,(lpg[[#This Row],[km]]/2)*9/100),2)</f>
        <v>3.42</v>
      </c>
      <c r="I193">
        <f>WEEKDAY(lpg[[#This Row],[data]],2)</f>
        <v>5</v>
      </c>
    </row>
    <row r="194" spans="1:9" x14ac:dyDescent="0.25">
      <c r="A194" s="1">
        <v>41832</v>
      </c>
      <c r="B194">
        <v>67</v>
      </c>
      <c r="C194">
        <f t="shared" si="4"/>
        <v>45</v>
      </c>
      <c r="D194">
        <f t="shared" si="5"/>
        <v>-672.58999999999992</v>
      </c>
      <c r="E194">
        <f>ROUND(IF(lpg[[#This Row],[zbiornik PB95]]&gt;15,0,(lpg[[#This Row],[km]]/2)*6/100),2)</f>
        <v>0</v>
      </c>
      <c r="F194">
        <f>ROUND(IF(lpg[[#This Row],[zbiornik LPG]]&gt;15,lpg[[#This Row],[km]]*9/100,(lpg[[#This Row],[km]]/2)*9/100),2)</f>
        <v>3.02</v>
      </c>
      <c r="I194">
        <f>WEEKDAY(lpg[[#This Row],[data]],2)</f>
        <v>6</v>
      </c>
    </row>
    <row r="195" spans="1:9" x14ac:dyDescent="0.25">
      <c r="A195" s="1">
        <v>41833</v>
      </c>
      <c r="B195">
        <v>102</v>
      </c>
      <c r="C195">
        <f t="shared" si="4"/>
        <v>45</v>
      </c>
      <c r="D195">
        <f t="shared" si="5"/>
        <v>-675.6099999999999</v>
      </c>
      <c r="E195">
        <f>ROUND(IF(lpg[[#This Row],[zbiornik PB95]]&gt;15,0,(lpg[[#This Row],[km]]/2)*6/100),2)</f>
        <v>0</v>
      </c>
      <c r="F195">
        <f>ROUND(IF(lpg[[#This Row],[zbiornik LPG]]&gt;15,lpg[[#This Row],[km]]*9/100,(lpg[[#This Row],[km]]/2)*9/100),2)</f>
        <v>4.59</v>
      </c>
      <c r="I195">
        <f>WEEKDAY(lpg[[#This Row],[data]],2)</f>
        <v>7</v>
      </c>
    </row>
    <row r="196" spans="1:9" x14ac:dyDescent="0.25">
      <c r="A196" s="1">
        <v>41834</v>
      </c>
      <c r="B196">
        <v>67</v>
      </c>
      <c r="C196">
        <f t="shared" ref="C196:C259" si="6">C195-E195</f>
        <v>45</v>
      </c>
      <c r="D196">
        <f t="shared" ref="D196:D259" si="7">D195-F195</f>
        <v>-680.19999999999993</v>
      </c>
      <c r="E196">
        <f>ROUND(IF(lpg[[#This Row],[zbiornik PB95]]&gt;15,0,(lpg[[#This Row],[km]]/2)*6/100),2)</f>
        <v>0</v>
      </c>
      <c r="F196">
        <f>ROUND(IF(lpg[[#This Row],[zbiornik LPG]]&gt;15,lpg[[#This Row],[km]]*9/100,(lpg[[#This Row],[km]]/2)*9/100),2)</f>
        <v>3.02</v>
      </c>
      <c r="I196">
        <f>WEEKDAY(lpg[[#This Row],[data]],2)</f>
        <v>1</v>
      </c>
    </row>
    <row r="197" spans="1:9" x14ac:dyDescent="0.25">
      <c r="A197" s="1">
        <v>41835</v>
      </c>
      <c r="B197">
        <v>25</v>
      </c>
      <c r="C197">
        <f t="shared" si="6"/>
        <v>45</v>
      </c>
      <c r="D197">
        <f t="shared" si="7"/>
        <v>-683.21999999999991</v>
      </c>
      <c r="E197">
        <f>ROUND(IF(lpg[[#This Row],[zbiornik PB95]]&gt;15,0,(lpg[[#This Row],[km]]/2)*6/100),2)</f>
        <v>0</v>
      </c>
      <c r="F197">
        <f>ROUND(IF(lpg[[#This Row],[zbiornik LPG]]&gt;15,lpg[[#This Row],[km]]*9/100,(lpg[[#This Row],[km]]/2)*9/100),2)</f>
        <v>1.1299999999999999</v>
      </c>
      <c r="I197">
        <f>WEEKDAY(lpg[[#This Row],[data]],2)</f>
        <v>2</v>
      </c>
    </row>
    <row r="198" spans="1:9" x14ac:dyDescent="0.25">
      <c r="A198" s="1">
        <v>41836</v>
      </c>
      <c r="B198">
        <v>69</v>
      </c>
      <c r="C198">
        <f t="shared" si="6"/>
        <v>45</v>
      </c>
      <c r="D198">
        <f t="shared" si="7"/>
        <v>-684.34999999999991</v>
      </c>
      <c r="E198">
        <f>ROUND(IF(lpg[[#This Row],[zbiornik PB95]]&gt;15,0,(lpg[[#This Row],[km]]/2)*6/100),2)</f>
        <v>0</v>
      </c>
      <c r="F198">
        <f>ROUND(IF(lpg[[#This Row],[zbiornik LPG]]&gt;15,lpg[[#This Row],[km]]*9/100,(lpg[[#This Row],[km]]/2)*9/100),2)</f>
        <v>3.11</v>
      </c>
      <c r="I198">
        <f>WEEKDAY(lpg[[#This Row],[data]],2)</f>
        <v>3</v>
      </c>
    </row>
    <row r="199" spans="1:9" x14ac:dyDescent="0.25">
      <c r="A199" s="1">
        <v>41837</v>
      </c>
      <c r="B199">
        <v>61</v>
      </c>
      <c r="C199">
        <f t="shared" si="6"/>
        <v>45</v>
      </c>
      <c r="D199">
        <f t="shared" si="7"/>
        <v>-687.45999999999992</v>
      </c>
      <c r="E199">
        <f>ROUND(IF(lpg[[#This Row],[zbiornik PB95]]&gt;15,0,(lpg[[#This Row],[km]]/2)*6/100),2)</f>
        <v>0</v>
      </c>
      <c r="F199">
        <f>ROUND(IF(lpg[[#This Row],[zbiornik LPG]]&gt;15,lpg[[#This Row],[km]]*9/100,(lpg[[#This Row],[km]]/2)*9/100),2)</f>
        <v>2.75</v>
      </c>
      <c r="I199">
        <f>WEEKDAY(lpg[[#This Row],[data]],2)</f>
        <v>4</v>
      </c>
    </row>
    <row r="200" spans="1:9" x14ac:dyDescent="0.25">
      <c r="A200" s="1">
        <v>41838</v>
      </c>
      <c r="B200">
        <v>99</v>
      </c>
      <c r="C200">
        <f t="shared" si="6"/>
        <v>45</v>
      </c>
      <c r="D200">
        <f t="shared" si="7"/>
        <v>-690.20999999999992</v>
      </c>
      <c r="E200">
        <f>ROUND(IF(lpg[[#This Row],[zbiornik PB95]]&gt;15,0,(lpg[[#This Row],[km]]/2)*6/100),2)</f>
        <v>0</v>
      </c>
      <c r="F200">
        <f>ROUND(IF(lpg[[#This Row],[zbiornik LPG]]&gt;15,lpg[[#This Row],[km]]*9/100,(lpg[[#This Row],[km]]/2)*9/100),2)</f>
        <v>4.46</v>
      </c>
      <c r="I200">
        <f>WEEKDAY(lpg[[#This Row],[data]],2)</f>
        <v>5</v>
      </c>
    </row>
    <row r="201" spans="1:9" x14ac:dyDescent="0.25">
      <c r="A201" s="1">
        <v>41839</v>
      </c>
      <c r="B201">
        <v>16</v>
      </c>
      <c r="C201">
        <f t="shared" si="6"/>
        <v>45</v>
      </c>
      <c r="D201">
        <f t="shared" si="7"/>
        <v>-694.67</v>
      </c>
      <c r="E201">
        <f>ROUND(IF(lpg[[#This Row],[zbiornik PB95]]&gt;15,0,(lpg[[#This Row],[km]]/2)*6/100),2)</f>
        <v>0</v>
      </c>
      <c r="F201">
        <f>ROUND(IF(lpg[[#This Row],[zbiornik LPG]]&gt;15,lpg[[#This Row],[km]]*9/100,(lpg[[#This Row],[km]]/2)*9/100),2)</f>
        <v>0.72</v>
      </c>
      <c r="I201">
        <f>WEEKDAY(lpg[[#This Row],[data]],2)</f>
        <v>6</v>
      </c>
    </row>
    <row r="202" spans="1:9" x14ac:dyDescent="0.25">
      <c r="A202" s="1">
        <v>41840</v>
      </c>
      <c r="B202">
        <v>102</v>
      </c>
      <c r="C202">
        <f t="shared" si="6"/>
        <v>45</v>
      </c>
      <c r="D202">
        <f t="shared" si="7"/>
        <v>-695.39</v>
      </c>
      <c r="E202">
        <f>ROUND(IF(lpg[[#This Row],[zbiornik PB95]]&gt;15,0,(lpg[[#This Row],[km]]/2)*6/100),2)</f>
        <v>0</v>
      </c>
      <c r="F202">
        <f>ROUND(IF(lpg[[#This Row],[zbiornik LPG]]&gt;15,lpg[[#This Row],[km]]*9/100,(lpg[[#This Row],[km]]/2)*9/100),2)</f>
        <v>4.59</v>
      </c>
      <c r="I202">
        <f>WEEKDAY(lpg[[#This Row],[data]],2)</f>
        <v>7</v>
      </c>
    </row>
    <row r="203" spans="1:9" x14ac:dyDescent="0.25">
      <c r="A203" s="1">
        <v>41841</v>
      </c>
      <c r="B203">
        <v>67</v>
      </c>
      <c r="C203">
        <f t="shared" si="6"/>
        <v>45</v>
      </c>
      <c r="D203">
        <f t="shared" si="7"/>
        <v>-699.98</v>
      </c>
      <c r="E203">
        <f>ROUND(IF(lpg[[#This Row],[zbiornik PB95]]&gt;15,0,(lpg[[#This Row],[km]]/2)*6/100),2)</f>
        <v>0</v>
      </c>
      <c r="F203">
        <f>ROUND(IF(lpg[[#This Row],[zbiornik LPG]]&gt;15,lpg[[#This Row],[km]]*9/100,(lpg[[#This Row],[km]]/2)*9/100),2)</f>
        <v>3.02</v>
      </c>
      <c r="I203">
        <f>WEEKDAY(lpg[[#This Row],[data]],2)</f>
        <v>1</v>
      </c>
    </row>
    <row r="204" spans="1:9" x14ac:dyDescent="0.25">
      <c r="A204" s="1">
        <v>41842</v>
      </c>
      <c r="B204">
        <v>51</v>
      </c>
      <c r="C204">
        <f t="shared" si="6"/>
        <v>45</v>
      </c>
      <c r="D204">
        <f t="shared" si="7"/>
        <v>-703</v>
      </c>
      <c r="E204">
        <f>ROUND(IF(lpg[[#This Row],[zbiornik PB95]]&gt;15,0,(lpg[[#This Row],[km]]/2)*6/100),2)</f>
        <v>0</v>
      </c>
      <c r="F204">
        <f>ROUND(IF(lpg[[#This Row],[zbiornik LPG]]&gt;15,lpg[[#This Row],[km]]*9/100,(lpg[[#This Row],[km]]/2)*9/100),2)</f>
        <v>2.2999999999999998</v>
      </c>
      <c r="I204">
        <f>WEEKDAY(lpg[[#This Row],[data]],2)</f>
        <v>2</v>
      </c>
    </row>
    <row r="205" spans="1:9" x14ac:dyDescent="0.25">
      <c r="A205" s="1">
        <v>41843</v>
      </c>
      <c r="B205">
        <v>34</v>
      </c>
      <c r="C205">
        <f t="shared" si="6"/>
        <v>45</v>
      </c>
      <c r="D205">
        <f t="shared" si="7"/>
        <v>-705.3</v>
      </c>
      <c r="E205">
        <f>ROUND(IF(lpg[[#This Row],[zbiornik PB95]]&gt;15,0,(lpg[[#This Row],[km]]/2)*6/100),2)</f>
        <v>0</v>
      </c>
      <c r="F205">
        <f>ROUND(IF(lpg[[#This Row],[zbiornik LPG]]&gt;15,lpg[[#This Row],[km]]*9/100,(lpg[[#This Row],[km]]/2)*9/100),2)</f>
        <v>1.53</v>
      </c>
      <c r="I205">
        <f>WEEKDAY(lpg[[#This Row],[data]],2)</f>
        <v>3</v>
      </c>
    </row>
    <row r="206" spans="1:9" x14ac:dyDescent="0.25">
      <c r="A206" s="1">
        <v>41844</v>
      </c>
      <c r="B206">
        <v>108</v>
      </c>
      <c r="C206">
        <f t="shared" si="6"/>
        <v>45</v>
      </c>
      <c r="D206">
        <f t="shared" si="7"/>
        <v>-706.82999999999993</v>
      </c>
      <c r="E206">
        <f>ROUND(IF(lpg[[#This Row],[zbiornik PB95]]&gt;15,0,(lpg[[#This Row],[km]]/2)*6/100),2)</f>
        <v>0</v>
      </c>
      <c r="F206">
        <f>ROUND(IF(lpg[[#This Row],[zbiornik LPG]]&gt;15,lpg[[#This Row],[km]]*9/100,(lpg[[#This Row],[km]]/2)*9/100),2)</f>
        <v>4.8600000000000003</v>
      </c>
      <c r="I206">
        <f>WEEKDAY(lpg[[#This Row],[data]],2)</f>
        <v>4</v>
      </c>
    </row>
    <row r="207" spans="1:9" x14ac:dyDescent="0.25">
      <c r="A207" s="1">
        <v>41845</v>
      </c>
      <c r="B207">
        <v>64</v>
      </c>
      <c r="C207">
        <f t="shared" si="6"/>
        <v>45</v>
      </c>
      <c r="D207">
        <f t="shared" si="7"/>
        <v>-711.68999999999994</v>
      </c>
      <c r="E207">
        <f>ROUND(IF(lpg[[#This Row],[zbiornik PB95]]&gt;15,0,(lpg[[#This Row],[km]]/2)*6/100),2)</f>
        <v>0</v>
      </c>
      <c r="F207">
        <f>ROUND(IF(lpg[[#This Row],[zbiornik LPG]]&gt;15,lpg[[#This Row],[km]]*9/100,(lpg[[#This Row],[km]]/2)*9/100),2)</f>
        <v>2.88</v>
      </c>
      <c r="I207">
        <f>WEEKDAY(lpg[[#This Row],[data]],2)</f>
        <v>5</v>
      </c>
    </row>
    <row r="208" spans="1:9" x14ac:dyDescent="0.25">
      <c r="A208" s="1">
        <v>41846</v>
      </c>
      <c r="B208">
        <v>53</v>
      </c>
      <c r="C208">
        <f t="shared" si="6"/>
        <v>45</v>
      </c>
      <c r="D208">
        <f t="shared" si="7"/>
        <v>-714.56999999999994</v>
      </c>
      <c r="E208">
        <f>ROUND(IF(lpg[[#This Row],[zbiornik PB95]]&gt;15,0,(lpg[[#This Row],[km]]/2)*6/100),2)</f>
        <v>0</v>
      </c>
      <c r="F208">
        <f>ROUND(IF(lpg[[#This Row],[zbiornik LPG]]&gt;15,lpg[[#This Row],[km]]*9/100,(lpg[[#This Row],[km]]/2)*9/100),2)</f>
        <v>2.39</v>
      </c>
      <c r="I208">
        <f>WEEKDAY(lpg[[#This Row],[data]],2)</f>
        <v>6</v>
      </c>
    </row>
    <row r="209" spans="1:9" x14ac:dyDescent="0.25">
      <c r="A209" s="1">
        <v>41847</v>
      </c>
      <c r="B209">
        <v>66</v>
      </c>
      <c r="C209">
        <f t="shared" si="6"/>
        <v>45</v>
      </c>
      <c r="D209">
        <f t="shared" si="7"/>
        <v>-716.95999999999992</v>
      </c>
      <c r="E209">
        <f>ROUND(IF(lpg[[#This Row],[zbiornik PB95]]&gt;15,0,(lpg[[#This Row],[km]]/2)*6/100),2)</f>
        <v>0</v>
      </c>
      <c r="F209">
        <f>ROUND(IF(lpg[[#This Row],[zbiornik LPG]]&gt;15,lpg[[#This Row],[km]]*9/100,(lpg[[#This Row],[km]]/2)*9/100),2)</f>
        <v>2.97</v>
      </c>
      <c r="I209">
        <f>WEEKDAY(lpg[[#This Row],[data]],2)</f>
        <v>7</v>
      </c>
    </row>
    <row r="210" spans="1:9" x14ac:dyDescent="0.25">
      <c r="A210" s="1">
        <v>41848</v>
      </c>
      <c r="B210">
        <v>109</v>
      </c>
      <c r="C210">
        <f t="shared" si="6"/>
        <v>45</v>
      </c>
      <c r="D210">
        <f t="shared" si="7"/>
        <v>-719.93</v>
      </c>
      <c r="E210">
        <f>ROUND(IF(lpg[[#This Row],[zbiornik PB95]]&gt;15,0,(lpg[[#This Row],[km]]/2)*6/100),2)</f>
        <v>0</v>
      </c>
      <c r="F210">
        <f>ROUND(IF(lpg[[#This Row],[zbiornik LPG]]&gt;15,lpg[[#This Row],[km]]*9/100,(lpg[[#This Row],[km]]/2)*9/100),2)</f>
        <v>4.91</v>
      </c>
      <c r="I210">
        <f>WEEKDAY(lpg[[#This Row],[data]],2)</f>
        <v>1</v>
      </c>
    </row>
    <row r="211" spans="1:9" x14ac:dyDescent="0.25">
      <c r="A211" s="1">
        <v>41849</v>
      </c>
      <c r="B211">
        <v>70</v>
      </c>
      <c r="C211">
        <f t="shared" si="6"/>
        <v>45</v>
      </c>
      <c r="D211">
        <f t="shared" si="7"/>
        <v>-724.83999999999992</v>
      </c>
      <c r="E211">
        <f>ROUND(IF(lpg[[#This Row],[zbiornik PB95]]&gt;15,0,(lpg[[#This Row],[km]]/2)*6/100),2)</f>
        <v>0</v>
      </c>
      <c r="F211">
        <f>ROUND(IF(lpg[[#This Row],[zbiornik LPG]]&gt;15,lpg[[#This Row],[km]]*9/100,(lpg[[#This Row],[km]]/2)*9/100),2)</f>
        <v>3.15</v>
      </c>
      <c r="I211">
        <f>WEEKDAY(lpg[[#This Row],[data]],2)</f>
        <v>2</v>
      </c>
    </row>
    <row r="212" spans="1:9" x14ac:dyDescent="0.25">
      <c r="A212" s="1">
        <v>41850</v>
      </c>
      <c r="B212">
        <v>29</v>
      </c>
      <c r="C212">
        <f t="shared" si="6"/>
        <v>45</v>
      </c>
      <c r="D212">
        <f t="shared" si="7"/>
        <v>-727.9899999999999</v>
      </c>
      <c r="E212">
        <f>ROUND(IF(lpg[[#This Row],[zbiornik PB95]]&gt;15,0,(lpg[[#This Row],[km]]/2)*6/100),2)</f>
        <v>0</v>
      </c>
      <c r="F212">
        <f>ROUND(IF(lpg[[#This Row],[zbiornik LPG]]&gt;15,lpg[[#This Row],[km]]*9/100,(lpg[[#This Row],[km]]/2)*9/100),2)</f>
        <v>1.31</v>
      </c>
      <c r="I212">
        <f>WEEKDAY(lpg[[#This Row],[data]],2)</f>
        <v>3</v>
      </c>
    </row>
    <row r="213" spans="1:9" x14ac:dyDescent="0.25">
      <c r="A213" s="1">
        <v>41851</v>
      </c>
      <c r="B213">
        <v>41</v>
      </c>
      <c r="C213">
        <f t="shared" si="6"/>
        <v>45</v>
      </c>
      <c r="D213">
        <f t="shared" si="7"/>
        <v>-729.29999999999984</v>
      </c>
      <c r="E213">
        <f>ROUND(IF(lpg[[#This Row],[zbiornik PB95]]&gt;15,0,(lpg[[#This Row],[km]]/2)*6/100),2)</f>
        <v>0</v>
      </c>
      <c r="F213">
        <f>ROUND(IF(lpg[[#This Row],[zbiornik LPG]]&gt;15,lpg[[#This Row],[km]]*9/100,(lpg[[#This Row],[km]]/2)*9/100),2)</f>
        <v>1.85</v>
      </c>
      <c r="I213">
        <f>WEEKDAY(lpg[[#This Row],[data]],2)</f>
        <v>4</v>
      </c>
    </row>
    <row r="214" spans="1:9" x14ac:dyDescent="0.25">
      <c r="A214" s="1">
        <v>41852</v>
      </c>
      <c r="B214">
        <v>41</v>
      </c>
      <c r="C214">
        <f t="shared" si="6"/>
        <v>45</v>
      </c>
      <c r="D214">
        <f t="shared" si="7"/>
        <v>-731.14999999999986</v>
      </c>
      <c r="E214">
        <f>ROUND(IF(lpg[[#This Row],[zbiornik PB95]]&gt;15,0,(lpg[[#This Row],[km]]/2)*6/100),2)</f>
        <v>0</v>
      </c>
      <c r="F214">
        <f>ROUND(IF(lpg[[#This Row],[zbiornik LPG]]&gt;15,lpg[[#This Row],[km]]*9/100,(lpg[[#This Row],[km]]/2)*9/100),2)</f>
        <v>1.85</v>
      </c>
      <c r="I214">
        <f>WEEKDAY(lpg[[#This Row],[data]],2)</f>
        <v>5</v>
      </c>
    </row>
    <row r="215" spans="1:9" x14ac:dyDescent="0.25">
      <c r="A215" s="1">
        <v>41853</v>
      </c>
      <c r="B215">
        <v>116</v>
      </c>
      <c r="C215">
        <f t="shared" si="6"/>
        <v>45</v>
      </c>
      <c r="D215">
        <f t="shared" si="7"/>
        <v>-732.99999999999989</v>
      </c>
      <c r="E215">
        <f>ROUND(IF(lpg[[#This Row],[zbiornik PB95]]&gt;15,0,(lpg[[#This Row],[km]]/2)*6/100),2)</f>
        <v>0</v>
      </c>
      <c r="F215">
        <f>ROUND(IF(lpg[[#This Row],[zbiornik LPG]]&gt;15,lpg[[#This Row],[km]]*9/100,(lpg[[#This Row],[km]]/2)*9/100),2)</f>
        <v>5.22</v>
      </c>
      <c r="I215">
        <f>WEEKDAY(lpg[[#This Row],[data]],2)</f>
        <v>6</v>
      </c>
    </row>
    <row r="216" spans="1:9" x14ac:dyDescent="0.25">
      <c r="A216" s="1">
        <v>41854</v>
      </c>
      <c r="B216">
        <v>128</v>
      </c>
      <c r="C216">
        <f t="shared" si="6"/>
        <v>45</v>
      </c>
      <c r="D216">
        <f t="shared" si="7"/>
        <v>-738.21999999999991</v>
      </c>
      <c r="E216">
        <f>ROUND(IF(lpg[[#This Row],[zbiornik PB95]]&gt;15,0,(lpg[[#This Row],[km]]/2)*6/100),2)</f>
        <v>0</v>
      </c>
      <c r="F216">
        <f>ROUND(IF(lpg[[#This Row],[zbiornik LPG]]&gt;15,lpg[[#This Row],[km]]*9/100,(lpg[[#This Row],[km]]/2)*9/100),2)</f>
        <v>5.76</v>
      </c>
      <c r="I216">
        <f>WEEKDAY(lpg[[#This Row],[data]],2)</f>
        <v>7</v>
      </c>
    </row>
    <row r="217" spans="1:9" x14ac:dyDescent="0.25">
      <c r="A217" s="1">
        <v>41855</v>
      </c>
      <c r="B217">
        <v>66</v>
      </c>
      <c r="C217">
        <f t="shared" si="6"/>
        <v>45</v>
      </c>
      <c r="D217">
        <f t="shared" si="7"/>
        <v>-743.9799999999999</v>
      </c>
      <c r="E217">
        <f>ROUND(IF(lpg[[#This Row],[zbiornik PB95]]&gt;15,0,(lpg[[#This Row],[km]]/2)*6/100),2)</f>
        <v>0</v>
      </c>
      <c r="F217">
        <f>ROUND(IF(lpg[[#This Row],[zbiornik LPG]]&gt;15,lpg[[#This Row],[km]]*9/100,(lpg[[#This Row],[km]]/2)*9/100),2)</f>
        <v>2.97</v>
      </c>
      <c r="I217">
        <f>WEEKDAY(lpg[[#This Row],[data]],2)</f>
        <v>1</v>
      </c>
    </row>
    <row r="218" spans="1:9" x14ac:dyDescent="0.25">
      <c r="A218" s="1">
        <v>41856</v>
      </c>
      <c r="B218">
        <v>129</v>
      </c>
      <c r="C218">
        <f t="shared" si="6"/>
        <v>45</v>
      </c>
      <c r="D218">
        <f t="shared" si="7"/>
        <v>-746.94999999999993</v>
      </c>
      <c r="E218">
        <f>ROUND(IF(lpg[[#This Row],[zbiornik PB95]]&gt;15,0,(lpg[[#This Row],[km]]/2)*6/100),2)</f>
        <v>0</v>
      </c>
      <c r="F218">
        <f>ROUND(IF(lpg[[#This Row],[zbiornik LPG]]&gt;15,lpg[[#This Row],[km]]*9/100,(lpg[[#This Row],[km]]/2)*9/100),2)</f>
        <v>5.81</v>
      </c>
      <c r="I218">
        <f>WEEKDAY(lpg[[#This Row],[data]],2)</f>
        <v>2</v>
      </c>
    </row>
    <row r="219" spans="1:9" x14ac:dyDescent="0.25">
      <c r="A219" s="1">
        <v>41857</v>
      </c>
      <c r="B219">
        <v>41</v>
      </c>
      <c r="C219">
        <f t="shared" si="6"/>
        <v>45</v>
      </c>
      <c r="D219">
        <f t="shared" si="7"/>
        <v>-752.75999999999988</v>
      </c>
      <c r="E219">
        <f>ROUND(IF(lpg[[#This Row],[zbiornik PB95]]&gt;15,0,(lpg[[#This Row],[km]]/2)*6/100),2)</f>
        <v>0</v>
      </c>
      <c r="F219">
        <f>ROUND(IF(lpg[[#This Row],[zbiornik LPG]]&gt;15,lpg[[#This Row],[km]]*9/100,(lpg[[#This Row],[km]]/2)*9/100),2)</f>
        <v>1.85</v>
      </c>
      <c r="I219">
        <f>WEEKDAY(lpg[[#This Row],[data]],2)</f>
        <v>3</v>
      </c>
    </row>
    <row r="220" spans="1:9" x14ac:dyDescent="0.25">
      <c r="A220" s="1">
        <v>41858</v>
      </c>
      <c r="B220">
        <v>51</v>
      </c>
      <c r="C220">
        <f t="shared" si="6"/>
        <v>45</v>
      </c>
      <c r="D220">
        <f t="shared" si="7"/>
        <v>-754.6099999999999</v>
      </c>
      <c r="E220">
        <f>ROUND(IF(lpg[[#This Row],[zbiornik PB95]]&gt;15,0,(lpg[[#This Row],[km]]/2)*6/100),2)</f>
        <v>0</v>
      </c>
      <c r="F220">
        <f>ROUND(IF(lpg[[#This Row],[zbiornik LPG]]&gt;15,lpg[[#This Row],[km]]*9/100,(lpg[[#This Row],[km]]/2)*9/100),2)</f>
        <v>2.2999999999999998</v>
      </c>
      <c r="I220">
        <f>WEEKDAY(lpg[[#This Row],[data]],2)</f>
        <v>4</v>
      </c>
    </row>
    <row r="221" spans="1:9" x14ac:dyDescent="0.25">
      <c r="A221" s="1">
        <v>41859</v>
      </c>
      <c r="B221">
        <v>72</v>
      </c>
      <c r="C221">
        <f t="shared" si="6"/>
        <v>45</v>
      </c>
      <c r="D221">
        <f t="shared" si="7"/>
        <v>-756.90999999999985</v>
      </c>
      <c r="E221">
        <f>ROUND(IF(lpg[[#This Row],[zbiornik PB95]]&gt;15,0,(lpg[[#This Row],[km]]/2)*6/100),2)</f>
        <v>0</v>
      </c>
      <c r="F221">
        <f>ROUND(IF(lpg[[#This Row],[zbiornik LPG]]&gt;15,lpg[[#This Row],[km]]*9/100,(lpg[[#This Row],[km]]/2)*9/100),2)</f>
        <v>3.24</v>
      </c>
      <c r="I221">
        <f>WEEKDAY(lpg[[#This Row],[data]],2)</f>
        <v>5</v>
      </c>
    </row>
    <row r="222" spans="1:9" x14ac:dyDescent="0.25">
      <c r="A222" s="1">
        <v>41860</v>
      </c>
      <c r="B222">
        <v>30</v>
      </c>
      <c r="C222">
        <f t="shared" si="6"/>
        <v>45</v>
      </c>
      <c r="D222">
        <f t="shared" si="7"/>
        <v>-760.14999999999986</v>
      </c>
      <c r="E222">
        <f>ROUND(IF(lpg[[#This Row],[zbiornik PB95]]&gt;15,0,(lpg[[#This Row],[km]]/2)*6/100),2)</f>
        <v>0</v>
      </c>
      <c r="F222">
        <f>ROUND(IF(lpg[[#This Row],[zbiornik LPG]]&gt;15,lpg[[#This Row],[km]]*9/100,(lpg[[#This Row],[km]]/2)*9/100),2)</f>
        <v>1.35</v>
      </c>
      <c r="I222">
        <f>WEEKDAY(lpg[[#This Row],[data]],2)</f>
        <v>6</v>
      </c>
    </row>
    <row r="223" spans="1:9" x14ac:dyDescent="0.25">
      <c r="A223" s="1">
        <v>41861</v>
      </c>
      <c r="B223">
        <v>95</v>
      </c>
      <c r="C223">
        <f t="shared" si="6"/>
        <v>45</v>
      </c>
      <c r="D223">
        <f t="shared" si="7"/>
        <v>-761.49999999999989</v>
      </c>
      <c r="E223">
        <f>ROUND(IF(lpg[[#This Row],[zbiornik PB95]]&gt;15,0,(lpg[[#This Row],[km]]/2)*6/100),2)</f>
        <v>0</v>
      </c>
      <c r="F223">
        <f>ROUND(IF(lpg[[#This Row],[zbiornik LPG]]&gt;15,lpg[[#This Row],[km]]*9/100,(lpg[[#This Row],[km]]/2)*9/100),2)</f>
        <v>4.28</v>
      </c>
      <c r="I223">
        <f>WEEKDAY(lpg[[#This Row],[data]],2)</f>
        <v>7</v>
      </c>
    </row>
    <row r="224" spans="1:9" x14ac:dyDescent="0.25">
      <c r="A224" s="1">
        <v>41862</v>
      </c>
      <c r="B224">
        <v>104</v>
      </c>
      <c r="C224">
        <f t="shared" si="6"/>
        <v>45</v>
      </c>
      <c r="D224">
        <f t="shared" si="7"/>
        <v>-765.77999999999986</v>
      </c>
      <c r="E224">
        <f>ROUND(IF(lpg[[#This Row],[zbiornik PB95]]&gt;15,0,(lpg[[#This Row],[km]]/2)*6/100),2)</f>
        <v>0</v>
      </c>
      <c r="F224">
        <f>ROUND(IF(lpg[[#This Row],[zbiornik LPG]]&gt;15,lpg[[#This Row],[km]]*9/100,(lpg[[#This Row],[km]]/2)*9/100),2)</f>
        <v>4.68</v>
      </c>
      <c r="I224">
        <f>WEEKDAY(lpg[[#This Row],[data]],2)</f>
        <v>1</v>
      </c>
    </row>
    <row r="225" spans="1:9" x14ac:dyDescent="0.25">
      <c r="A225" s="1">
        <v>41863</v>
      </c>
      <c r="B225">
        <v>16</v>
      </c>
      <c r="C225">
        <f t="shared" si="6"/>
        <v>45</v>
      </c>
      <c r="D225">
        <f t="shared" si="7"/>
        <v>-770.45999999999981</v>
      </c>
      <c r="E225">
        <f>ROUND(IF(lpg[[#This Row],[zbiornik PB95]]&gt;15,0,(lpg[[#This Row],[km]]/2)*6/100),2)</f>
        <v>0</v>
      </c>
      <c r="F225">
        <f>ROUND(IF(lpg[[#This Row],[zbiornik LPG]]&gt;15,lpg[[#This Row],[km]]*9/100,(lpg[[#This Row],[km]]/2)*9/100),2)</f>
        <v>0.72</v>
      </c>
      <c r="I225">
        <f>WEEKDAY(lpg[[#This Row],[data]],2)</f>
        <v>2</v>
      </c>
    </row>
    <row r="226" spans="1:9" x14ac:dyDescent="0.25">
      <c r="A226" s="1">
        <v>41864</v>
      </c>
      <c r="B226">
        <v>34</v>
      </c>
      <c r="C226">
        <f t="shared" si="6"/>
        <v>45</v>
      </c>
      <c r="D226">
        <f t="shared" si="7"/>
        <v>-771.17999999999984</v>
      </c>
      <c r="E226">
        <f>ROUND(IF(lpg[[#This Row],[zbiornik PB95]]&gt;15,0,(lpg[[#This Row],[km]]/2)*6/100),2)</f>
        <v>0</v>
      </c>
      <c r="F226">
        <f>ROUND(IF(lpg[[#This Row],[zbiornik LPG]]&gt;15,lpg[[#This Row],[km]]*9/100,(lpg[[#This Row],[km]]/2)*9/100),2)</f>
        <v>1.53</v>
      </c>
      <c r="I226">
        <f>WEEKDAY(lpg[[#This Row],[data]],2)</f>
        <v>3</v>
      </c>
    </row>
    <row r="227" spans="1:9" x14ac:dyDescent="0.25">
      <c r="A227" s="1">
        <v>41865</v>
      </c>
      <c r="B227">
        <v>39</v>
      </c>
      <c r="C227">
        <f t="shared" si="6"/>
        <v>45</v>
      </c>
      <c r="D227">
        <f t="shared" si="7"/>
        <v>-772.70999999999981</v>
      </c>
      <c r="E227">
        <f>ROUND(IF(lpg[[#This Row],[zbiornik PB95]]&gt;15,0,(lpg[[#This Row],[km]]/2)*6/100),2)</f>
        <v>0</v>
      </c>
      <c r="F227">
        <f>ROUND(IF(lpg[[#This Row],[zbiornik LPG]]&gt;15,lpg[[#This Row],[km]]*9/100,(lpg[[#This Row],[km]]/2)*9/100),2)</f>
        <v>1.76</v>
      </c>
      <c r="I227">
        <f>WEEKDAY(lpg[[#This Row],[data]],2)</f>
        <v>4</v>
      </c>
    </row>
    <row r="228" spans="1:9" x14ac:dyDescent="0.25">
      <c r="A228" s="1">
        <v>41866</v>
      </c>
      <c r="B228">
        <v>133</v>
      </c>
      <c r="C228">
        <f t="shared" si="6"/>
        <v>45</v>
      </c>
      <c r="D228">
        <f t="shared" si="7"/>
        <v>-774.4699999999998</v>
      </c>
      <c r="E228">
        <f>ROUND(IF(lpg[[#This Row],[zbiornik PB95]]&gt;15,0,(lpg[[#This Row],[km]]/2)*6/100),2)</f>
        <v>0</v>
      </c>
      <c r="F228">
        <f>ROUND(IF(lpg[[#This Row],[zbiornik LPG]]&gt;15,lpg[[#This Row],[km]]*9/100,(lpg[[#This Row],[km]]/2)*9/100),2)</f>
        <v>5.99</v>
      </c>
      <c r="I228">
        <f>WEEKDAY(lpg[[#This Row],[data]],2)</f>
        <v>5</v>
      </c>
    </row>
    <row r="229" spans="1:9" x14ac:dyDescent="0.25">
      <c r="A229" s="1">
        <v>41867</v>
      </c>
      <c r="B229">
        <v>114</v>
      </c>
      <c r="C229">
        <f t="shared" si="6"/>
        <v>45</v>
      </c>
      <c r="D229">
        <f t="shared" si="7"/>
        <v>-780.45999999999981</v>
      </c>
      <c r="E229">
        <f>ROUND(IF(lpg[[#This Row],[zbiornik PB95]]&gt;15,0,(lpg[[#This Row],[km]]/2)*6/100),2)</f>
        <v>0</v>
      </c>
      <c r="F229">
        <f>ROUND(IF(lpg[[#This Row],[zbiornik LPG]]&gt;15,lpg[[#This Row],[km]]*9/100,(lpg[[#This Row],[km]]/2)*9/100),2)</f>
        <v>5.13</v>
      </c>
      <c r="I229">
        <f>WEEKDAY(lpg[[#This Row],[data]],2)</f>
        <v>6</v>
      </c>
    </row>
    <row r="230" spans="1:9" x14ac:dyDescent="0.25">
      <c r="A230" s="1">
        <v>41868</v>
      </c>
      <c r="B230">
        <v>37</v>
      </c>
      <c r="C230">
        <f t="shared" si="6"/>
        <v>45</v>
      </c>
      <c r="D230">
        <f t="shared" si="7"/>
        <v>-785.5899999999998</v>
      </c>
      <c r="E230">
        <f>ROUND(IF(lpg[[#This Row],[zbiornik PB95]]&gt;15,0,(lpg[[#This Row],[km]]/2)*6/100),2)</f>
        <v>0</v>
      </c>
      <c r="F230">
        <f>ROUND(IF(lpg[[#This Row],[zbiornik LPG]]&gt;15,lpg[[#This Row],[km]]*9/100,(lpg[[#This Row],[km]]/2)*9/100),2)</f>
        <v>1.67</v>
      </c>
      <c r="I230">
        <f>WEEKDAY(lpg[[#This Row],[data]],2)</f>
        <v>7</v>
      </c>
    </row>
    <row r="231" spans="1:9" x14ac:dyDescent="0.25">
      <c r="A231" s="1">
        <v>41869</v>
      </c>
      <c r="B231">
        <v>41</v>
      </c>
      <c r="C231">
        <f t="shared" si="6"/>
        <v>45</v>
      </c>
      <c r="D231">
        <f t="shared" si="7"/>
        <v>-787.25999999999976</v>
      </c>
      <c r="E231">
        <f>ROUND(IF(lpg[[#This Row],[zbiornik PB95]]&gt;15,0,(lpg[[#This Row],[km]]/2)*6/100),2)</f>
        <v>0</v>
      </c>
      <c r="F231">
        <f>ROUND(IF(lpg[[#This Row],[zbiornik LPG]]&gt;15,lpg[[#This Row],[km]]*9/100,(lpg[[#This Row],[km]]/2)*9/100),2)</f>
        <v>1.85</v>
      </c>
      <c r="I231">
        <f>WEEKDAY(lpg[[#This Row],[data]],2)</f>
        <v>1</v>
      </c>
    </row>
    <row r="232" spans="1:9" x14ac:dyDescent="0.25">
      <c r="A232" s="1">
        <v>41870</v>
      </c>
      <c r="B232">
        <v>147</v>
      </c>
      <c r="C232">
        <f t="shared" si="6"/>
        <v>45</v>
      </c>
      <c r="D232">
        <f t="shared" si="7"/>
        <v>-789.10999999999979</v>
      </c>
      <c r="E232">
        <f>ROUND(IF(lpg[[#This Row],[zbiornik PB95]]&gt;15,0,(lpg[[#This Row],[km]]/2)*6/100),2)</f>
        <v>0</v>
      </c>
      <c r="F232">
        <f>ROUND(IF(lpg[[#This Row],[zbiornik LPG]]&gt;15,lpg[[#This Row],[km]]*9/100,(lpg[[#This Row],[km]]/2)*9/100),2)</f>
        <v>6.62</v>
      </c>
      <c r="I232">
        <f>WEEKDAY(lpg[[#This Row],[data]],2)</f>
        <v>2</v>
      </c>
    </row>
    <row r="233" spans="1:9" x14ac:dyDescent="0.25">
      <c r="A233" s="1">
        <v>41871</v>
      </c>
      <c r="B233">
        <v>78</v>
      </c>
      <c r="C233">
        <f t="shared" si="6"/>
        <v>45</v>
      </c>
      <c r="D233">
        <f t="shared" si="7"/>
        <v>-795.72999999999979</v>
      </c>
      <c r="E233">
        <f>ROUND(IF(lpg[[#This Row],[zbiornik PB95]]&gt;15,0,(lpg[[#This Row],[km]]/2)*6/100),2)</f>
        <v>0</v>
      </c>
      <c r="F233">
        <f>ROUND(IF(lpg[[#This Row],[zbiornik LPG]]&gt;15,lpg[[#This Row],[km]]*9/100,(lpg[[#This Row],[km]]/2)*9/100),2)</f>
        <v>3.51</v>
      </c>
      <c r="I233">
        <f>WEEKDAY(lpg[[#This Row],[data]],2)</f>
        <v>3</v>
      </c>
    </row>
    <row r="234" spans="1:9" x14ac:dyDescent="0.25">
      <c r="A234" s="1">
        <v>41872</v>
      </c>
      <c r="B234">
        <v>106</v>
      </c>
      <c r="C234">
        <f t="shared" si="6"/>
        <v>45</v>
      </c>
      <c r="D234">
        <f t="shared" si="7"/>
        <v>-799.23999999999978</v>
      </c>
      <c r="E234">
        <f>ROUND(IF(lpg[[#This Row],[zbiornik PB95]]&gt;15,0,(lpg[[#This Row],[km]]/2)*6/100),2)</f>
        <v>0</v>
      </c>
      <c r="F234">
        <f>ROUND(IF(lpg[[#This Row],[zbiornik LPG]]&gt;15,lpg[[#This Row],[km]]*9/100,(lpg[[#This Row],[km]]/2)*9/100),2)</f>
        <v>4.7699999999999996</v>
      </c>
      <c r="I234">
        <f>WEEKDAY(lpg[[#This Row],[data]],2)</f>
        <v>4</v>
      </c>
    </row>
    <row r="235" spans="1:9" x14ac:dyDescent="0.25">
      <c r="A235" s="1">
        <v>41873</v>
      </c>
      <c r="B235">
        <v>124</v>
      </c>
      <c r="C235">
        <f t="shared" si="6"/>
        <v>45</v>
      </c>
      <c r="D235">
        <f t="shared" si="7"/>
        <v>-804.00999999999976</v>
      </c>
      <c r="E235">
        <f>ROUND(IF(lpg[[#This Row],[zbiornik PB95]]&gt;15,0,(lpg[[#This Row],[km]]/2)*6/100),2)</f>
        <v>0</v>
      </c>
      <c r="F235">
        <f>ROUND(IF(lpg[[#This Row],[zbiornik LPG]]&gt;15,lpg[[#This Row],[km]]*9/100,(lpg[[#This Row],[km]]/2)*9/100),2)</f>
        <v>5.58</v>
      </c>
      <c r="I235">
        <f>WEEKDAY(lpg[[#This Row],[data]],2)</f>
        <v>5</v>
      </c>
    </row>
    <row r="236" spans="1:9" x14ac:dyDescent="0.25">
      <c r="A236" s="1">
        <v>41874</v>
      </c>
      <c r="B236">
        <v>97</v>
      </c>
      <c r="C236">
        <f t="shared" si="6"/>
        <v>45</v>
      </c>
      <c r="D236">
        <f t="shared" si="7"/>
        <v>-809.5899999999998</v>
      </c>
      <c r="E236">
        <f>ROUND(IF(lpg[[#This Row],[zbiornik PB95]]&gt;15,0,(lpg[[#This Row],[km]]/2)*6/100),2)</f>
        <v>0</v>
      </c>
      <c r="F236">
        <f>ROUND(IF(lpg[[#This Row],[zbiornik LPG]]&gt;15,lpg[[#This Row],[km]]*9/100,(lpg[[#This Row],[km]]/2)*9/100),2)</f>
        <v>4.37</v>
      </c>
      <c r="I236">
        <f>WEEKDAY(lpg[[#This Row],[data]],2)</f>
        <v>6</v>
      </c>
    </row>
    <row r="237" spans="1:9" x14ac:dyDescent="0.25">
      <c r="A237" s="1">
        <v>41875</v>
      </c>
      <c r="B237">
        <v>45</v>
      </c>
      <c r="C237">
        <f t="shared" si="6"/>
        <v>45</v>
      </c>
      <c r="D237">
        <f t="shared" si="7"/>
        <v>-813.95999999999981</v>
      </c>
      <c r="E237">
        <f>ROUND(IF(lpg[[#This Row],[zbiornik PB95]]&gt;15,0,(lpg[[#This Row],[km]]/2)*6/100),2)</f>
        <v>0</v>
      </c>
      <c r="F237">
        <f>ROUND(IF(lpg[[#This Row],[zbiornik LPG]]&gt;15,lpg[[#This Row],[km]]*9/100,(lpg[[#This Row],[km]]/2)*9/100),2)</f>
        <v>2.0299999999999998</v>
      </c>
      <c r="I237">
        <f>WEEKDAY(lpg[[#This Row],[data]],2)</f>
        <v>7</v>
      </c>
    </row>
    <row r="238" spans="1:9" x14ac:dyDescent="0.25">
      <c r="A238" s="1">
        <v>41876</v>
      </c>
      <c r="B238">
        <v>132</v>
      </c>
      <c r="C238">
        <f t="shared" si="6"/>
        <v>45</v>
      </c>
      <c r="D238">
        <f t="shared" si="7"/>
        <v>-815.98999999999978</v>
      </c>
      <c r="E238">
        <f>ROUND(IF(lpg[[#This Row],[zbiornik PB95]]&gt;15,0,(lpg[[#This Row],[km]]/2)*6/100),2)</f>
        <v>0</v>
      </c>
      <c r="F238">
        <f>ROUND(IF(lpg[[#This Row],[zbiornik LPG]]&gt;15,lpg[[#This Row],[km]]*9/100,(lpg[[#This Row],[km]]/2)*9/100),2)</f>
        <v>5.94</v>
      </c>
      <c r="I238">
        <f>WEEKDAY(lpg[[#This Row],[data]],2)</f>
        <v>1</v>
      </c>
    </row>
    <row r="239" spans="1:9" x14ac:dyDescent="0.25">
      <c r="A239" s="1">
        <v>41877</v>
      </c>
      <c r="B239">
        <v>107</v>
      </c>
      <c r="C239">
        <f t="shared" si="6"/>
        <v>45</v>
      </c>
      <c r="D239">
        <f t="shared" si="7"/>
        <v>-821.92999999999984</v>
      </c>
      <c r="E239">
        <f>ROUND(IF(lpg[[#This Row],[zbiornik PB95]]&gt;15,0,(lpg[[#This Row],[km]]/2)*6/100),2)</f>
        <v>0</v>
      </c>
      <c r="F239">
        <f>ROUND(IF(lpg[[#This Row],[zbiornik LPG]]&gt;15,lpg[[#This Row],[km]]*9/100,(lpg[[#This Row],[km]]/2)*9/100),2)</f>
        <v>4.82</v>
      </c>
      <c r="I239">
        <f>WEEKDAY(lpg[[#This Row],[data]],2)</f>
        <v>2</v>
      </c>
    </row>
    <row r="240" spans="1:9" x14ac:dyDescent="0.25">
      <c r="A240" s="1">
        <v>41878</v>
      </c>
      <c r="B240">
        <v>54</v>
      </c>
      <c r="C240">
        <f t="shared" si="6"/>
        <v>45</v>
      </c>
      <c r="D240">
        <f t="shared" si="7"/>
        <v>-826.74999999999989</v>
      </c>
      <c r="E240">
        <f>ROUND(IF(lpg[[#This Row],[zbiornik PB95]]&gt;15,0,(lpg[[#This Row],[km]]/2)*6/100),2)</f>
        <v>0</v>
      </c>
      <c r="F240">
        <f>ROUND(IF(lpg[[#This Row],[zbiornik LPG]]&gt;15,lpg[[#This Row],[km]]*9/100,(lpg[[#This Row],[km]]/2)*9/100),2)</f>
        <v>2.4300000000000002</v>
      </c>
      <c r="I240">
        <f>WEEKDAY(lpg[[#This Row],[data]],2)</f>
        <v>3</v>
      </c>
    </row>
    <row r="241" spans="1:9" x14ac:dyDescent="0.25">
      <c r="A241" s="1">
        <v>41879</v>
      </c>
      <c r="B241">
        <v>116</v>
      </c>
      <c r="C241">
        <f t="shared" si="6"/>
        <v>45</v>
      </c>
      <c r="D241">
        <f t="shared" si="7"/>
        <v>-829.17999999999984</v>
      </c>
      <c r="E241">
        <f>ROUND(IF(lpg[[#This Row],[zbiornik PB95]]&gt;15,0,(lpg[[#This Row],[km]]/2)*6/100),2)</f>
        <v>0</v>
      </c>
      <c r="F241">
        <f>ROUND(IF(lpg[[#This Row],[zbiornik LPG]]&gt;15,lpg[[#This Row],[km]]*9/100,(lpg[[#This Row],[km]]/2)*9/100),2)</f>
        <v>5.22</v>
      </c>
      <c r="I241">
        <f>WEEKDAY(lpg[[#This Row],[data]],2)</f>
        <v>4</v>
      </c>
    </row>
    <row r="242" spans="1:9" x14ac:dyDescent="0.25">
      <c r="A242" s="1">
        <v>41880</v>
      </c>
      <c r="B242">
        <v>99</v>
      </c>
      <c r="C242">
        <f t="shared" si="6"/>
        <v>45</v>
      </c>
      <c r="D242">
        <f t="shared" si="7"/>
        <v>-834.39999999999986</v>
      </c>
      <c r="E242">
        <f>ROUND(IF(lpg[[#This Row],[zbiornik PB95]]&gt;15,0,(lpg[[#This Row],[km]]/2)*6/100),2)</f>
        <v>0</v>
      </c>
      <c r="F242">
        <f>ROUND(IF(lpg[[#This Row],[zbiornik LPG]]&gt;15,lpg[[#This Row],[km]]*9/100,(lpg[[#This Row],[km]]/2)*9/100),2)</f>
        <v>4.46</v>
      </c>
      <c r="I242">
        <f>WEEKDAY(lpg[[#This Row],[data]],2)</f>
        <v>5</v>
      </c>
    </row>
    <row r="243" spans="1:9" x14ac:dyDescent="0.25">
      <c r="A243" s="1">
        <v>41881</v>
      </c>
      <c r="B243">
        <v>29</v>
      </c>
      <c r="C243">
        <f t="shared" si="6"/>
        <v>45</v>
      </c>
      <c r="D243">
        <f t="shared" si="7"/>
        <v>-838.8599999999999</v>
      </c>
      <c r="E243">
        <f>ROUND(IF(lpg[[#This Row],[zbiornik PB95]]&gt;15,0,(lpg[[#This Row],[km]]/2)*6/100),2)</f>
        <v>0</v>
      </c>
      <c r="F243">
        <f>ROUND(IF(lpg[[#This Row],[zbiornik LPG]]&gt;15,lpg[[#This Row],[km]]*9/100,(lpg[[#This Row],[km]]/2)*9/100),2)</f>
        <v>1.31</v>
      </c>
      <c r="I243">
        <f>WEEKDAY(lpg[[#This Row],[data]],2)</f>
        <v>6</v>
      </c>
    </row>
    <row r="244" spans="1:9" x14ac:dyDescent="0.25">
      <c r="A244" s="1">
        <v>41882</v>
      </c>
      <c r="B244">
        <v>72</v>
      </c>
      <c r="C244">
        <f t="shared" si="6"/>
        <v>45</v>
      </c>
      <c r="D244">
        <f t="shared" si="7"/>
        <v>-840.16999999999985</v>
      </c>
      <c r="E244">
        <f>ROUND(IF(lpg[[#This Row],[zbiornik PB95]]&gt;15,0,(lpg[[#This Row],[km]]/2)*6/100),2)</f>
        <v>0</v>
      </c>
      <c r="F244">
        <f>ROUND(IF(lpg[[#This Row],[zbiornik LPG]]&gt;15,lpg[[#This Row],[km]]*9/100,(lpg[[#This Row],[km]]/2)*9/100),2)</f>
        <v>3.24</v>
      </c>
      <c r="I244">
        <f>WEEKDAY(lpg[[#This Row],[data]],2)</f>
        <v>7</v>
      </c>
    </row>
    <row r="245" spans="1:9" x14ac:dyDescent="0.25">
      <c r="A245" s="1">
        <v>41883</v>
      </c>
      <c r="B245">
        <v>94</v>
      </c>
      <c r="C245">
        <f t="shared" si="6"/>
        <v>45</v>
      </c>
      <c r="D245">
        <f t="shared" si="7"/>
        <v>-843.40999999999985</v>
      </c>
      <c r="E245">
        <f>ROUND(IF(lpg[[#This Row],[zbiornik PB95]]&gt;15,0,(lpg[[#This Row],[km]]/2)*6/100),2)</f>
        <v>0</v>
      </c>
      <c r="F245">
        <f>ROUND(IF(lpg[[#This Row],[zbiornik LPG]]&gt;15,lpg[[#This Row],[km]]*9/100,(lpg[[#This Row],[km]]/2)*9/100),2)</f>
        <v>4.2300000000000004</v>
      </c>
      <c r="I245">
        <f>WEEKDAY(lpg[[#This Row],[data]],2)</f>
        <v>1</v>
      </c>
    </row>
    <row r="246" spans="1:9" x14ac:dyDescent="0.25">
      <c r="A246" s="1">
        <v>41884</v>
      </c>
      <c r="B246">
        <v>97</v>
      </c>
      <c r="C246">
        <f t="shared" si="6"/>
        <v>45</v>
      </c>
      <c r="D246">
        <f t="shared" si="7"/>
        <v>-847.63999999999987</v>
      </c>
      <c r="E246">
        <f>ROUND(IF(lpg[[#This Row],[zbiornik PB95]]&gt;15,0,(lpg[[#This Row],[km]]/2)*6/100),2)</f>
        <v>0</v>
      </c>
      <c r="F246">
        <f>ROUND(IF(lpg[[#This Row],[zbiornik LPG]]&gt;15,lpg[[#This Row],[km]]*9/100,(lpg[[#This Row],[km]]/2)*9/100),2)</f>
        <v>4.37</v>
      </c>
      <c r="I246">
        <f>WEEKDAY(lpg[[#This Row],[data]],2)</f>
        <v>2</v>
      </c>
    </row>
    <row r="247" spans="1:9" x14ac:dyDescent="0.25">
      <c r="A247" s="1">
        <v>41885</v>
      </c>
      <c r="B247">
        <v>138</v>
      </c>
      <c r="C247">
        <f t="shared" si="6"/>
        <v>45</v>
      </c>
      <c r="D247">
        <f t="shared" si="7"/>
        <v>-852.00999999999988</v>
      </c>
      <c r="E247">
        <f>ROUND(IF(lpg[[#This Row],[zbiornik PB95]]&gt;15,0,(lpg[[#This Row],[km]]/2)*6/100),2)</f>
        <v>0</v>
      </c>
      <c r="F247">
        <f>ROUND(IF(lpg[[#This Row],[zbiornik LPG]]&gt;15,lpg[[#This Row],[km]]*9/100,(lpg[[#This Row],[km]]/2)*9/100),2)</f>
        <v>6.21</v>
      </c>
      <c r="I247">
        <f>WEEKDAY(lpg[[#This Row],[data]],2)</f>
        <v>3</v>
      </c>
    </row>
    <row r="248" spans="1:9" x14ac:dyDescent="0.25">
      <c r="A248" s="1">
        <v>41886</v>
      </c>
      <c r="B248">
        <v>60</v>
      </c>
      <c r="C248">
        <f t="shared" si="6"/>
        <v>45</v>
      </c>
      <c r="D248">
        <f t="shared" si="7"/>
        <v>-858.21999999999991</v>
      </c>
      <c r="E248">
        <f>ROUND(IF(lpg[[#This Row],[zbiornik PB95]]&gt;15,0,(lpg[[#This Row],[km]]/2)*6/100),2)</f>
        <v>0</v>
      </c>
      <c r="F248">
        <f>ROUND(IF(lpg[[#This Row],[zbiornik LPG]]&gt;15,lpg[[#This Row],[km]]*9/100,(lpg[[#This Row],[km]]/2)*9/100),2)</f>
        <v>2.7</v>
      </c>
      <c r="I248">
        <f>WEEKDAY(lpg[[#This Row],[data]],2)</f>
        <v>4</v>
      </c>
    </row>
    <row r="249" spans="1:9" x14ac:dyDescent="0.25">
      <c r="A249" s="1">
        <v>41887</v>
      </c>
      <c r="B249">
        <v>144</v>
      </c>
      <c r="C249">
        <f t="shared" si="6"/>
        <v>45</v>
      </c>
      <c r="D249">
        <f t="shared" si="7"/>
        <v>-860.92</v>
      </c>
      <c r="E249">
        <f>ROUND(IF(lpg[[#This Row],[zbiornik PB95]]&gt;15,0,(lpg[[#This Row],[km]]/2)*6/100),2)</f>
        <v>0</v>
      </c>
      <c r="F249">
        <f>ROUND(IF(lpg[[#This Row],[zbiornik LPG]]&gt;15,lpg[[#This Row],[km]]*9/100,(lpg[[#This Row],[km]]/2)*9/100),2)</f>
        <v>6.48</v>
      </c>
      <c r="I249">
        <f>WEEKDAY(lpg[[#This Row],[data]],2)</f>
        <v>5</v>
      </c>
    </row>
    <row r="250" spans="1:9" x14ac:dyDescent="0.25">
      <c r="A250" s="1">
        <v>41888</v>
      </c>
      <c r="B250">
        <v>49</v>
      </c>
      <c r="C250">
        <f t="shared" si="6"/>
        <v>45</v>
      </c>
      <c r="D250">
        <f t="shared" si="7"/>
        <v>-867.4</v>
      </c>
      <c r="E250">
        <f>ROUND(IF(lpg[[#This Row],[zbiornik PB95]]&gt;15,0,(lpg[[#This Row],[km]]/2)*6/100),2)</f>
        <v>0</v>
      </c>
      <c r="F250">
        <f>ROUND(IF(lpg[[#This Row],[zbiornik LPG]]&gt;15,lpg[[#This Row],[km]]*9/100,(lpg[[#This Row],[km]]/2)*9/100),2)</f>
        <v>2.21</v>
      </c>
      <c r="I250">
        <f>WEEKDAY(lpg[[#This Row],[data]],2)</f>
        <v>6</v>
      </c>
    </row>
    <row r="251" spans="1:9" x14ac:dyDescent="0.25">
      <c r="A251" s="1">
        <v>41889</v>
      </c>
      <c r="B251">
        <v>125</v>
      </c>
      <c r="C251">
        <f t="shared" si="6"/>
        <v>45</v>
      </c>
      <c r="D251">
        <f t="shared" si="7"/>
        <v>-869.61</v>
      </c>
      <c r="E251">
        <f>ROUND(IF(lpg[[#This Row],[zbiornik PB95]]&gt;15,0,(lpg[[#This Row],[km]]/2)*6/100),2)</f>
        <v>0</v>
      </c>
      <c r="F251">
        <f>ROUND(IF(lpg[[#This Row],[zbiornik LPG]]&gt;15,lpg[[#This Row],[km]]*9/100,(lpg[[#This Row],[km]]/2)*9/100),2)</f>
        <v>5.63</v>
      </c>
      <c r="I251">
        <f>WEEKDAY(lpg[[#This Row],[data]],2)</f>
        <v>7</v>
      </c>
    </row>
    <row r="252" spans="1:9" x14ac:dyDescent="0.25">
      <c r="A252" s="1">
        <v>41890</v>
      </c>
      <c r="B252">
        <v>40</v>
      </c>
      <c r="C252">
        <f t="shared" si="6"/>
        <v>45</v>
      </c>
      <c r="D252">
        <f t="shared" si="7"/>
        <v>-875.24</v>
      </c>
      <c r="E252">
        <f>ROUND(IF(lpg[[#This Row],[zbiornik PB95]]&gt;15,0,(lpg[[#This Row],[km]]/2)*6/100),2)</f>
        <v>0</v>
      </c>
      <c r="F252">
        <f>ROUND(IF(lpg[[#This Row],[zbiornik LPG]]&gt;15,lpg[[#This Row],[km]]*9/100,(lpg[[#This Row],[km]]/2)*9/100),2)</f>
        <v>1.8</v>
      </c>
      <c r="I252">
        <f>WEEKDAY(lpg[[#This Row],[data]],2)</f>
        <v>1</v>
      </c>
    </row>
    <row r="253" spans="1:9" x14ac:dyDescent="0.25">
      <c r="A253" s="1">
        <v>41891</v>
      </c>
      <c r="B253">
        <v>135</v>
      </c>
      <c r="C253">
        <f t="shared" si="6"/>
        <v>45</v>
      </c>
      <c r="D253">
        <f t="shared" si="7"/>
        <v>-877.04</v>
      </c>
      <c r="E253">
        <f>ROUND(IF(lpg[[#This Row],[zbiornik PB95]]&gt;15,0,(lpg[[#This Row],[km]]/2)*6/100),2)</f>
        <v>0</v>
      </c>
      <c r="F253">
        <f>ROUND(IF(lpg[[#This Row],[zbiornik LPG]]&gt;15,lpg[[#This Row],[km]]*9/100,(lpg[[#This Row],[km]]/2)*9/100),2)</f>
        <v>6.08</v>
      </c>
      <c r="I253">
        <f>WEEKDAY(lpg[[#This Row],[data]],2)</f>
        <v>2</v>
      </c>
    </row>
    <row r="254" spans="1:9" x14ac:dyDescent="0.25">
      <c r="A254" s="1">
        <v>41892</v>
      </c>
      <c r="B254">
        <v>86</v>
      </c>
      <c r="C254">
        <f t="shared" si="6"/>
        <v>45</v>
      </c>
      <c r="D254">
        <f t="shared" si="7"/>
        <v>-883.12</v>
      </c>
      <c r="E254">
        <f>ROUND(IF(lpg[[#This Row],[zbiornik PB95]]&gt;15,0,(lpg[[#This Row],[km]]/2)*6/100),2)</f>
        <v>0</v>
      </c>
      <c r="F254">
        <f>ROUND(IF(lpg[[#This Row],[zbiornik LPG]]&gt;15,lpg[[#This Row],[km]]*9/100,(lpg[[#This Row],[km]]/2)*9/100),2)</f>
        <v>3.87</v>
      </c>
      <c r="I254">
        <f>WEEKDAY(lpg[[#This Row],[data]],2)</f>
        <v>3</v>
      </c>
    </row>
    <row r="255" spans="1:9" x14ac:dyDescent="0.25">
      <c r="A255" s="1">
        <v>41893</v>
      </c>
      <c r="B255">
        <v>95</v>
      </c>
      <c r="C255">
        <f t="shared" si="6"/>
        <v>45</v>
      </c>
      <c r="D255">
        <f t="shared" si="7"/>
        <v>-886.99</v>
      </c>
      <c r="E255">
        <f>ROUND(IF(lpg[[#This Row],[zbiornik PB95]]&gt;15,0,(lpg[[#This Row],[km]]/2)*6/100),2)</f>
        <v>0</v>
      </c>
      <c r="F255">
        <f>ROUND(IF(lpg[[#This Row],[zbiornik LPG]]&gt;15,lpg[[#This Row],[km]]*9/100,(lpg[[#This Row],[km]]/2)*9/100),2)</f>
        <v>4.28</v>
      </c>
      <c r="I255">
        <f>WEEKDAY(lpg[[#This Row],[data]],2)</f>
        <v>4</v>
      </c>
    </row>
    <row r="256" spans="1:9" x14ac:dyDescent="0.25">
      <c r="A256" s="1">
        <v>41894</v>
      </c>
      <c r="B256">
        <v>42</v>
      </c>
      <c r="C256">
        <f t="shared" si="6"/>
        <v>45</v>
      </c>
      <c r="D256">
        <f t="shared" si="7"/>
        <v>-891.27</v>
      </c>
      <c r="E256">
        <f>ROUND(IF(lpg[[#This Row],[zbiornik PB95]]&gt;15,0,(lpg[[#This Row],[km]]/2)*6/100),2)</f>
        <v>0</v>
      </c>
      <c r="F256">
        <f>ROUND(IF(lpg[[#This Row],[zbiornik LPG]]&gt;15,lpg[[#This Row],[km]]*9/100,(lpg[[#This Row],[km]]/2)*9/100),2)</f>
        <v>1.89</v>
      </c>
      <c r="I256">
        <f>WEEKDAY(lpg[[#This Row],[data]],2)</f>
        <v>5</v>
      </c>
    </row>
    <row r="257" spans="1:9" x14ac:dyDescent="0.25">
      <c r="A257" s="1">
        <v>41895</v>
      </c>
      <c r="B257">
        <v>82</v>
      </c>
      <c r="C257">
        <f t="shared" si="6"/>
        <v>45</v>
      </c>
      <c r="D257">
        <f t="shared" si="7"/>
        <v>-893.16</v>
      </c>
      <c r="E257">
        <f>ROUND(IF(lpg[[#This Row],[zbiornik PB95]]&gt;15,0,(lpg[[#This Row],[km]]/2)*6/100),2)</f>
        <v>0</v>
      </c>
      <c r="F257">
        <f>ROUND(IF(lpg[[#This Row],[zbiornik LPG]]&gt;15,lpg[[#This Row],[km]]*9/100,(lpg[[#This Row],[km]]/2)*9/100),2)</f>
        <v>3.69</v>
      </c>
      <c r="I257">
        <f>WEEKDAY(lpg[[#This Row],[data]],2)</f>
        <v>6</v>
      </c>
    </row>
    <row r="258" spans="1:9" x14ac:dyDescent="0.25">
      <c r="A258" s="1">
        <v>41896</v>
      </c>
      <c r="B258">
        <v>26</v>
      </c>
      <c r="C258">
        <f t="shared" si="6"/>
        <v>45</v>
      </c>
      <c r="D258">
        <f t="shared" si="7"/>
        <v>-896.85</v>
      </c>
      <c r="E258">
        <f>ROUND(IF(lpg[[#This Row],[zbiornik PB95]]&gt;15,0,(lpg[[#This Row],[km]]/2)*6/100),2)</f>
        <v>0</v>
      </c>
      <c r="F258">
        <f>ROUND(IF(lpg[[#This Row],[zbiornik LPG]]&gt;15,lpg[[#This Row],[km]]*9/100,(lpg[[#This Row],[km]]/2)*9/100),2)</f>
        <v>1.17</v>
      </c>
      <c r="I258">
        <f>WEEKDAY(lpg[[#This Row],[data]],2)</f>
        <v>7</v>
      </c>
    </row>
    <row r="259" spans="1:9" x14ac:dyDescent="0.25">
      <c r="A259" s="1">
        <v>41897</v>
      </c>
      <c r="B259">
        <v>114</v>
      </c>
      <c r="C259">
        <f t="shared" si="6"/>
        <v>45</v>
      </c>
      <c r="D259">
        <f t="shared" si="7"/>
        <v>-898.02</v>
      </c>
      <c r="E259">
        <f>ROUND(IF(lpg[[#This Row],[zbiornik PB95]]&gt;15,0,(lpg[[#This Row],[km]]/2)*6/100),2)</f>
        <v>0</v>
      </c>
      <c r="F259">
        <f>ROUND(IF(lpg[[#This Row],[zbiornik LPG]]&gt;15,lpg[[#This Row],[km]]*9/100,(lpg[[#This Row],[km]]/2)*9/100),2)</f>
        <v>5.13</v>
      </c>
      <c r="I259">
        <f>WEEKDAY(lpg[[#This Row],[data]],2)</f>
        <v>1</v>
      </c>
    </row>
    <row r="260" spans="1:9" x14ac:dyDescent="0.25">
      <c r="A260" s="1">
        <v>41898</v>
      </c>
      <c r="B260">
        <v>49</v>
      </c>
      <c r="C260">
        <f t="shared" ref="C260:C323" si="8">C259-E259</f>
        <v>45</v>
      </c>
      <c r="D260">
        <f t="shared" ref="D260:D323" si="9">D259-F259</f>
        <v>-903.15</v>
      </c>
      <c r="E260">
        <f>ROUND(IF(lpg[[#This Row],[zbiornik PB95]]&gt;15,0,(lpg[[#This Row],[km]]/2)*6/100),2)</f>
        <v>0</v>
      </c>
      <c r="F260">
        <f>ROUND(IF(lpg[[#This Row],[zbiornik LPG]]&gt;15,lpg[[#This Row],[km]]*9/100,(lpg[[#This Row],[km]]/2)*9/100),2)</f>
        <v>2.21</v>
      </c>
      <c r="I260">
        <f>WEEKDAY(lpg[[#This Row],[data]],2)</f>
        <v>2</v>
      </c>
    </row>
    <row r="261" spans="1:9" x14ac:dyDescent="0.25">
      <c r="A261" s="1">
        <v>41899</v>
      </c>
      <c r="B261">
        <v>138</v>
      </c>
      <c r="C261">
        <f t="shared" si="8"/>
        <v>45</v>
      </c>
      <c r="D261">
        <f t="shared" si="9"/>
        <v>-905.36</v>
      </c>
      <c r="E261">
        <f>ROUND(IF(lpg[[#This Row],[zbiornik PB95]]&gt;15,0,(lpg[[#This Row],[km]]/2)*6/100),2)</f>
        <v>0</v>
      </c>
      <c r="F261">
        <f>ROUND(IF(lpg[[#This Row],[zbiornik LPG]]&gt;15,lpg[[#This Row],[km]]*9/100,(lpg[[#This Row],[km]]/2)*9/100),2)</f>
        <v>6.21</v>
      </c>
      <c r="I261">
        <f>WEEKDAY(lpg[[#This Row],[data]],2)</f>
        <v>3</v>
      </c>
    </row>
    <row r="262" spans="1:9" x14ac:dyDescent="0.25">
      <c r="A262" s="1">
        <v>41900</v>
      </c>
      <c r="B262">
        <v>47</v>
      </c>
      <c r="C262">
        <f t="shared" si="8"/>
        <v>45</v>
      </c>
      <c r="D262">
        <f t="shared" si="9"/>
        <v>-911.57</v>
      </c>
      <c r="E262">
        <f>ROUND(IF(lpg[[#This Row],[zbiornik PB95]]&gt;15,0,(lpg[[#This Row],[km]]/2)*6/100),2)</f>
        <v>0</v>
      </c>
      <c r="F262">
        <f>ROUND(IF(lpg[[#This Row],[zbiornik LPG]]&gt;15,lpg[[#This Row],[km]]*9/100,(lpg[[#This Row],[km]]/2)*9/100),2)</f>
        <v>2.12</v>
      </c>
      <c r="I262">
        <f>WEEKDAY(lpg[[#This Row],[data]],2)</f>
        <v>4</v>
      </c>
    </row>
    <row r="263" spans="1:9" x14ac:dyDescent="0.25">
      <c r="A263" s="1">
        <v>41901</v>
      </c>
      <c r="B263">
        <v>85</v>
      </c>
      <c r="C263">
        <f t="shared" si="8"/>
        <v>45</v>
      </c>
      <c r="D263">
        <f t="shared" si="9"/>
        <v>-913.69</v>
      </c>
      <c r="E263">
        <f>ROUND(IF(lpg[[#This Row],[zbiornik PB95]]&gt;15,0,(lpg[[#This Row],[km]]/2)*6/100),2)</f>
        <v>0</v>
      </c>
      <c r="F263">
        <f>ROUND(IF(lpg[[#This Row],[zbiornik LPG]]&gt;15,lpg[[#This Row],[km]]*9/100,(lpg[[#This Row],[km]]/2)*9/100),2)</f>
        <v>3.83</v>
      </c>
      <c r="I263">
        <f>WEEKDAY(lpg[[#This Row],[data]],2)</f>
        <v>5</v>
      </c>
    </row>
    <row r="264" spans="1:9" x14ac:dyDescent="0.25">
      <c r="A264" s="1">
        <v>41902</v>
      </c>
      <c r="B264">
        <v>50</v>
      </c>
      <c r="C264">
        <f t="shared" si="8"/>
        <v>45</v>
      </c>
      <c r="D264">
        <f t="shared" si="9"/>
        <v>-917.5200000000001</v>
      </c>
      <c r="E264">
        <f>ROUND(IF(lpg[[#This Row],[zbiornik PB95]]&gt;15,0,(lpg[[#This Row],[km]]/2)*6/100),2)</f>
        <v>0</v>
      </c>
      <c r="F264">
        <f>ROUND(IF(lpg[[#This Row],[zbiornik LPG]]&gt;15,lpg[[#This Row],[km]]*9/100,(lpg[[#This Row],[km]]/2)*9/100),2)</f>
        <v>2.25</v>
      </c>
      <c r="I264">
        <f>WEEKDAY(lpg[[#This Row],[data]],2)</f>
        <v>6</v>
      </c>
    </row>
    <row r="265" spans="1:9" x14ac:dyDescent="0.25">
      <c r="A265" s="1">
        <v>41903</v>
      </c>
      <c r="B265">
        <v>133</v>
      </c>
      <c r="C265">
        <f t="shared" si="8"/>
        <v>45</v>
      </c>
      <c r="D265">
        <f t="shared" si="9"/>
        <v>-919.7700000000001</v>
      </c>
      <c r="E265">
        <f>ROUND(IF(lpg[[#This Row],[zbiornik PB95]]&gt;15,0,(lpg[[#This Row],[km]]/2)*6/100),2)</f>
        <v>0</v>
      </c>
      <c r="F265">
        <f>ROUND(IF(lpg[[#This Row],[zbiornik LPG]]&gt;15,lpg[[#This Row],[km]]*9/100,(lpg[[#This Row],[km]]/2)*9/100),2)</f>
        <v>5.99</v>
      </c>
      <c r="I265">
        <f>WEEKDAY(lpg[[#This Row],[data]],2)</f>
        <v>7</v>
      </c>
    </row>
    <row r="266" spans="1:9" x14ac:dyDescent="0.25">
      <c r="A266" s="1">
        <v>41904</v>
      </c>
      <c r="B266">
        <v>128</v>
      </c>
      <c r="C266">
        <f t="shared" si="8"/>
        <v>45</v>
      </c>
      <c r="D266">
        <f t="shared" si="9"/>
        <v>-925.7600000000001</v>
      </c>
      <c r="E266">
        <f>ROUND(IF(lpg[[#This Row],[zbiornik PB95]]&gt;15,0,(lpg[[#This Row],[km]]/2)*6/100),2)</f>
        <v>0</v>
      </c>
      <c r="F266">
        <f>ROUND(IF(lpg[[#This Row],[zbiornik LPG]]&gt;15,lpg[[#This Row],[km]]*9/100,(lpg[[#This Row],[km]]/2)*9/100),2)</f>
        <v>5.76</v>
      </c>
      <c r="I266">
        <f>WEEKDAY(lpg[[#This Row],[data]],2)</f>
        <v>1</v>
      </c>
    </row>
    <row r="267" spans="1:9" x14ac:dyDescent="0.25">
      <c r="A267" s="1">
        <v>41905</v>
      </c>
      <c r="B267">
        <v>138</v>
      </c>
      <c r="C267">
        <f t="shared" si="8"/>
        <v>45</v>
      </c>
      <c r="D267">
        <f t="shared" si="9"/>
        <v>-931.5200000000001</v>
      </c>
      <c r="E267">
        <f>ROUND(IF(lpg[[#This Row],[zbiornik PB95]]&gt;15,0,(lpg[[#This Row],[km]]/2)*6/100),2)</f>
        <v>0</v>
      </c>
      <c r="F267">
        <f>ROUND(IF(lpg[[#This Row],[zbiornik LPG]]&gt;15,lpg[[#This Row],[km]]*9/100,(lpg[[#This Row],[km]]/2)*9/100),2)</f>
        <v>6.21</v>
      </c>
      <c r="I267">
        <f>WEEKDAY(lpg[[#This Row],[data]],2)</f>
        <v>2</v>
      </c>
    </row>
    <row r="268" spans="1:9" x14ac:dyDescent="0.25">
      <c r="A268" s="1">
        <v>41906</v>
      </c>
      <c r="B268">
        <v>25</v>
      </c>
      <c r="C268">
        <f t="shared" si="8"/>
        <v>45</v>
      </c>
      <c r="D268">
        <f t="shared" si="9"/>
        <v>-937.73000000000013</v>
      </c>
      <c r="E268">
        <f>ROUND(IF(lpg[[#This Row],[zbiornik PB95]]&gt;15,0,(lpg[[#This Row],[km]]/2)*6/100),2)</f>
        <v>0</v>
      </c>
      <c r="F268">
        <f>ROUND(IF(lpg[[#This Row],[zbiornik LPG]]&gt;15,lpg[[#This Row],[km]]*9/100,(lpg[[#This Row],[km]]/2)*9/100),2)</f>
        <v>1.1299999999999999</v>
      </c>
      <c r="I268">
        <f>WEEKDAY(lpg[[#This Row],[data]],2)</f>
        <v>3</v>
      </c>
    </row>
    <row r="269" spans="1:9" x14ac:dyDescent="0.25">
      <c r="A269" s="1">
        <v>41907</v>
      </c>
      <c r="B269">
        <v>133</v>
      </c>
      <c r="C269">
        <f t="shared" si="8"/>
        <v>45</v>
      </c>
      <c r="D269">
        <f t="shared" si="9"/>
        <v>-938.86000000000013</v>
      </c>
      <c r="E269">
        <f>ROUND(IF(lpg[[#This Row],[zbiornik PB95]]&gt;15,0,(lpg[[#This Row],[km]]/2)*6/100),2)</f>
        <v>0</v>
      </c>
      <c r="F269">
        <f>ROUND(IF(lpg[[#This Row],[zbiornik LPG]]&gt;15,lpg[[#This Row],[km]]*9/100,(lpg[[#This Row],[km]]/2)*9/100),2)</f>
        <v>5.99</v>
      </c>
      <c r="I269">
        <f>WEEKDAY(lpg[[#This Row],[data]],2)</f>
        <v>4</v>
      </c>
    </row>
    <row r="270" spans="1:9" x14ac:dyDescent="0.25">
      <c r="A270" s="1">
        <v>41908</v>
      </c>
      <c r="B270">
        <v>110</v>
      </c>
      <c r="C270">
        <f t="shared" si="8"/>
        <v>45</v>
      </c>
      <c r="D270">
        <f t="shared" si="9"/>
        <v>-944.85000000000014</v>
      </c>
      <c r="E270">
        <f>ROUND(IF(lpg[[#This Row],[zbiornik PB95]]&gt;15,0,(lpg[[#This Row],[km]]/2)*6/100),2)</f>
        <v>0</v>
      </c>
      <c r="F270">
        <f>ROUND(IF(lpg[[#This Row],[zbiornik LPG]]&gt;15,lpg[[#This Row],[km]]*9/100,(lpg[[#This Row],[km]]/2)*9/100),2)</f>
        <v>4.95</v>
      </c>
      <c r="I270">
        <f>WEEKDAY(lpg[[#This Row],[data]],2)</f>
        <v>5</v>
      </c>
    </row>
    <row r="271" spans="1:9" x14ac:dyDescent="0.25">
      <c r="A271" s="1">
        <v>41909</v>
      </c>
      <c r="B271">
        <v>24</v>
      </c>
      <c r="C271">
        <f t="shared" si="8"/>
        <v>45</v>
      </c>
      <c r="D271">
        <f t="shared" si="9"/>
        <v>-949.80000000000018</v>
      </c>
      <c r="E271">
        <f>ROUND(IF(lpg[[#This Row],[zbiornik PB95]]&gt;15,0,(lpg[[#This Row],[km]]/2)*6/100),2)</f>
        <v>0</v>
      </c>
      <c r="F271">
        <f>ROUND(IF(lpg[[#This Row],[zbiornik LPG]]&gt;15,lpg[[#This Row],[km]]*9/100,(lpg[[#This Row],[km]]/2)*9/100),2)</f>
        <v>1.08</v>
      </c>
      <c r="I271">
        <f>WEEKDAY(lpg[[#This Row],[data]],2)</f>
        <v>6</v>
      </c>
    </row>
    <row r="272" spans="1:9" x14ac:dyDescent="0.25">
      <c r="A272" s="1">
        <v>41910</v>
      </c>
      <c r="B272">
        <v>65</v>
      </c>
      <c r="C272">
        <f t="shared" si="8"/>
        <v>45</v>
      </c>
      <c r="D272">
        <f t="shared" si="9"/>
        <v>-950.88000000000022</v>
      </c>
      <c r="E272">
        <f>ROUND(IF(lpg[[#This Row],[zbiornik PB95]]&gt;15,0,(lpg[[#This Row],[km]]/2)*6/100),2)</f>
        <v>0</v>
      </c>
      <c r="F272">
        <f>ROUND(IF(lpg[[#This Row],[zbiornik LPG]]&gt;15,lpg[[#This Row],[km]]*9/100,(lpg[[#This Row],[km]]/2)*9/100),2)</f>
        <v>2.93</v>
      </c>
      <c r="I272">
        <f>WEEKDAY(lpg[[#This Row],[data]],2)</f>
        <v>7</v>
      </c>
    </row>
    <row r="273" spans="1:9" x14ac:dyDescent="0.25">
      <c r="A273" s="1">
        <v>41911</v>
      </c>
      <c r="B273">
        <v>61</v>
      </c>
      <c r="C273">
        <f t="shared" si="8"/>
        <v>45</v>
      </c>
      <c r="D273">
        <f t="shared" si="9"/>
        <v>-953.81000000000017</v>
      </c>
      <c r="E273">
        <f>ROUND(IF(lpg[[#This Row],[zbiornik PB95]]&gt;15,0,(lpg[[#This Row],[km]]/2)*6/100),2)</f>
        <v>0</v>
      </c>
      <c r="F273">
        <f>ROUND(IF(lpg[[#This Row],[zbiornik LPG]]&gt;15,lpg[[#This Row],[km]]*9/100,(lpg[[#This Row],[km]]/2)*9/100),2)</f>
        <v>2.75</v>
      </c>
      <c r="I273">
        <f>WEEKDAY(lpg[[#This Row],[data]],2)</f>
        <v>1</v>
      </c>
    </row>
    <row r="274" spans="1:9" x14ac:dyDescent="0.25">
      <c r="A274" s="1">
        <v>41912</v>
      </c>
      <c r="B274">
        <v>45</v>
      </c>
      <c r="C274">
        <f t="shared" si="8"/>
        <v>45</v>
      </c>
      <c r="D274">
        <f t="shared" si="9"/>
        <v>-956.56000000000017</v>
      </c>
      <c r="E274">
        <f>ROUND(IF(lpg[[#This Row],[zbiornik PB95]]&gt;15,0,(lpg[[#This Row],[km]]/2)*6/100),2)</f>
        <v>0</v>
      </c>
      <c r="F274">
        <f>ROUND(IF(lpg[[#This Row],[zbiornik LPG]]&gt;15,lpg[[#This Row],[km]]*9/100,(lpg[[#This Row],[km]]/2)*9/100),2)</f>
        <v>2.0299999999999998</v>
      </c>
      <c r="I274">
        <f>WEEKDAY(lpg[[#This Row],[data]],2)</f>
        <v>2</v>
      </c>
    </row>
    <row r="275" spans="1:9" x14ac:dyDescent="0.25">
      <c r="A275" s="1">
        <v>41913</v>
      </c>
      <c r="B275">
        <v>49</v>
      </c>
      <c r="C275">
        <f t="shared" si="8"/>
        <v>45</v>
      </c>
      <c r="D275">
        <f t="shared" si="9"/>
        <v>-958.59000000000015</v>
      </c>
      <c r="E275">
        <f>ROUND(IF(lpg[[#This Row],[zbiornik PB95]]&gt;15,0,(lpg[[#This Row],[km]]/2)*6/100),2)</f>
        <v>0</v>
      </c>
      <c r="F275">
        <f>ROUND(IF(lpg[[#This Row],[zbiornik LPG]]&gt;15,lpg[[#This Row],[km]]*9/100,(lpg[[#This Row],[km]]/2)*9/100),2)</f>
        <v>2.21</v>
      </c>
      <c r="I275">
        <f>WEEKDAY(lpg[[#This Row],[data]],2)</f>
        <v>3</v>
      </c>
    </row>
    <row r="276" spans="1:9" x14ac:dyDescent="0.25">
      <c r="A276" s="1">
        <v>41914</v>
      </c>
      <c r="B276">
        <v>57</v>
      </c>
      <c r="C276">
        <f t="shared" si="8"/>
        <v>45</v>
      </c>
      <c r="D276">
        <f t="shared" si="9"/>
        <v>-960.80000000000018</v>
      </c>
      <c r="E276">
        <f>ROUND(IF(lpg[[#This Row],[zbiornik PB95]]&gt;15,0,(lpg[[#This Row],[km]]/2)*6/100),2)</f>
        <v>0</v>
      </c>
      <c r="F276">
        <f>ROUND(IF(lpg[[#This Row],[zbiornik LPG]]&gt;15,lpg[[#This Row],[km]]*9/100,(lpg[[#This Row],[km]]/2)*9/100),2)</f>
        <v>2.57</v>
      </c>
      <c r="I276">
        <f>WEEKDAY(lpg[[#This Row],[data]],2)</f>
        <v>4</v>
      </c>
    </row>
    <row r="277" spans="1:9" x14ac:dyDescent="0.25">
      <c r="A277" s="1">
        <v>41915</v>
      </c>
      <c r="B277">
        <v>109</v>
      </c>
      <c r="C277">
        <f t="shared" si="8"/>
        <v>45</v>
      </c>
      <c r="D277">
        <f t="shared" si="9"/>
        <v>-963.37000000000023</v>
      </c>
      <c r="E277">
        <f>ROUND(IF(lpg[[#This Row],[zbiornik PB95]]&gt;15,0,(lpg[[#This Row],[km]]/2)*6/100),2)</f>
        <v>0</v>
      </c>
      <c r="F277">
        <f>ROUND(IF(lpg[[#This Row],[zbiornik LPG]]&gt;15,lpg[[#This Row],[km]]*9/100,(lpg[[#This Row],[km]]/2)*9/100),2)</f>
        <v>4.91</v>
      </c>
      <c r="I277">
        <f>WEEKDAY(lpg[[#This Row],[data]],2)</f>
        <v>5</v>
      </c>
    </row>
    <row r="278" spans="1:9" x14ac:dyDescent="0.25">
      <c r="A278" s="1">
        <v>41916</v>
      </c>
      <c r="B278">
        <v>106</v>
      </c>
      <c r="C278">
        <f t="shared" si="8"/>
        <v>45</v>
      </c>
      <c r="D278">
        <f t="shared" si="9"/>
        <v>-968.2800000000002</v>
      </c>
      <c r="E278">
        <f>ROUND(IF(lpg[[#This Row],[zbiornik PB95]]&gt;15,0,(lpg[[#This Row],[km]]/2)*6/100),2)</f>
        <v>0</v>
      </c>
      <c r="F278">
        <f>ROUND(IF(lpg[[#This Row],[zbiornik LPG]]&gt;15,lpg[[#This Row],[km]]*9/100,(lpg[[#This Row],[km]]/2)*9/100),2)</f>
        <v>4.7699999999999996</v>
      </c>
      <c r="I278">
        <f>WEEKDAY(lpg[[#This Row],[data]],2)</f>
        <v>6</v>
      </c>
    </row>
    <row r="279" spans="1:9" x14ac:dyDescent="0.25">
      <c r="A279" s="1">
        <v>41917</v>
      </c>
      <c r="B279">
        <v>17</v>
      </c>
      <c r="C279">
        <f t="shared" si="8"/>
        <v>45</v>
      </c>
      <c r="D279">
        <f t="shared" si="9"/>
        <v>-973.05000000000018</v>
      </c>
      <c r="E279">
        <f>ROUND(IF(lpg[[#This Row],[zbiornik PB95]]&gt;15,0,(lpg[[#This Row],[km]]/2)*6/100),2)</f>
        <v>0</v>
      </c>
      <c r="F279">
        <f>ROUND(IF(lpg[[#This Row],[zbiornik LPG]]&gt;15,lpg[[#This Row],[km]]*9/100,(lpg[[#This Row],[km]]/2)*9/100),2)</f>
        <v>0.77</v>
      </c>
      <c r="I279">
        <f>WEEKDAY(lpg[[#This Row],[data]],2)</f>
        <v>7</v>
      </c>
    </row>
    <row r="280" spans="1:9" x14ac:dyDescent="0.25">
      <c r="A280" s="1">
        <v>41918</v>
      </c>
      <c r="B280">
        <v>99</v>
      </c>
      <c r="C280">
        <f t="shared" si="8"/>
        <v>45</v>
      </c>
      <c r="D280">
        <f t="shared" si="9"/>
        <v>-973.82000000000016</v>
      </c>
      <c r="E280">
        <f>ROUND(IF(lpg[[#This Row],[zbiornik PB95]]&gt;15,0,(lpg[[#This Row],[km]]/2)*6/100),2)</f>
        <v>0</v>
      </c>
      <c r="F280">
        <f>ROUND(IF(lpg[[#This Row],[zbiornik LPG]]&gt;15,lpg[[#This Row],[km]]*9/100,(lpg[[#This Row],[km]]/2)*9/100),2)</f>
        <v>4.46</v>
      </c>
      <c r="I280">
        <f>WEEKDAY(lpg[[#This Row],[data]],2)</f>
        <v>1</v>
      </c>
    </row>
    <row r="281" spans="1:9" x14ac:dyDescent="0.25">
      <c r="A281" s="1">
        <v>41919</v>
      </c>
      <c r="B281">
        <v>30</v>
      </c>
      <c r="C281">
        <f t="shared" si="8"/>
        <v>45</v>
      </c>
      <c r="D281">
        <f t="shared" si="9"/>
        <v>-978.2800000000002</v>
      </c>
      <c r="E281">
        <f>ROUND(IF(lpg[[#This Row],[zbiornik PB95]]&gt;15,0,(lpg[[#This Row],[km]]/2)*6/100),2)</f>
        <v>0</v>
      </c>
      <c r="F281">
        <f>ROUND(IF(lpg[[#This Row],[zbiornik LPG]]&gt;15,lpg[[#This Row],[km]]*9/100,(lpg[[#This Row],[km]]/2)*9/100),2)</f>
        <v>1.35</v>
      </c>
      <c r="I281">
        <f>WEEKDAY(lpg[[#This Row],[data]],2)</f>
        <v>2</v>
      </c>
    </row>
    <row r="282" spans="1:9" x14ac:dyDescent="0.25">
      <c r="A282" s="1">
        <v>41920</v>
      </c>
      <c r="B282">
        <v>33</v>
      </c>
      <c r="C282">
        <f t="shared" si="8"/>
        <v>45</v>
      </c>
      <c r="D282">
        <f t="shared" si="9"/>
        <v>-979.63000000000022</v>
      </c>
      <c r="E282">
        <f>ROUND(IF(lpg[[#This Row],[zbiornik PB95]]&gt;15,0,(lpg[[#This Row],[km]]/2)*6/100),2)</f>
        <v>0</v>
      </c>
      <c r="F282">
        <f>ROUND(IF(lpg[[#This Row],[zbiornik LPG]]&gt;15,lpg[[#This Row],[km]]*9/100,(lpg[[#This Row],[km]]/2)*9/100),2)</f>
        <v>1.49</v>
      </c>
      <c r="I282">
        <f>WEEKDAY(lpg[[#This Row],[data]],2)</f>
        <v>3</v>
      </c>
    </row>
    <row r="283" spans="1:9" x14ac:dyDescent="0.25">
      <c r="A283" s="1">
        <v>41921</v>
      </c>
      <c r="B283">
        <v>102</v>
      </c>
      <c r="C283">
        <f t="shared" si="8"/>
        <v>45</v>
      </c>
      <c r="D283">
        <f t="shared" si="9"/>
        <v>-981.12000000000023</v>
      </c>
      <c r="E283">
        <f>ROUND(IF(lpg[[#This Row],[zbiornik PB95]]&gt;15,0,(lpg[[#This Row],[km]]/2)*6/100),2)</f>
        <v>0</v>
      </c>
      <c r="F283">
        <f>ROUND(IF(lpg[[#This Row],[zbiornik LPG]]&gt;15,lpg[[#This Row],[km]]*9/100,(lpg[[#This Row],[km]]/2)*9/100),2)</f>
        <v>4.59</v>
      </c>
      <c r="I283">
        <f>WEEKDAY(lpg[[#This Row],[data]],2)</f>
        <v>4</v>
      </c>
    </row>
    <row r="284" spans="1:9" x14ac:dyDescent="0.25">
      <c r="A284" s="1">
        <v>41922</v>
      </c>
      <c r="B284">
        <v>175</v>
      </c>
      <c r="C284">
        <f t="shared" si="8"/>
        <v>45</v>
      </c>
      <c r="D284">
        <f t="shared" si="9"/>
        <v>-985.71000000000026</v>
      </c>
      <c r="E284">
        <f>ROUND(IF(lpg[[#This Row],[zbiornik PB95]]&gt;15,0,(lpg[[#This Row],[km]]/2)*6/100),2)</f>
        <v>0</v>
      </c>
      <c r="F284">
        <f>ROUND(IF(lpg[[#This Row],[zbiornik LPG]]&gt;15,lpg[[#This Row],[km]]*9/100,(lpg[[#This Row],[km]]/2)*9/100),2)</f>
        <v>7.88</v>
      </c>
      <c r="I284">
        <f>WEEKDAY(lpg[[#This Row],[data]],2)</f>
        <v>5</v>
      </c>
    </row>
    <row r="285" spans="1:9" x14ac:dyDescent="0.25">
      <c r="A285" s="1">
        <v>41923</v>
      </c>
      <c r="B285">
        <v>124</v>
      </c>
      <c r="C285">
        <f t="shared" si="8"/>
        <v>45</v>
      </c>
      <c r="D285">
        <f t="shared" si="9"/>
        <v>-993.59000000000026</v>
      </c>
      <c r="E285">
        <f>ROUND(IF(lpg[[#This Row],[zbiornik PB95]]&gt;15,0,(lpg[[#This Row],[km]]/2)*6/100),2)</f>
        <v>0</v>
      </c>
      <c r="F285">
        <f>ROUND(IF(lpg[[#This Row],[zbiornik LPG]]&gt;15,lpg[[#This Row],[km]]*9/100,(lpg[[#This Row],[km]]/2)*9/100),2)</f>
        <v>5.58</v>
      </c>
      <c r="I285">
        <f>WEEKDAY(lpg[[#This Row],[data]],2)</f>
        <v>6</v>
      </c>
    </row>
    <row r="286" spans="1:9" x14ac:dyDescent="0.25">
      <c r="A286" s="1">
        <v>41924</v>
      </c>
      <c r="B286">
        <v>121</v>
      </c>
      <c r="C286">
        <f t="shared" si="8"/>
        <v>45</v>
      </c>
      <c r="D286">
        <f t="shared" si="9"/>
        <v>-999.1700000000003</v>
      </c>
      <c r="E286">
        <f>ROUND(IF(lpg[[#This Row],[zbiornik PB95]]&gt;15,0,(lpg[[#This Row],[km]]/2)*6/100),2)</f>
        <v>0</v>
      </c>
      <c r="F286">
        <f>ROUND(IF(lpg[[#This Row],[zbiornik LPG]]&gt;15,lpg[[#This Row],[km]]*9/100,(lpg[[#This Row],[km]]/2)*9/100),2)</f>
        <v>5.45</v>
      </c>
      <c r="I286">
        <f>WEEKDAY(lpg[[#This Row],[data]],2)</f>
        <v>7</v>
      </c>
    </row>
    <row r="287" spans="1:9" x14ac:dyDescent="0.25">
      <c r="A287" s="1">
        <v>41925</v>
      </c>
      <c r="B287">
        <v>60</v>
      </c>
      <c r="C287">
        <f t="shared" si="8"/>
        <v>45</v>
      </c>
      <c r="D287">
        <f t="shared" si="9"/>
        <v>-1004.6200000000003</v>
      </c>
      <c r="E287">
        <f>ROUND(IF(lpg[[#This Row],[zbiornik PB95]]&gt;15,0,(lpg[[#This Row],[km]]/2)*6/100),2)</f>
        <v>0</v>
      </c>
      <c r="F287">
        <f>ROUND(IF(lpg[[#This Row],[zbiornik LPG]]&gt;15,lpg[[#This Row],[km]]*9/100,(lpg[[#This Row],[km]]/2)*9/100),2)</f>
        <v>2.7</v>
      </c>
      <c r="I287">
        <f>WEEKDAY(lpg[[#This Row],[data]],2)</f>
        <v>1</v>
      </c>
    </row>
    <row r="288" spans="1:9" x14ac:dyDescent="0.25">
      <c r="A288" s="1">
        <v>41926</v>
      </c>
      <c r="B288">
        <v>55</v>
      </c>
      <c r="C288">
        <f t="shared" si="8"/>
        <v>45</v>
      </c>
      <c r="D288">
        <f t="shared" si="9"/>
        <v>-1007.3200000000004</v>
      </c>
      <c r="E288">
        <f>ROUND(IF(lpg[[#This Row],[zbiornik PB95]]&gt;15,0,(lpg[[#This Row],[km]]/2)*6/100),2)</f>
        <v>0</v>
      </c>
      <c r="F288">
        <f>ROUND(IF(lpg[[#This Row],[zbiornik LPG]]&gt;15,lpg[[#This Row],[km]]*9/100,(lpg[[#This Row],[km]]/2)*9/100),2)</f>
        <v>2.48</v>
      </c>
      <c r="I288">
        <f>WEEKDAY(lpg[[#This Row],[data]],2)</f>
        <v>2</v>
      </c>
    </row>
    <row r="289" spans="1:9" x14ac:dyDescent="0.25">
      <c r="A289" s="1">
        <v>41927</v>
      </c>
      <c r="B289">
        <v>116</v>
      </c>
      <c r="C289">
        <f t="shared" si="8"/>
        <v>45</v>
      </c>
      <c r="D289">
        <f t="shared" si="9"/>
        <v>-1009.8000000000004</v>
      </c>
      <c r="E289">
        <f>ROUND(IF(lpg[[#This Row],[zbiornik PB95]]&gt;15,0,(lpg[[#This Row],[km]]/2)*6/100),2)</f>
        <v>0</v>
      </c>
      <c r="F289">
        <f>ROUND(IF(lpg[[#This Row],[zbiornik LPG]]&gt;15,lpg[[#This Row],[km]]*9/100,(lpg[[#This Row],[km]]/2)*9/100),2)</f>
        <v>5.22</v>
      </c>
      <c r="I289">
        <f>WEEKDAY(lpg[[#This Row],[data]],2)</f>
        <v>3</v>
      </c>
    </row>
    <row r="290" spans="1:9" x14ac:dyDescent="0.25">
      <c r="A290" s="1">
        <v>41928</v>
      </c>
      <c r="B290">
        <v>123</v>
      </c>
      <c r="C290">
        <f t="shared" si="8"/>
        <v>45</v>
      </c>
      <c r="D290">
        <f t="shared" si="9"/>
        <v>-1015.0200000000004</v>
      </c>
      <c r="E290">
        <f>ROUND(IF(lpg[[#This Row],[zbiornik PB95]]&gt;15,0,(lpg[[#This Row],[km]]/2)*6/100),2)</f>
        <v>0</v>
      </c>
      <c r="F290">
        <f>ROUND(IF(lpg[[#This Row],[zbiornik LPG]]&gt;15,lpg[[#This Row],[km]]*9/100,(lpg[[#This Row],[km]]/2)*9/100),2)</f>
        <v>5.54</v>
      </c>
      <c r="I290">
        <f>WEEKDAY(lpg[[#This Row],[data]],2)</f>
        <v>4</v>
      </c>
    </row>
    <row r="291" spans="1:9" x14ac:dyDescent="0.25">
      <c r="A291" s="1">
        <v>41929</v>
      </c>
      <c r="B291">
        <v>123</v>
      </c>
      <c r="C291">
        <f t="shared" si="8"/>
        <v>45</v>
      </c>
      <c r="D291">
        <f t="shared" si="9"/>
        <v>-1020.5600000000004</v>
      </c>
      <c r="E291">
        <f>ROUND(IF(lpg[[#This Row],[zbiornik PB95]]&gt;15,0,(lpg[[#This Row],[km]]/2)*6/100),2)</f>
        <v>0</v>
      </c>
      <c r="F291">
        <f>ROUND(IF(lpg[[#This Row],[zbiornik LPG]]&gt;15,lpg[[#This Row],[km]]*9/100,(lpg[[#This Row],[km]]/2)*9/100),2)</f>
        <v>5.54</v>
      </c>
      <c r="I291">
        <f>WEEKDAY(lpg[[#This Row],[data]],2)</f>
        <v>5</v>
      </c>
    </row>
    <row r="292" spans="1:9" x14ac:dyDescent="0.25">
      <c r="A292" s="1">
        <v>41930</v>
      </c>
      <c r="B292">
        <v>145</v>
      </c>
      <c r="C292">
        <f t="shared" si="8"/>
        <v>45</v>
      </c>
      <c r="D292">
        <f t="shared" si="9"/>
        <v>-1026.1000000000004</v>
      </c>
      <c r="E292">
        <f>ROUND(IF(lpg[[#This Row],[zbiornik PB95]]&gt;15,0,(lpg[[#This Row],[km]]/2)*6/100),2)</f>
        <v>0</v>
      </c>
      <c r="F292">
        <f>ROUND(IF(lpg[[#This Row],[zbiornik LPG]]&gt;15,lpg[[#This Row],[km]]*9/100,(lpg[[#This Row],[km]]/2)*9/100),2)</f>
        <v>6.53</v>
      </c>
      <c r="I292">
        <f>WEEKDAY(lpg[[#This Row],[data]],2)</f>
        <v>6</v>
      </c>
    </row>
    <row r="293" spans="1:9" x14ac:dyDescent="0.25">
      <c r="A293" s="1">
        <v>41931</v>
      </c>
      <c r="B293">
        <v>87</v>
      </c>
      <c r="C293">
        <f t="shared" si="8"/>
        <v>45</v>
      </c>
      <c r="D293">
        <f t="shared" si="9"/>
        <v>-1032.6300000000003</v>
      </c>
      <c r="E293">
        <f>ROUND(IF(lpg[[#This Row],[zbiornik PB95]]&gt;15,0,(lpg[[#This Row],[km]]/2)*6/100),2)</f>
        <v>0</v>
      </c>
      <c r="F293">
        <f>ROUND(IF(lpg[[#This Row],[zbiornik LPG]]&gt;15,lpg[[#This Row],[km]]*9/100,(lpg[[#This Row],[km]]/2)*9/100),2)</f>
        <v>3.92</v>
      </c>
      <c r="I293">
        <f>WEEKDAY(lpg[[#This Row],[data]],2)</f>
        <v>7</v>
      </c>
    </row>
    <row r="294" spans="1:9" x14ac:dyDescent="0.25">
      <c r="A294" s="1">
        <v>41932</v>
      </c>
      <c r="B294">
        <v>117</v>
      </c>
      <c r="C294">
        <f t="shared" si="8"/>
        <v>45</v>
      </c>
      <c r="D294">
        <f t="shared" si="9"/>
        <v>-1036.5500000000004</v>
      </c>
      <c r="E294">
        <f>ROUND(IF(lpg[[#This Row],[zbiornik PB95]]&gt;15,0,(lpg[[#This Row],[km]]/2)*6/100),2)</f>
        <v>0</v>
      </c>
      <c r="F294">
        <f>ROUND(IF(lpg[[#This Row],[zbiornik LPG]]&gt;15,lpg[[#This Row],[km]]*9/100,(lpg[[#This Row],[km]]/2)*9/100),2)</f>
        <v>5.27</v>
      </c>
      <c r="I294">
        <f>WEEKDAY(lpg[[#This Row],[data]],2)</f>
        <v>1</v>
      </c>
    </row>
    <row r="295" spans="1:9" x14ac:dyDescent="0.25">
      <c r="A295" s="1">
        <v>41933</v>
      </c>
      <c r="B295">
        <v>61</v>
      </c>
      <c r="C295">
        <f t="shared" si="8"/>
        <v>45</v>
      </c>
      <c r="D295">
        <f t="shared" si="9"/>
        <v>-1041.8200000000004</v>
      </c>
      <c r="E295">
        <f>ROUND(IF(lpg[[#This Row],[zbiornik PB95]]&gt;15,0,(lpg[[#This Row],[km]]/2)*6/100),2)</f>
        <v>0</v>
      </c>
      <c r="F295">
        <f>ROUND(IF(lpg[[#This Row],[zbiornik LPG]]&gt;15,lpg[[#This Row],[km]]*9/100,(lpg[[#This Row],[km]]/2)*9/100),2)</f>
        <v>2.75</v>
      </c>
      <c r="I295">
        <f>WEEKDAY(lpg[[#This Row],[data]],2)</f>
        <v>2</v>
      </c>
    </row>
    <row r="296" spans="1:9" x14ac:dyDescent="0.25">
      <c r="A296" s="1">
        <v>41934</v>
      </c>
      <c r="B296">
        <v>94</v>
      </c>
      <c r="C296">
        <f t="shared" si="8"/>
        <v>45</v>
      </c>
      <c r="D296">
        <f t="shared" si="9"/>
        <v>-1044.5700000000004</v>
      </c>
      <c r="E296">
        <f>ROUND(IF(lpg[[#This Row],[zbiornik PB95]]&gt;15,0,(lpg[[#This Row],[km]]/2)*6/100),2)</f>
        <v>0</v>
      </c>
      <c r="F296">
        <f>ROUND(IF(lpg[[#This Row],[zbiornik LPG]]&gt;15,lpg[[#This Row],[km]]*9/100,(lpg[[#This Row],[km]]/2)*9/100),2)</f>
        <v>4.2300000000000004</v>
      </c>
      <c r="I296">
        <f>WEEKDAY(lpg[[#This Row],[data]],2)</f>
        <v>3</v>
      </c>
    </row>
    <row r="297" spans="1:9" x14ac:dyDescent="0.25">
      <c r="A297" s="1">
        <v>41935</v>
      </c>
      <c r="B297">
        <v>113</v>
      </c>
      <c r="C297">
        <f t="shared" si="8"/>
        <v>45</v>
      </c>
      <c r="D297">
        <f t="shared" si="9"/>
        <v>-1048.8000000000004</v>
      </c>
      <c r="E297">
        <f>ROUND(IF(lpg[[#This Row],[zbiornik PB95]]&gt;15,0,(lpg[[#This Row],[km]]/2)*6/100),2)</f>
        <v>0</v>
      </c>
      <c r="F297">
        <f>ROUND(IF(lpg[[#This Row],[zbiornik LPG]]&gt;15,lpg[[#This Row],[km]]*9/100,(lpg[[#This Row],[km]]/2)*9/100),2)</f>
        <v>5.09</v>
      </c>
      <c r="I297">
        <f>WEEKDAY(lpg[[#This Row],[data]],2)</f>
        <v>4</v>
      </c>
    </row>
    <row r="298" spans="1:9" x14ac:dyDescent="0.25">
      <c r="A298" s="1">
        <v>41936</v>
      </c>
      <c r="B298">
        <v>144</v>
      </c>
      <c r="C298">
        <f t="shared" si="8"/>
        <v>45</v>
      </c>
      <c r="D298">
        <f t="shared" si="9"/>
        <v>-1053.8900000000003</v>
      </c>
      <c r="E298">
        <f>ROUND(IF(lpg[[#This Row],[zbiornik PB95]]&gt;15,0,(lpg[[#This Row],[km]]/2)*6/100),2)</f>
        <v>0</v>
      </c>
      <c r="F298">
        <f>ROUND(IF(lpg[[#This Row],[zbiornik LPG]]&gt;15,lpg[[#This Row],[km]]*9/100,(lpg[[#This Row],[km]]/2)*9/100),2)</f>
        <v>6.48</v>
      </c>
      <c r="I298">
        <f>WEEKDAY(lpg[[#This Row],[data]],2)</f>
        <v>5</v>
      </c>
    </row>
    <row r="299" spans="1:9" x14ac:dyDescent="0.25">
      <c r="A299" s="1">
        <v>41937</v>
      </c>
      <c r="B299">
        <v>66</v>
      </c>
      <c r="C299">
        <f t="shared" si="8"/>
        <v>45</v>
      </c>
      <c r="D299">
        <f t="shared" si="9"/>
        <v>-1060.3700000000003</v>
      </c>
      <c r="E299">
        <f>ROUND(IF(lpg[[#This Row],[zbiornik PB95]]&gt;15,0,(lpg[[#This Row],[km]]/2)*6/100),2)</f>
        <v>0</v>
      </c>
      <c r="F299">
        <f>ROUND(IF(lpg[[#This Row],[zbiornik LPG]]&gt;15,lpg[[#This Row],[km]]*9/100,(lpg[[#This Row],[km]]/2)*9/100),2)</f>
        <v>2.97</v>
      </c>
      <c r="I299">
        <f>WEEKDAY(lpg[[#This Row],[data]],2)</f>
        <v>6</v>
      </c>
    </row>
    <row r="300" spans="1:9" x14ac:dyDescent="0.25">
      <c r="A300" s="1">
        <v>41938</v>
      </c>
      <c r="B300">
        <v>69</v>
      </c>
      <c r="C300">
        <f t="shared" si="8"/>
        <v>45</v>
      </c>
      <c r="D300">
        <f t="shared" si="9"/>
        <v>-1063.3400000000004</v>
      </c>
      <c r="E300">
        <f>ROUND(IF(lpg[[#This Row],[zbiornik PB95]]&gt;15,0,(lpg[[#This Row],[km]]/2)*6/100),2)</f>
        <v>0</v>
      </c>
      <c r="F300">
        <f>ROUND(IF(lpg[[#This Row],[zbiornik LPG]]&gt;15,lpg[[#This Row],[km]]*9/100,(lpg[[#This Row],[km]]/2)*9/100),2)</f>
        <v>3.11</v>
      </c>
      <c r="I300">
        <f>WEEKDAY(lpg[[#This Row],[data]],2)</f>
        <v>7</v>
      </c>
    </row>
    <row r="301" spans="1:9" x14ac:dyDescent="0.25">
      <c r="A301" s="1">
        <v>41939</v>
      </c>
      <c r="B301">
        <v>127</v>
      </c>
      <c r="C301">
        <f t="shared" si="8"/>
        <v>45</v>
      </c>
      <c r="D301">
        <f t="shared" si="9"/>
        <v>-1066.4500000000003</v>
      </c>
      <c r="E301">
        <f>ROUND(IF(lpg[[#This Row],[zbiornik PB95]]&gt;15,0,(lpg[[#This Row],[km]]/2)*6/100),2)</f>
        <v>0</v>
      </c>
      <c r="F301">
        <f>ROUND(IF(lpg[[#This Row],[zbiornik LPG]]&gt;15,lpg[[#This Row],[km]]*9/100,(lpg[[#This Row],[km]]/2)*9/100),2)</f>
        <v>5.72</v>
      </c>
      <c r="I301">
        <f>WEEKDAY(lpg[[#This Row],[data]],2)</f>
        <v>1</v>
      </c>
    </row>
    <row r="302" spans="1:9" x14ac:dyDescent="0.25">
      <c r="A302" s="1">
        <v>41940</v>
      </c>
      <c r="B302">
        <v>112</v>
      </c>
      <c r="C302">
        <f t="shared" si="8"/>
        <v>45</v>
      </c>
      <c r="D302">
        <f t="shared" si="9"/>
        <v>-1072.1700000000003</v>
      </c>
      <c r="E302">
        <f>ROUND(IF(lpg[[#This Row],[zbiornik PB95]]&gt;15,0,(lpg[[#This Row],[km]]/2)*6/100),2)</f>
        <v>0</v>
      </c>
      <c r="F302">
        <f>ROUND(IF(lpg[[#This Row],[zbiornik LPG]]&gt;15,lpg[[#This Row],[km]]*9/100,(lpg[[#This Row],[km]]/2)*9/100),2)</f>
        <v>5.04</v>
      </c>
      <c r="I302">
        <f>WEEKDAY(lpg[[#This Row],[data]],2)</f>
        <v>2</v>
      </c>
    </row>
    <row r="303" spans="1:9" x14ac:dyDescent="0.25">
      <c r="A303" s="1">
        <v>41941</v>
      </c>
      <c r="B303">
        <v>99</v>
      </c>
      <c r="C303">
        <f t="shared" si="8"/>
        <v>45</v>
      </c>
      <c r="D303">
        <f t="shared" si="9"/>
        <v>-1077.2100000000003</v>
      </c>
      <c r="E303">
        <f>ROUND(IF(lpg[[#This Row],[zbiornik PB95]]&gt;15,0,(lpg[[#This Row],[km]]/2)*6/100),2)</f>
        <v>0</v>
      </c>
      <c r="F303">
        <f>ROUND(IF(lpg[[#This Row],[zbiornik LPG]]&gt;15,lpg[[#This Row],[km]]*9/100,(lpg[[#This Row],[km]]/2)*9/100),2)</f>
        <v>4.46</v>
      </c>
      <c r="I303">
        <f>WEEKDAY(lpg[[#This Row],[data]],2)</f>
        <v>3</v>
      </c>
    </row>
    <row r="304" spans="1:9" x14ac:dyDescent="0.25">
      <c r="A304" s="1">
        <v>41942</v>
      </c>
      <c r="B304">
        <v>60</v>
      </c>
      <c r="C304">
        <f t="shared" si="8"/>
        <v>45</v>
      </c>
      <c r="D304">
        <f t="shared" si="9"/>
        <v>-1081.6700000000003</v>
      </c>
      <c r="E304">
        <f>ROUND(IF(lpg[[#This Row],[zbiornik PB95]]&gt;15,0,(lpg[[#This Row],[km]]/2)*6/100),2)</f>
        <v>0</v>
      </c>
      <c r="F304">
        <f>ROUND(IF(lpg[[#This Row],[zbiornik LPG]]&gt;15,lpg[[#This Row],[km]]*9/100,(lpg[[#This Row],[km]]/2)*9/100),2)</f>
        <v>2.7</v>
      </c>
      <c r="I304">
        <f>WEEKDAY(lpg[[#This Row],[data]],2)</f>
        <v>4</v>
      </c>
    </row>
    <row r="305" spans="1:9" x14ac:dyDescent="0.25">
      <c r="A305" s="1">
        <v>41943</v>
      </c>
      <c r="B305">
        <v>118</v>
      </c>
      <c r="C305">
        <f t="shared" si="8"/>
        <v>45</v>
      </c>
      <c r="D305">
        <f t="shared" si="9"/>
        <v>-1084.3700000000003</v>
      </c>
      <c r="E305">
        <f>ROUND(IF(lpg[[#This Row],[zbiornik PB95]]&gt;15,0,(lpg[[#This Row],[km]]/2)*6/100),2)</f>
        <v>0</v>
      </c>
      <c r="F305">
        <f>ROUND(IF(lpg[[#This Row],[zbiornik LPG]]&gt;15,lpg[[#This Row],[km]]*9/100,(lpg[[#This Row],[km]]/2)*9/100),2)</f>
        <v>5.31</v>
      </c>
      <c r="I305">
        <f>WEEKDAY(lpg[[#This Row],[data]],2)</f>
        <v>5</v>
      </c>
    </row>
    <row r="306" spans="1:9" x14ac:dyDescent="0.25">
      <c r="A306" s="1">
        <v>41944</v>
      </c>
      <c r="B306">
        <v>55</v>
      </c>
      <c r="C306">
        <f t="shared" si="8"/>
        <v>45</v>
      </c>
      <c r="D306">
        <f t="shared" si="9"/>
        <v>-1089.6800000000003</v>
      </c>
      <c r="E306">
        <f>ROUND(IF(lpg[[#This Row],[zbiornik PB95]]&gt;15,0,(lpg[[#This Row],[km]]/2)*6/100),2)</f>
        <v>0</v>
      </c>
      <c r="F306">
        <f>ROUND(IF(lpg[[#This Row],[zbiornik LPG]]&gt;15,lpg[[#This Row],[km]]*9/100,(lpg[[#This Row],[km]]/2)*9/100),2)</f>
        <v>2.48</v>
      </c>
      <c r="I306">
        <f>WEEKDAY(lpg[[#This Row],[data]],2)</f>
        <v>6</v>
      </c>
    </row>
    <row r="307" spans="1:9" x14ac:dyDescent="0.25">
      <c r="A307" s="1">
        <v>41945</v>
      </c>
      <c r="B307">
        <v>133</v>
      </c>
      <c r="C307">
        <f t="shared" si="8"/>
        <v>45</v>
      </c>
      <c r="D307">
        <f t="shared" si="9"/>
        <v>-1092.1600000000003</v>
      </c>
      <c r="E307">
        <f>ROUND(IF(lpg[[#This Row],[zbiornik PB95]]&gt;15,0,(lpg[[#This Row],[km]]/2)*6/100),2)</f>
        <v>0</v>
      </c>
      <c r="F307">
        <f>ROUND(IF(lpg[[#This Row],[zbiornik LPG]]&gt;15,lpg[[#This Row],[km]]*9/100,(lpg[[#This Row],[km]]/2)*9/100),2)</f>
        <v>5.99</v>
      </c>
      <c r="I307">
        <f>WEEKDAY(lpg[[#This Row],[data]],2)</f>
        <v>7</v>
      </c>
    </row>
    <row r="308" spans="1:9" x14ac:dyDescent="0.25">
      <c r="A308" s="1">
        <v>41946</v>
      </c>
      <c r="B308">
        <v>110</v>
      </c>
      <c r="C308">
        <f t="shared" si="8"/>
        <v>45</v>
      </c>
      <c r="D308">
        <f t="shared" si="9"/>
        <v>-1098.1500000000003</v>
      </c>
      <c r="E308">
        <f>ROUND(IF(lpg[[#This Row],[zbiornik PB95]]&gt;15,0,(lpg[[#This Row],[km]]/2)*6/100),2)</f>
        <v>0</v>
      </c>
      <c r="F308">
        <f>ROUND(IF(lpg[[#This Row],[zbiornik LPG]]&gt;15,lpg[[#This Row],[km]]*9/100,(lpg[[#This Row],[km]]/2)*9/100),2)</f>
        <v>4.95</v>
      </c>
      <c r="I308">
        <f>WEEKDAY(lpg[[#This Row],[data]],2)</f>
        <v>1</v>
      </c>
    </row>
    <row r="309" spans="1:9" x14ac:dyDescent="0.25">
      <c r="A309" s="1">
        <v>41947</v>
      </c>
      <c r="B309">
        <v>145</v>
      </c>
      <c r="C309">
        <f t="shared" si="8"/>
        <v>45</v>
      </c>
      <c r="D309">
        <f t="shared" si="9"/>
        <v>-1103.1000000000004</v>
      </c>
      <c r="E309">
        <f>ROUND(IF(lpg[[#This Row],[zbiornik PB95]]&gt;15,0,(lpg[[#This Row],[km]]/2)*6/100),2)</f>
        <v>0</v>
      </c>
      <c r="F309">
        <f>ROUND(IF(lpg[[#This Row],[zbiornik LPG]]&gt;15,lpg[[#This Row],[km]]*9/100,(lpg[[#This Row],[km]]/2)*9/100),2)</f>
        <v>6.53</v>
      </c>
      <c r="I309">
        <f>WEEKDAY(lpg[[#This Row],[data]],2)</f>
        <v>2</v>
      </c>
    </row>
    <row r="310" spans="1:9" x14ac:dyDescent="0.25">
      <c r="A310" s="1">
        <v>41948</v>
      </c>
      <c r="B310">
        <v>125</v>
      </c>
      <c r="C310">
        <f t="shared" si="8"/>
        <v>45</v>
      </c>
      <c r="D310">
        <f t="shared" si="9"/>
        <v>-1109.6300000000003</v>
      </c>
      <c r="E310">
        <f>ROUND(IF(lpg[[#This Row],[zbiornik PB95]]&gt;15,0,(lpg[[#This Row],[km]]/2)*6/100),2)</f>
        <v>0</v>
      </c>
      <c r="F310">
        <f>ROUND(IF(lpg[[#This Row],[zbiornik LPG]]&gt;15,lpg[[#This Row],[km]]*9/100,(lpg[[#This Row],[km]]/2)*9/100),2)</f>
        <v>5.63</v>
      </c>
      <c r="I310">
        <f>WEEKDAY(lpg[[#This Row],[data]],2)</f>
        <v>3</v>
      </c>
    </row>
    <row r="311" spans="1:9" x14ac:dyDescent="0.25">
      <c r="A311" s="1">
        <v>41949</v>
      </c>
      <c r="B311">
        <v>103</v>
      </c>
      <c r="C311">
        <f t="shared" si="8"/>
        <v>45</v>
      </c>
      <c r="D311">
        <f t="shared" si="9"/>
        <v>-1115.2600000000004</v>
      </c>
      <c r="E311">
        <f>ROUND(IF(lpg[[#This Row],[zbiornik PB95]]&gt;15,0,(lpg[[#This Row],[km]]/2)*6/100),2)</f>
        <v>0</v>
      </c>
      <c r="F311">
        <f>ROUND(IF(lpg[[#This Row],[zbiornik LPG]]&gt;15,lpg[[#This Row],[km]]*9/100,(lpg[[#This Row],[km]]/2)*9/100),2)</f>
        <v>4.6399999999999997</v>
      </c>
      <c r="I311">
        <f>WEEKDAY(lpg[[#This Row],[data]],2)</f>
        <v>4</v>
      </c>
    </row>
    <row r="312" spans="1:9" x14ac:dyDescent="0.25">
      <c r="A312" s="1">
        <v>41950</v>
      </c>
      <c r="B312">
        <v>143</v>
      </c>
      <c r="C312">
        <f t="shared" si="8"/>
        <v>45</v>
      </c>
      <c r="D312">
        <f t="shared" si="9"/>
        <v>-1119.9000000000005</v>
      </c>
      <c r="E312">
        <f>ROUND(IF(lpg[[#This Row],[zbiornik PB95]]&gt;15,0,(lpg[[#This Row],[km]]/2)*6/100),2)</f>
        <v>0</v>
      </c>
      <c r="F312">
        <f>ROUND(IF(lpg[[#This Row],[zbiornik LPG]]&gt;15,lpg[[#This Row],[km]]*9/100,(lpg[[#This Row],[km]]/2)*9/100),2)</f>
        <v>6.44</v>
      </c>
      <c r="I312">
        <f>WEEKDAY(lpg[[#This Row],[data]],2)</f>
        <v>5</v>
      </c>
    </row>
    <row r="313" spans="1:9" x14ac:dyDescent="0.25">
      <c r="A313" s="1">
        <v>41951</v>
      </c>
      <c r="B313">
        <v>50</v>
      </c>
      <c r="C313">
        <f t="shared" si="8"/>
        <v>45</v>
      </c>
      <c r="D313">
        <f t="shared" si="9"/>
        <v>-1126.3400000000006</v>
      </c>
      <c r="E313">
        <f>ROUND(IF(lpg[[#This Row],[zbiornik PB95]]&gt;15,0,(lpg[[#This Row],[km]]/2)*6/100),2)</f>
        <v>0</v>
      </c>
      <c r="F313">
        <f>ROUND(IF(lpg[[#This Row],[zbiornik LPG]]&gt;15,lpg[[#This Row],[km]]*9/100,(lpg[[#This Row],[km]]/2)*9/100),2)</f>
        <v>2.25</v>
      </c>
      <c r="I313">
        <f>WEEKDAY(lpg[[#This Row],[data]],2)</f>
        <v>6</v>
      </c>
    </row>
    <row r="314" spans="1:9" x14ac:dyDescent="0.25">
      <c r="A314" s="1">
        <v>41952</v>
      </c>
      <c r="B314">
        <v>105</v>
      </c>
      <c r="C314">
        <f t="shared" si="8"/>
        <v>45</v>
      </c>
      <c r="D314">
        <f t="shared" si="9"/>
        <v>-1128.5900000000006</v>
      </c>
      <c r="E314">
        <f>ROUND(IF(lpg[[#This Row],[zbiornik PB95]]&gt;15,0,(lpg[[#This Row],[km]]/2)*6/100),2)</f>
        <v>0</v>
      </c>
      <c r="F314">
        <f>ROUND(IF(lpg[[#This Row],[zbiornik LPG]]&gt;15,lpg[[#This Row],[km]]*9/100,(lpg[[#This Row],[km]]/2)*9/100),2)</f>
        <v>4.7300000000000004</v>
      </c>
      <c r="I314">
        <f>WEEKDAY(lpg[[#This Row],[data]],2)</f>
        <v>7</v>
      </c>
    </row>
    <row r="315" spans="1:9" x14ac:dyDescent="0.25">
      <c r="A315" s="1">
        <v>41953</v>
      </c>
      <c r="B315">
        <v>101</v>
      </c>
      <c r="C315">
        <f t="shared" si="8"/>
        <v>45</v>
      </c>
      <c r="D315">
        <f t="shared" si="9"/>
        <v>-1133.3200000000006</v>
      </c>
      <c r="E315">
        <f>ROUND(IF(lpg[[#This Row],[zbiornik PB95]]&gt;15,0,(lpg[[#This Row],[km]]/2)*6/100),2)</f>
        <v>0</v>
      </c>
      <c r="F315">
        <f>ROUND(IF(lpg[[#This Row],[zbiornik LPG]]&gt;15,lpg[[#This Row],[km]]*9/100,(lpg[[#This Row],[km]]/2)*9/100),2)</f>
        <v>4.55</v>
      </c>
      <c r="I315">
        <f>WEEKDAY(lpg[[#This Row],[data]],2)</f>
        <v>1</v>
      </c>
    </row>
    <row r="316" spans="1:9" x14ac:dyDescent="0.25">
      <c r="A316" s="1">
        <v>41954</v>
      </c>
      <c r="B316">
        <v>114</v>
      </c>
      <c r="C316">
        <f t="shared" si="8"/>
        <v>45</v>
      </c>
      <c r="D316">
        <f t="shared" si="9"/>
        <v>-1137.8700000000006</v>
      </c>
      <c r="E316">
        <f>ROUND(IF(lpg[[#This Row],[zbiornik PB95]]&gt;15,0,(lpg[[#This Row],[km]]/2)*6/100),2)</f>
        <v>0</v>
      </c>
      <c r="F316">
        <f>ROUND(IF(lpg[[#This Row],[zbiornik LPG]]&gt;15,lpg[[#This Row],[km]]*9/100,(lpg[[#This Row],[km]]/2)*9/100),2)</f>
        <v>5.13</v>
      </c>
      <c r="I316">
        <f>WEEKDAY(lpg[[#This Row],[data]],2)</f>
        <v>2</v>
      </c>
    </row>
    <row r="317" spans="1:9" x14ac:dyDescent="0.25">
      <c r="A317" s="1">
        <v>41955</v>
      </c>
      <c r="B317">
        <v>106</v>
      </c>
      <c r="C317">
        <f t="shared" si="8"/>
        <v>45</v>
      </c>
      <c r="D317">
        <f t="shared" si="9"/>
        <v>-1143.0000000000007</v>
      </c>
      <c r="E317">
        <f>ROUND(IF(lpg[[#This Row],[zbiornik PB95]]&gt;15,0,(lpg[[#This Row],[km]]/2)*6/100),2)</f>
        <v>0</v>
      </c>
      <c r="F317">
        <f>ROUND(IF(lpg[[#This Row],[zbiornik LPG]]&gt;15,lpg[[#This Row],[km]]*9/100,(lpg[[#This Row],[km]]/2)*9/100),2)</f>
        <v>4.7699999999999996</v>
      </c>
      <c r="I317">
        <f>WEEKDAY(lpg[[#This Row],[data]],2)</f>
        <v>3</v>
      </c>
    </row>
    <row r="318" spans="1:9" x14ac:dyDescent="0.25">
      <c r="A318" s="1">
        <v>41956</v>
      </c>
      <c r="B318">
        <v>79</v>
      </c>
      <c r="C318">
        <f t="shared" si="8"/>
        <v>45</v>
      </c>
      <c r="D318">
        <f t="shared" si="9"/>
        <v>-1147.7700000000007</v>
      </c>
      <c r="E318">
        <f>ROUND(IF(lpg[[#This Row],[zbiornik PB95]]&gt;15,0,(lpg[[#This Row],[km]]/2)*6/100),2)</f>
        <v>0</v>
      </c>
      <c r="F318">
        <f>ROUND(IF(lpg[[#This Row],[zbiornik LPG]]&gt;15,lpg[[#This Row],[km]]*9/100,(lpg[[#This Row],[km]]/2)*9/100),2)</f>
        <v>3.56</v>
      </c>
      <c r="I318">
        <f>WEEKDAY(lpg[[#This Row],[data]],2)</f>
        <v>4</v>
      </c>
    </row>
    <row r="319" spans="1:9" x14ac:dyDescent="0.25">
      <c r="A319" s="1">
        <v>41957</v>
      </c>
      <c r="B319">
        <v>20</v>
      </c>
      <c r="C319">
        <f t="shared" si="8"/>
        <v>45</v>
      </c>
      <c r="D319">
        <f t="shared" si="9"/>
        <v>-1151.3300000000006</v>
      </c>
      <c r="E319">
        <f>ROUND(IF(lpg[[#This Row],[zbiornik PB95]]&gt;15,0,(lpg[[#This Row],[km]]/2)*6/100),2)</f>
        <v>0</v>
      </c>
      <c r="F319">
        <f>ROUND(IF(lpg[[#This Row],[zbiornik LPG]]&gt;15,lpg[[#This Row],[km]]*9/100,(lpg[[#This Row],[km]]/2)*9/100),2)</f>
        <v>0.9</v>
      </c>
      <c r="I319">
        <f>WEEKDAY(lpg[[#This Row],[data]],2)</f>
        <v>5</v>
      </c>
    </row>
    <row r="320" spans="1:9" x14ac:dyDescent="0.25">
      <c r="A320" s="1">
        <v>41958</v>
      </c>
      <c r="B320">
        <v>27</v>
      </c>
      <c r="C320">
        <f t="shared" si="8"/>
        <v>45</v>
      </c>
      <c r="D320">
        <f t="shared" si="9"/>
        <v>-1152.2300000000007</v>
      </c>
      <c r="E320">
        <f>ROUND(IF(lpg[[#This Row],[zbiornik PB95]]&gt;15,0,(lpg[[#This Row],[km]]/2)*6/100),2)</f>
        <v>0</v>
      </c>
      <c r="F320">
        <f>ROUND(IF(lpg[[#This Row],[zbiornik LPG]]&gt;15,lpg[[#This Row],[km]]*9/100,(lpg[[#This Row],[km]]/2)*9/100),2)</f>
        <v>1.22</v>
      </c>
      <c r="I320">
        <f>WEEKDAY(lpg[[#This Row],[data]],2)</f>
        <v>6</v>
      </c>
    </row>
    <row r="321" spans="1:9" x14ac:dyDescent="0.25">
      <c r="A321" s="1">
        <v>41959</v>
      </c>
      <c r="B321">
        <v>23</v>
      </c>
      <c r="C321">
        <f t="shared" si="8"/>
        <v>45</v>
      </c>
      <c r="D321">
        <f t="shared" si="9"/>
        <v>-1153.4500000000007</v>
      </c>
      <c r="E321">
        <f>ROUND(IF(lpg[[#This Row],[zbiornik PB95]]&gt;15,0,(lpg[[#This Row],[km]]/2)*6/100),2)</f>
        <v>0</v>
      </c>
      <c r="F321">
        <f>ROUND(IF(lpg[[#This Row],[zbiornik LPG]]&gt;15,lpg[[#This Row],[km]]*9/100,(lpg[[#This Row],[km]]/2)*9/100),2)</f>
        <v>1.04</v>
      </c>
      <c r="I321">
        <f>WEEKDAY(lpg[[#This Row],[data]],2)</f>
        <v>7</v>
      </c>
    </row>
    <row r="322" spans="1:9" x14ac:dyDescent="0.25">
      <c r="A322" s="1">
        <v>41960</v>
      </c>
      <c r="B322">
        <v>106</v>
      </c>
      <c r="C322">
        <f t="shared" si="8"/>
        <v>45</v>
      </c>
      <c r="D322">
        <f t="shared" si="9"/>
        <v>-1154.4900000000007</v>
      </c>
      <c r="E322">
        <f>ROUND(IF(lpg[[#This Row],[zbiornik PB95]]&gt;15,0,(lpg[[#This Row],[km]]/2)*6/100),2)</f>
        <v>0</v>
      </c>
      <c r="F322">
        <f>ROUND(IF(lpg[[#This Row],[zbiornik LPG]]&gt;15,lpg[[#This Row],[km]]*9/100,(lpg[[#This Row],[km]]/2)*9/100),2)</f>
        <v>4.7699999999999996</v>
      </c>
      <c r="I322">
        <f>WEEKDAY(lpg[[#This Row],[data]],2)</f>
        <v>1</v>
      </c>
    </row>
    <row r="323" spans="1:9" x14ac:dyDescent="0.25">
      <c r="A323" s="1">
        <v>41961</v>
      </c>
      <c r="B323">
        <v>90</v>
      </c>
      <c r="C323">
        <f t="shared" si="8"/>
        <v>45</v>
      </c>
      <c r="D323">
        <f t="shared" si="9"/>
        <v>-1159.2600000000007</v>
      </c>
      <c r="E323">
        <f>ROUND(IF(lpg[[#This Row],[zbiornik PB95]]&gt;15,0,(lpg[[#This Row],[km]]/2)*6/100),2)</f>
        <v>0</v>
      </c>
      <c r="F323">
        <f>ROUND(IF(lpg[[#This Row],[zbiornik LPG]]&gt;15,lpg[[#This Row],[km]]*9/100,(lpg[[#This Row],[km]]/2)*9/100),2)</f>
        <v>4.05</v>
      </c>
      <c r="I323">
        <f>WEEKDAY(lpg[[#This Row],[data]],2)</f>
        <v>2</v>
      </c>
    </row>
    <row r="324" spans="1:9" x14ac:dyDescent="0.25">
      <c r="A324" s="1">
        <v>41962</v>
      </c>
      <c r="B324">
        <v>119</v>
      </c>
      <c r="C324">
        <f t="shared" ref="C324:C366" si="10">C323-E323</f>
        <v>45</v>
      </c>
      <c r="D324">
        <f t="shared" ref="D324:D366" si="11">D323-F323</f>
        <v>-1163.3100000000006</v>
      </c>
      <c r="E324">
        <f>ROUND(IF(lpg[[#This Row],[zbiornik PB95]]&gt;15,0,(lpg[[#This Row],[km]]/2)*6/100),2)</f>
        <v>0</v>
      </c>
      <c r="F324">
        <f>ROUND(IF(lpg[[#This Row],[zbiornik LPG]]&gt;15,lpg[[#This Row],[km]]*9/100,(lpg[[#This Row],[km]]/2)*9/100),2)</f>
        <v>5.36</v>
      </c>
      <c r="I324">
        <f>WEEKDAY(lpg[[#This Row],[data]],2)</f>
        <v>3</v>
      </c>
    </row>
    <row r="325" spans="1:9" x14ac:dyDescent="0.25">
      <c r="A325" s="1">
        <v>41963</v>
      </c>
      <c r="B325">
        <v>110</v>
      </c>
      <c r="C325">
        <f t="shared" si="10"/>
        <v>45</v>
      </c>
      <c r="D325">
        <f t="shared" si="11"/>
        <v>-1168.6700000000005</v>
      </c>
      <c r="E325">
        <f>ROUND(IF(lpg[[#This Row],[zbiornik PB95]]&gt;15,0,(lpg[[#This Row],[km]]/2)*6/100),2)</f>
        <v>0</v>
      </c>
      <c r="F325">
        <f>ROUND(IF(lpg[[#This Row],[zbiornik LPG]]&gt;15,lpg[[#This Row],[km]]*9/100,(lpg[[#This Row],[km]]/2)*9/100),2)</f>
        <v>4.95</v>
      </c>
      <c r="I325">
        <f>WEEKDAY(lpg[[#This Row],[data]],2)</f>
        <v>4</v>
      </c>
    </row>
    <row r="326" spans="1:9" x14ac:dyDescent="0.25">
      <c r="A326" s="1">
        <v>41964</v>
      </c>
      <c r="B326">
        <v>23</v>
      </c>
      <c r="C326">
        <f t="shared" si="10"/>
        <v>45</v>
      </c>
      <c r="D326">
        <f t="shared" si="11"/>
        <v>-1173.6200000000006</v>
      </c>
      <c r="E326">
        <f>ROUND(IF(lpg[[#This Row],[zbiornik PB95]]&gt;15,0,(lpg[[#This Row],[km]]/2)*6/100),2)</f>
        <v>0</v>
      </c>
      <c r="F326">
        <f>ROUND(IF(lpg[[#This Row],[zbiornik LPG]]&gt;15,lpg[[#This Row],[km]]*9/100,(lpg[[#This Row],[km]]/2)*9/100),2)</f>
        <v>1.04</v>
      </c>
      <c r="I326">
        <f>WEEKDAY(lpg[[#This Row],[data]],2)</f>
        <v>5</v>
      </c>
    </row>
    <row r="327" spans="1:9" x14ac:dyDescent="0.25">
      <c r="A327" s="1">
        <v>41965</v>
      </c>
      <c r="B327">
        <v>53</v>
      </c>
      <c r="C327">
        <f t="shared" si="10"/>
        <v>45</v>
      </c>
      <c r="D327">
        <f t="shared" si="11"/>
        <v>-1174.6600000000005</v>
      </c>
      <c r="E327">
        <f>ROUND(IF(lpg[[#This Row],[zbiornik PB95]]&gt;15,0,(lpg[[#This Row],[km]]/2)*6/100),2)</f>
        <v>0</v>
      </c>
      <c r="F327">
        <f>ROUND(IF(lpg[[#This Row],[zbiornik LPG]]&gt;15,lpg[[#This Row],[km]]*9/100,(lpg[[#This Row],[km]]/2)*9/100),2)</f>
        <v>2.39</v>
      </c>
      <c r="I327">
        <f>WEEKDAY(lpg[[#This Row],[data]],2)</f>
        <v>6</v>
      </c>
    </row>
    <row r="328" spans="1:9" x14ac:dyDescent="0.25">
      <c r="A328" s="1">
        <v>41966</v>
      </c>
      <c r="B328">
        <v>89</v>
      </c>
      <c r="C328">
        <f t="shared" si="10"/>
        <v>45</v>
      </c>
      <c r="D328">
        <f t="shared" si="11"/>
        <v>-1177.0500000000006</v>
      </c>
      <c r="E328">
        <f>ROUND(IF(lpg[[#This Row],[zbiornik PB95]]&gt;15,0,(lpg[[#This Row],[km]]/2)*6/100),2)</f>
        <v>0</v>
      </c>
      <c r="F328">
        <f>ROUND(IF(lpg[[#This Row],[zbiornik LPG]]&gt;15,lpg[[#This Row],[km]]*9/100,(lpg[[#This Row],[km]]/2)*9/100),2)</f>
        <v>4.01</v>
      </c>
      <c r="I328">
        <f>WEEKDAY(lpg[[#This Row],[data]],2)</f>
        <v>7</v>
      </c>
    </row>
    <row r="329" spans="1:9" x14ac:dyDescent="0.25">
      <c r="A329" s="1">
        <v>41967</v>
      </c>
      <c r="B329">
        <v>150</v>
      </c>
      <c r="C329">
        <f t="shared" si="10"/>
        <v>45</v>
      </c>
      <c r="D329">
        <f t="shared" si="11"/>
        <v>-1181.0600000000006</v>
      </c>
      <c r="E329">
        <f>ROUND(IF(lpg[[#This Row],[zbiornik PB95]]&gt;15,0,(lpg[[#This Row],[km]]/2)*6/100),2)</f>
        <v>0</v>
      </c>
      <c r="F329">
        <f>ROUND(IF(lpg[[#This Row],[zbiornik LPG]]&gt;15,lpg[[#This Row],[km]]*9/100,(lpg[[#This Row],[km]]/2)*9/100),2)</f>
        <v>6.75</v>
      </c>
      <c r="I329">
        <f>WEEKDAY(lpg[[#This Row],[data]],2)</f>
        <v>1</v>
      </c>
    </row>
    <row r="330" spans="1:9" x14ac:dyDescent="0.25">
      <c r="A330" s="1">
        <v>41968</v>
      </c>
      <c r="B330">
        <v>44</v>
      </c>
      <c r="C330">
        <f t="shared" si="10"/>
        <v>45</v>
      </c>
      <c r="D330">
        <f t="shared" si="11"/>
        <v>-1187.8100000000006</v>
      </c>
      <c r="E330">
        <f>ROUND(IF(lpg[[#This Row],[zbiornik PB95]]&gt;15,0,(lpg[[#This Row],[km]]/2)*6/100),2)</f>
        <v>0</v>
      </c>
      <c r="F330">
        <f>ROUND(IF(lpg[[#This Row],[zbiornik LPG]]&gt;15,lpg[[#This Row],[km]]*9/100,(lpg[[#This Row],[km]]/2)*9/100),2)</f>
        <v>1.98</v>
      </c>
      <c r="I330">
        <f>WEEKDAY(lpg[[#This Row],[data]],2)</f>
        <v>2</v>
      </c>
    </row>
    <row r="331" spans="1:9" x14ac:dyDescent="0.25">
      <c r="A331" s="1">
        <v>41969</v>
      </c>
      <c r="B331">
        <v>137</v>
      </c>
      <c r="C331">
        <f t="shared" si="10"/>
        <v>45</v>
      </c>
      <c r="D331">
        <f t="shared" si="11"/>
        <v>-1189.7900000000006</v>
      </c>
      <c r="E331">
        <f>ROUND(IF(lpg[[#This Row],[zbiornik PB95]]&gt;15,0,(lpg[[#This Row],[km]]/2)*6/100),2)</f>
        <v>0</v>
      </c>
      <c r="F331">
        <f>ROUND(IF(lpg[[#This Row],[zbiornik LPG]]&gt;15,lpg[[#This Row],[km]]*9/100,(lpg[[#This Row],[km]]/2)*9/100),2)</f>
        <v>6.17</v>
      </c>
      <c r="I331">
        <f>WEEKDAY(lpg[[#This Row],[data]],2)</f>
        <v>3</v>
      </c>
    </row>
    <row r="332" spans="1:9" x14ac:dyDescent="0.25">
      <c r="A332" s="1">
        <v>41970</v>
      </c>
      <c r="B332">
        <v>49</v>
      </c>
      <c r="C332">
        <f t="shared" si="10"/>
        <v>45</v>
      </c>
      <c r="D332">
        <f t="shared" si="11"/>
        <v>-1195.9600000000007</v>
      </c>
      <c r="E332">
        <f>ROUND(IF(lpg[[#This Row],[zbiornik PB95]]&gt;15,0,(lpg[[#This Row],[km]]/2)*6/100),2)</f>
        <v>0</v>
      </c>
      <c r="F332">
        <f>ROUND(IF(lpg[[#This Row],[zbiornik LPG]]&gt;15,lpg[[#This Row],[km]]*9/100,(lpg[[#This Row],[km]]/2)*9/100),2)</f>
        <v>2.21</v>
      </c>
      <c r="I332">
        <f>WEEKDAY(lpg[[#This Row],[data]],2)</f>
        <v>4</v>
      </c>
    </row>
    <row r="333" spans="1:9" x14ac:dyDescent="0.25">
      <c r="A333" s="1">
        <v>41971</v>
      </c>
      <c r="B333">
        <v>24</v>
      </c>
      <c r="C333">
        <f t="shared" si="10"/>
        <v>45</v>
      </c>
      <c r="D333">
        <f t="shared" si="11"/>
        <v>-1198.1700000000008</v>
      </c>
      <c r="E333">
        <f>ROUND(IF(lpg[[#This Row],[zbiornik PB95]]&gt;15,0,(lpg[[#This Row],[km]]/2)*6/100),2)</f>
        <v>0</v>
      </c>
      <c r="F333">
        <f>ROUND(IF(lpg[[#This Row],[zbiornik LPG]]&gt;15,lpg[[#This Row],[km]]*9/100,(lpg[[#This Row],[km]]/2)*9/100),2)</f>
        <v>1.08</v>
      </c>
      <c r="I333">
        <f>WEEKDAY(lpg[[#This Row],[data]],2)</f>
        <v>5</v>
      </c>
    </row>
    <row r="334" spans="1:9" x14ac:dyDescent="0.25">
      <c r="A334" s="1">
        <v>41972</v>
      </c>
      <c r="B334">
        <v>36</v>
      </c>
      <c r="C334">
        <f t="shared" si="10"/>
        <v>45</v>
      </c>
      <c r="D334">
        <f t="shared" si="11"/>
        <v>-1199.2500000000007</v>
      </c>
      <c r="E334">
        <f>ROUND(IF(lpg[[#This Row],[zbiornik PB95]]&gt;15,0,(lpg[[#This Row],[km]]/2)*6/100),2)</f>
        <v>0</v>
      </c>
      <c r="F334">
        <f>ROUND(IF(lpg[[#This Row],[zbiornik LPG]]&gt;15,lpg[[#This Row],[km]]*9/100,(lpg[[#This Row],[km]]/2)*9/100),2)</f>
        <v>1.62</v>
      </c>
      <c r="I334">
        <f>WEEKDAY(lpg[[#This Row],[data]],2)</f>
        <v>6</v>
      </c>
    </row>
    <row r="335" spans="1:9" x14ac:dyDescent="0.25">
      <c r="A335" s="1">
        <v>41973</v>
      </c>
      <c r="B335">
        <v>33</v>
      </c>
      <c r="C335">
        <f t="shared" si="10"/>
        <v>45</v>
      </c>
      <c r="D335">
        <f t="shared" si="11"/>
        <v>-1200.8700000000006</v>
      </c>
      <c r="E335">
        <f>ROUND(IF(lpg[[#This Row],[zbiornik PB95]]&gt;15,0,(lpg[[#This Row],[km]]/2)*6/100),2)</f>
        <v>0</v>
      </c>
      <c r="F335">
        <f>ROUND(IF(lpg[[#This Row],[zbiornik LPG]]&gt;15,lpg[[#This Row],[km]]*9/100,(lpg[[#This Row],[km]]/2)*9/100),2)</f>
        <v>1.49</v>
      </c>
      <c r="I335">
        <f>WEEKDAY(lpg[[#This Row],[data]],2)</f>
        <v>7</v>
      </c>
    </row>
    <row r="336" spans="1:9" x14ac:dyDescent="0.25">
      <c r="A336" s="1">
        <v>41974</v>
      </c>
      <c r="B336">
        <v>81</v>
      </c>
      <c r="C336">
        <f t="shared" si="10"/>
        <v>45</v>
      </c>
      <c r="D336">
        <f t="shared" si="11"/>
        <v>-1202.3600000000006</v>
      </c>
      <c r="E336">
        <f>ROUND(IF(lpg[[#This Row],[zbiornik PB95]]&gt;15,0,(lpg[[#This Row],[km]]/2)*6/100),2)</f>
        <v>0</v>
      </c>
      <c r="F336">
        <f>ROUND(IF(lpg[[#This Row],[zbiornik LPG]]&gt;15,lpg[[#This Row],[km]]*9/100,(lpg[[#This Row],[km]]/2)*9/100),2)</f>
        <v>3.65</v>
      </c>
      <c r="I336">
        <f>WEEKDAY(lpg[[#This Row],[data]],2)</f>
        <v>1</v>
      </c>
    </row>
    <row r="337" spans="1:9" x14ac:dyDescent="0.25">
      <c r="A337" s="1">
        <v>41975</v>
      </c>
      <c r="B337">
        <v>70</v>
      </c>
      <c r="C337">
        <f t="shared" si="10"/>
        <v>45</v>
      </c>
      <c r="D337">
        <f t="shared" si="11"/>
        <v>-1206.0100000000007</v>
      </c>
      <c r="E337">
        <f>ROUND(IF(lpg[[#This Row],[zbiornik PB95]]&gt;15,0,(lpg[[#This Row],[km]]/2)*6/100),2)</f>
        <v>0</v>
      </c>
      <c r="F337">
        <f>ROUND(IF(lpg[[#This Row],[zbiornik LPG]]&gt;15,lpg[[#This Row],[km]]*9/100,(lpg[[#This Row],[km]]/2)*9/100),2)</f>
        <v>3.15</v>
      </c>
      <c r="I337">
        <f>WEEKDAY(lpg[[#This Row],[data]],2)</f>
        <v>2</v>
      </c>
    </row>
    <row r="338" spans="1:9" x14ac:dyDescent="0.25">
      <c r="A338" s="1">
        <v>41976</v>
      </c>
      <c r="B338">
        <v>48</v>
      </c>
      <c r="C338">
        <f t="shared" si="10"/>
        <v>45</v>
      </c>
      <c r="D338">
        <f t="shared" si="11"/>
        <v>-1209.1600000000008</v>
      </c>
      <c r="E338">
        <f>ROUND(IF(lpg[[#This Row],[zbiornik PB95]]&gt;15,0,(lpg[[#This Row],[km]]/2)*6/100),2)</f>
        <v>0</v>
      </c>
      <c r="F338">
        <f>ROUND(IF(lpg[[#This Row],[zbiornik LPG]]&gt;15,lpg[[#This Row],[km]]*9/100,(lpg[[#This Row],[km]]/2)*9/100),2)</f>
        <v>2.16</v>
      </c>
      <c r="I338">
        <f>WEEKDAY(lpg[[#This Row],[data]],2)</f>
        <v>3</v>
      </c>
    </row>
    <row r="339" spans="1:9" x14ac:dyDescent="0.25">
      <c r="A339" s="1">
        <v>41977</v>
      </c>
      <c r="B339">
        <v>72</v>
      </c>
      <c r="C339">
        <f t="shared" si="10"/>
        <v>45</v>
      </c>
      <c r="D339">
        <f t="shared" si="11"/>
        <v>-1211.3200000000008</v>
      </c>
      <c r="E339">
        <f>ROUND(IF(lpg[[#This Row],[zbiornik PB95]]&gt;15,0,(lpg[[#This Row],[km]]/2)*6/100),2)</f>
        <v>0</v>
      </c>
      <c r="F339">
        <f>ROUND(IF(lpg[[#This Row],[zbiornik LPG]]&gt;15,lpg[[#This Row],[km]]*9/100,(lpg[[#This Row],[km]]/2)*9/100),2)</f>
        <v>3.24</v>
      </c>
      <c r="I339">
        <f>WEEKDAY(lpg[[#This Row],[data]],2)</f>
        <v>4</v>
      </c>
    </row>
    <row r="340" spans="1:9" x14ac:dyDescent="0.25">
      <c r="A340" s="1">
        <v>41978</v>
      </c>
      <c r="B340">
        <v>121</v>
      </c>
      <c r="C340">
        <f t="shared" si="10"/>
        <v>45</v>
      </c>
      <c r="D340">
        <f t="shared" si="11"/>
        <v>-1214.5600000000009</v>
      </c>
      <c r="E340">
        <f>ROUND(IF(lpg[[#This Row],[zbiornik PB95]]&gt;15,0,(lpg[[#This Row],[km]]/2)*6/100),2)</f>
        <v>0</v>
      </c>
      <c r="F340">
        <f>ROUND(IF(lpg[[#This Row],[zbiornik LPG]]&gt;15,lpg[[#This Row],[km]]*9/100,(lpg[[#This Row],[km]]/2)*9/100),2)</f>
        <v>5.45</v>
      </c>
      <c r="I340">
        <f>WEEKDAY(lpg[[#This Row],[data]],2)</f>
        <v>5</v>
      </c>
    </row>
    <row r="341" spans="1:9" x14ac:dyDescent="0.25">
      <c r="A341" s="1">
        <v>41979</v>
      </c>
      <c r="B341">
        <v>16</v>
      </c>
      <c r="C341">
        <f t="shared" si="10"/>
        <v>45</v>
      </c>
      <c r="D341">
        <f t="shared" si="11"/>
        <v>-1220.0100000000009</v>
      </c>
      <c r="E341">
        <f>ROUND(IF(lpg[[#This Row],[zbiornik PB95]]&gt;15,0,(lpg[[#This Row],[km]]/2)*6/100),2)</f>
        <v>0</v>
      </c>
      <c r="F341">
        <f>ROUND(IF(lpg[[#This Row],[zbiornik LPG]]&gt;15,lpg[[#This Row],[km]]*9/100,(lpg[[#This Row],[km]]/2)*9/100),2)</f>
        <v>0.72</v>
      </c>
      <c r="I341">
        <f>WEEKDAY(lpg[[#This Row],[data]],2)</f>
        <v>6</v>
      </c>
    </row>
    <row r="342" spans="1:9" x14ac:dyDescent="0.25">
      <c r="A342" s="1">
        <v>41980</v>
      </c>
      <c r="B342">
        <v>94</v>
      </c>
      <c r="C342">
        <f t="shared" si="10"/>
        <v>45</v>
      </c>
      <c r="D342">
        <f t="shared" si="11"/>
        <v>-1220.7300000000009</v>
      </c>
      <c r="E342">
        <f>ROUND(IF(lpg[[#This Row],[zbiornik PB95]]&gt;15,0,(lpg[[#This Row],[km]]/2)*6/100),2)</f>
        <v>0</v>
      </c>
      <c r="F342">
        <f>ROUND(IF(lpg[[#This Row],[zbiornik LPG]]&gt;15,lpg[[#This Row],[km]]*9/100,(lpg[[#This Row],[km]]/2)*9/100),2)</f>
        <v>4.2300000000000004</v>
      </c>
      <c r="I342">
        <f>WEEKDAY(lpg[[#This Row],[data]],2)</f>
        <v>7</v>
      </c>
    </row>
    <row r="343" spans="1:9" x14ac:dyDescent="0.25">
      <c r="A343" s="1">
        <v>41981</v>
      </c>
      <c r="B343">
        <v>120</v>
      </c>
      <c r="C343">
        <f t="shared" si="10"/>
        <v>45</v>
      </c>
      <c r="D343">
        <f t="shared" si="11"/>
        <v>-1224.9600000000009</v>
      </c>
      <c r="E343">
        <f>ROUND(IF(lpg[[#This Row],[zbiornik PB95]]&gt;15,0,(lpg[[#This Row],[km]]/2)*6/100),2)</f>
        <v>0</v>
      </c>
      <c r="F343">
        <f>ROUND(IF(lpg[[#This Row],[zbiornik LPG]]&gt;15,lpg[[#This Row],[km]]*9/100,(lpg[[#This Row],[km]]/2)*9/100),2)</f>
        <v>5.4</v>
      </c>
      <c r="I343">
        <f>WEEKDAY(lpg[[#This Row],[data]],2)</f>
        <v>1</v>
      </c>
    </row>
    <row r="344" spans="1:9" x14ac:dyDescent="0.25">
      <c r="A344" s="1">
        <v>41982</v>
      </c>
      <c r="B344">
        <v>49</v>
      </c>
      <c r="C344">
        <f t="shared" si="10"/>
        <v>45</v>
      </c>
      <c r="D344">
        <f t="shared" si="11"/>
        <v>-1230.360000000001</v>
      </c>
      <c r="E344">
        <f>ROUND(IF(lpg[[#This Row],[zbiornik PB95]]&gt;15,0,(lpg[[#This Row],[km]]/2)*6/100),2)</f>
        <v>0</v>
      </c>
      <c r="F344">
        <f>ROUND(IF(lpg[[#This Row],[zbiornik LPG]]&gt;15,lpg[[#This Row],[km]]*9/100,(lpg[[#This Row],[km]]/2)*9/100),2)</f>
        <v>2.21</v>
      </c>
      <c r="I344">
        <f>WEEKDAY(lpg[[#This Row],[data]],2)</f>
        <v>2</v>
      </c>
    </row>
    <row r="345" spans="1:9" x14ac:dyDescent="0.25">
      <c r="A345" s="1">
        <v>41983</v>
      </c>
      <c r="B345">
        <v>106</v>
      </c>
      <c r="C345">
        <f t="shared" si="10"/>
        <v>45</v>
      </c>
      <c r="D345">
        <f t="shared" si="11"/>
        <v>-1232.5700000000011</v>
      </c>
      <c r="E345">
        <f>ROUND(IF(lpg[[#This Row],[zbiornik PB95]]&gt;15,0,(lpg[[#This Row],[km]]/2)*6/100),2)</f>
        <v>0</v>
      </c>
      <c r="F345">
        <f>ROUND(IF(lpg[[#This Row],[zbiornik LPG]]&gt;15,lpg[[#This Row],[km]]*9/100,(lpg[[#This Row],[km]]/2)*9/100),2)</f>
        <v>4.7699999999999996</v>
      </c>
      <c r="I345">
        <f>WEEKDAY(lpg[[#This Row],[data]],2)</f>
        <v>3</v>
      </c>
    </row>
    <row r="346" spans="1:9" x14ac:dyDescent="0.25">
      <c r="A346" s="1">
        <v>41984</v>
      </c>
      <c r="B346">
        <v>128</v>
      </c>
      <c r="C346">
        <f t="shared" si="10"/>
        <v>45</v>
      </c>
      <c r="D346">
        <f t="shared" si="11"/>
        <v>-1237.3400000000011</v>
      </c>
      <c r="E346">
        <f>ROUND(IF(lpg[[#This Row],[zbiornik PB95]]&gt;15,0,(lpg[[#This Row],[km]]/2)*6/100),2)</f>
        <v>0</v>
      </c>
      <c r="F346">
        <f>ROUND(IF(lpg[[#This Row],[zbiornik LPG]]&gt;15,lpg[[#This Row],[km]]*9/100,(lpg[[#This Row],[km]]/2)*9/100),2)</f>
        <v>5.76</v>
      </c>
      <c r="I346">
        <f>WEEKDAY(lpg[[#This Row],[data]],2)</f>
        <v>4</v>
      </c>
    </row>
    <row r="347" spans="1:9" x14ac:dyDescent="0.25">
      <c r="A347" s="1">
        <v>41985</v>
      </c>
      <c r="B347">
        <v>100</v>
      </c>
      <c r="C347">
        <f t="shared" si="10"/>
        <v>45</v>
      </c>
      <c r="D347">
        <f t="shared" si="11"/>
        <v>-1243.100000000001</v>
      </c>
      <c r="E347">
        <f>ROUND(IF(lpg[[#This Row],[zbiornik PB95]]&gt;15,0,(lpg[[#This Row],[km]]/2)*6/100),2)</f>
        <v>0</v>
      </c>
      <c r="F347">
        <f>ROUND(IF(lpg[[#This Row],[zbiornik LPG]]&gt;15,lpg[[#This Row],[km]]*9/100,(lpg[[#This Row],[km]]/2)*9/100),2)</f>
        <v>4.5</v>
      </c>
      <c r="I347">
        <f>WEEKDAY(lpg[[#This Row],[data]],2)</f>
        <v>5</v>
      </c>
    </row>
    <row r="348" spans="1:9" x14ac:dyDescent="0.25">
      <c r="A348" s="1">
        <v>41986</v>
      </c>
      <c r="B348">
        <v>78</v>
      </c>
      <c r="C348">
        <f t="shared" si="10"/>
        <v>45</v>
      </c>
      <c r="D348">
        <f t="shared" si="11"/>
        <v>-1247.600000000001</v>
      </c>
      <c r="E348">
        <f>ROUND(IF(lpg[[#This Row],[zbiornik PB95]]&gt;15,0,(lpg[[#This Row],[km]]/2)*6/100),2)</f>
        <v>0</v>
      </c>
      <c r="F348">
        <f>ROUND(IF(lpg[[#This Row],[zbiornik LPG]]&gt;15,lpg[[#This Row],[km]]*9/100,(lpg[[#This Row],[km]]/2)*9/100),2)</f>
        <v>3.51</v>
      </c>
      <c r="I348">
        <f>WEEKDAY(lpg[[#This Row],[data]],2)</f>
        <v>6</v>
      </c>
    </row>
    <row r="349" spans="1:9" x14ac:dyDescent="0.25">
      <c r="A349" s="1">
        <v>41987</v>
      </c>
      <c r="B349">
        <v>39</v>
      </c>
      <c r="C349">
        <f t="shared" si="10"/>
        <v>45</v>
      </c>
      <c r="D349">
        <f t="shared" si="11"/>
        <v>-1251.110000000001</v>
      </c>
      <c r="E349">
        <f>ROUND(IF(lpg[[#This Row],[zbiornik PB95]]&gt;15,0,(lpg[[#This Row],[km]]/2)*6/100),2)</f>
        <v>0</v>
      </c>
      <c r="F349">
        <f>ROUND(IF(lpg[[#This Row],[zbiornik LPG]]&gt;15,lpg[[#This Row],[km]]*9/100,(lpg[[#This Row],[km]]/2)*9/100),2)</f>
        <v>1.76</v>
      </c>
      <c r="I349">
        <f>WEEKDAY(lpg[[#This Row],[data]],2)</f>
        <v>7</v>
      </c>
    </row>
    <row r="350" spans="1:9" x14ac:dyDescent="0.25">
      <c r="A350" s="1">
        <v>41988</v>
      </c>
      <c r="B350">
        <v>125</v>
      </c>
      <c r="C350">
        <f t="shared" si="10"/>
        <v>45</v>
      </c>
      <c r="D350">
        <f t="shared" si="11"/>
        <v>-1252.870000000001</v>
      </c>
      <c r="E350">
        <f>ROUND(IF(lpg[[#This Row],[zbiornik PB95]]&gt;15,0,(lpg[[#This Row],[km]]/2)*6/100),2)</f>
        <v>0</v>
      </c>
      <c r="F350">
        <f>ROUND(IF(lpg[[#This Row],[zbiornik LPG]]&gt;15,lpg[[#This Row],[km]]*9/100,(lpg[[#This Row],[km]]/2)*9/100),2)</f>
        <v>5.63</v>
      </c>
      <c r="I350">
        <f>WEEKDAY(lpg[[#This Row],[data]],2)</f>
        <v>1</v>
      </c>
    </row>
    <row r="351" spans="1:9" x14ac:dyDescent="0.25">
      <c r="A351" s="1">
        <v>41989</v>
      </c>
      <c r="B351">
        <v>34</v>
      </c>
      <c r="C351">
        <f t="shared" si="10"/>
        <v>45</v>
      </c>
      <c r="D351">
        <f t="shared" si="11"/>
        <v>-1258.5000000000011</v>
      </c>
      <c r="E351">
        <f>ROUND(IF(lpg[[#This Row],[zbiornik PB95]]&gt;15,0,(lpg[[#This Row],[km]]/2)*6/100),2)</f>
        <v>0</v>
      </c>
      <c r="F351">
        <f>ROUND(IF(lpg[[#This Row],[zbiornik LPG]]&gt;15,lpg[[#This Row],[km]]*9/100,(lpg[[#This Row],[km]]/2)*9/100),2)</f>
        <v>1.53</v>
      </c>
      <c r="I351">
        <f>WEEKDAY(lpg[[#This Row],[data]],2)</f>
        <v>2</v>
      </c>
    </row>
    <row r="352" spans="1:9" x14ac:dyDescent="0.25">
      <c r="A352" s="1">
        <v>41990</v>
      </c>
      <c r="B352">
        <v>129</v>
      </c>
      <c r="C352">
        <f t="shared" si="10"/>
        <v>45</v>
      </c>
      <c r="D352">
        <f t="shared" si="11"/>
        <v>-1260.0300000000011</v>
      </c>
      <c r="E352">
        <f>ROUND(IF(lpg[[#This Row],[zbiornik PB95]]&gt;15,0,(lpg[[#This Row],[km]]/2)*6/100),2)</f>
        <v>0</v>
      </c>
      <c r="F352">
        <f>ROUND(IF(lpg[[#This Row],[zbiornik LPG]]&gt;15,lpg[[#This Row],[km]]*9/100,(lpg[[#This Row],[km]]/2)*9/100),2)</f>
        <v>5.81</v>
      </c>
      <c r="I352">
        <f>WEEKDAY(lpg[[#This Row],[data]],2)</f>
        <v>3</v>
      </c>
    </row>
    <row r="353" spans="1:9" x14ac:dyDescent="0.25">
      <c r="A353" s="1">
        <v>41991</v>
      </c>
      <c r="B353">
        <v>112</v>
      </c>
      <c r="C353">
        <f t="shared" si="10"/>
        <v>45</v>
      </c>
      <c r="D353">
        <f t="shared" si="11"/>
        <v>-1265.8400000000011</v>
      </c>
      <c r="E353">
        <f>ROUND(IF(lpg[[#This Row],[zbiornik PB95]]&gt;15,0,(lpg[[#This Row],[km]]/2)*6/100),2)</f>
        <v>0</v>
      </c>
      <c r="F353">
        <f>ROUND(IF(lpg[[#This Row],[zbiornik LPG]]&gt;15,lpg[[#This Row],[km]]*9/100,(lpg[[#This Row],[km]]/2)*9/100),2)</f>
        <v>5.04</v>
      </c>
      <c r="I353">
        <f>WEEKDAY(lpg[[#This Row],[data]],2)</f>
        <v>4</v>
      </c>
    </row>
    <row r="354" spans="1:9" x14ac:dyDescent="0.25">
      <c r="A354" s="1">
        <v>41992</v>
      </c>
      <c r="B354">
        <v>78</v>
      </c>
      <c r="C354">
        <f t="shared" si="10"/>
        <v>45</v>
      </c>
      <c r="D354">
        <f t="shared" si="11"/>
        <v>-1270.880000000001</v>
      </c>
      <c r="E354">
        <f>ROUND(IF(lpg[[#This Row],[zbiornik PB95]]&gt;15,0,(lpg[[#This Row],[km]]/2)*6/100),2)</f>
        <v>0</v>
      </c>
      <c r="F354">
        <f>ROUND(IF(lpg[[#This Row],[zbiornik LPG]]&gt;15,lpg[[#This Row],[km]]*9/100,(lpg[[#This Row],[km]]/2)*9/100),2)</f>
        <v>3.51</v>
      </c>
      <c r="I354">
        <f>WEEKDAY(lpg[[#This Row],[data]],2)</f>
        <v>5</v>
      </c>
    </row>
    <row r="355" spans="1:9" x14ac:dyDescent="0.25">
      <c r="A355" s="1">
        <v>41993</v>
      </c>
      <c r="B355">
        <v>114</v>
      </c>
      <c r="C355">
        <f t="shared" si="10"/>
        <v>45</v>
      </c>
      <c r="D355">
        <f t="shared" si="11"/>
        <v>-1274.390000000001</v>
      </c>
      <c r="E355">
        <f>ROUND(IF(lpg[[#This Row],[zbiornik PB95]]&gt;15,0,(lpg[[#This Row],[km]]/2)*6/100),2)</f>
        <v>0</v>
      </c>
      <c r="F355">
        <f>ROUND(IF(lpg[[#This Row],[zbiornik LPG]]&gt;15,lpg[[#This Row],[km]]*9/100,(lpg[[#This Row],[km]]/2)*9/100),2)</f>
        <v>5.13</v>
      </c>
      <c r="I355">
        <f>WEEKDAY(lpg[[#This Row],[data]],2)</f>
        <v>6</v>
      </c>
    </row>
    <row r="356" spans="1:9" x14ac:dyDescent="0.25">
      <c r="A356" s="1">
        <v>41994</v>
      </c>
      <c r="B356">
        <v>122</v>
      </c>
      <c r="C356">
        <f t="shared" si="10"/>
        <v>45</v>
      </c>
      <c r="D356">
        <f t="shared" si="11"/>
        <v>-1279.5200000000011</v>
      </c>
      <c r="E356">
        <f>ROUND(IF(lpg[[#This Row],[zbiornik PB95]]&gt;15,0,(lpg[[#This Row],[km]]/2)*6/100),2)</f>
        <v>0</v>
      </c>
      <c r="F356">
        <f>ROUND(IF(lpg[[#This Row],[zbiornik LPG]]&gt;15,lpg[[#This Row],[km]]*9/100,(lpg[[#This Row],[km]]/2)*9/100),2)</f>
        <v>5.49</v>
      </c>
      <c r="I356">
        <f>WEEKDAY(lpg[[#This Row],[data]],2)</f>
        <v>7</v>
      </c>
    </row>
    <row r="357" spans="1:9" x14ac:dyDescent="0.25">
      <c r="A357" s="1">
        <v>41995</v>
      </c>
      <c r="B357">
        <v>42</v>
      </c>
      <c r="C357">
        <f t="shared" si="10"/>
        <v>45</v>
      </c>
      <c r="D357">
        <f t="shared" si="11"/>
        <v>-1285.0100000000011</v>
      </c>
      <c r="E357">
        <f>ROUND(IF(lpg[[#This Row],[zbiornik PB95]]&gt;15,0,(lpg[[#This Row],[km]]/2)*6/100),2)</f>
        <v>0</v>
      </c>
      <c r="F357">
        <f>ROUND(IF(lpg[[#This Row],[zbiornik LPG]]&gt;15,lpg[[#This Row],[km]]*9/100,(lpg[[#This Row],[km]]/2)*9/100),2)</f>
        <v>1.89</v>
      </c>
      <c r="I357">
        <f>WEEKDAY(lpg[[#This Row],[data]],2)</f>
        <v>1</v>
      </c>
    </row>
    <row r="358" spans="1:9" x14ac:dyDescent="0.25">
      <c r="A358" s="1">
        <v>41996</v>
      </c>
      <c r="B358">
        <v>149</v>
      </c>
      <c r="C358">
        <f t="shared" si="10"/>
        <v>45</v>
      </c>
      <c r="D358">
        <f t="shared" si="11"/>
        <v>-1286.9000000000012</v>
      </c>
      <c r="E358">
        <f>ROUND(IF(lpg[[#This Row],[zbiornik PB95]]&gt;15,0,(lpg[[#This Row],[km]]/2)*6/100),2)</f>
        <v>0</v>
      </c>
      <c r="F358">
        <f>ROUND(IF(lpg[[#This Row],[zbiornik LPG]]&gt;15,lpg[[#This Row],[km]]*9/100,(lpg[[#This Row],[km]]/2)*9/100),2)</f>
        <v>6.71</v>
      </c>
      <c r="I358">
        <f>WEEKDAY(lpg[[#This Row],[data]],2)</f>
        <v>2</v>
      </c>
    </row>
    <row r="359" spans="1:9" x14ac:dyDescent="0.25">
      <c r="A359" s="1">
        <v>41997</v>
      </c>
      <c r="B359">
        <v>113</v>
      </c>
      <c r="C359">
        <f t="shared" si="10"/>
        <v>45</v>
      </c>
      <c r="D359">
        <f t="shared" si="11"/>
        <v>-1293.6100000000013</v>
      </c>
      <c r="E359">
        <f>ROUND(IF(lpg[[#This Row],[zbiornik PB95]]&gt;15,0,(lpg[[#This Row],[km]]/2)*6/100),2)</f>
        <v>0</v>
      </c>
      <c r="F359">
        <f>ROUND(IF(lpg[[#This Row],[zbiornik LPG]]&gt;15,lpg[[#This Row],[km]]*9/100,(lpg[[#This Row],[km]]/2)*9/100),2)</f>
        <v>5.09</v>
      </c>
      <c r="I359">
        <f>WEEKDAY(lpg[[#This Row],[data]],2)</f>
        <v>3</v>
      </c>
    </row>
    <row r="360" spans="1:9" x14ac:dyDescent="0.25">
      <c r="A360" s="1">
        <v>41998</v>
      </c>
      <c r="B360">
        <v>133</v>
      </c>
      <c r="C360">
        <f t="shared" si="10"/>
        <v>45</v>
      </c>
      <c r="D360">
        <f t="shared" si="11"/>
        <v>-1298.7000000000012</v>
      </c>
      <c r="E360">
        <f>ROUND(IF(lpg[[#This Row],[zbiornik PB95]]&gt;15,0,(lpg[[#This Row],[km]]/2)*6/100),2)</f>
        <v>0</v>
      </c>
      <c r="F360">
        <f>ROUND(IF(lpg[[#This Row],[zbiornik LPG]]&gt;15,lpg[[#This Row],[km]]*9/100,(lpg[[#This Row],[km]]/2)*9/100),2)</f>
        <v>5.99</v>
      </c>
      <c r="I360">
        <f>WEEKDAY(lpg[[#This Row],[data]],2)</f>
        <v>4</v>
      </c>
    </row>
    <row r="361" spans="1:9" x14ac:dyDescent="0.25">
      <c r="A361" s="1">
        <v>41999</v>
      </c>
      <c r="B361">
        <v>57</v>
      </c>
      <c r="C361">
        <f t="shared" si="10"/>
        <v>45</v>
      </c>
      <c r="D361">
        <f t="shared" si="11"/>
        <v>-1304.6900000000012</v>
      </c>
      <c r="E361">
        <f>ROUND(IF(lpg[[#This Row],[zbiornik PB95]]&gt;15,0,(lpg[[#This Row],[km]]/2)*6/100),2)</f>
        <v>0</v>
      </c>
      <c r="F361">
        <f>ROUND(IF(lpg[[#This Row],[zbiornik LPG]]&gt;15,lpg[[#This Row],[km]]*9/100,(lpg[[#This Row],[km]]/2)*9/100),2)</f>
        <v>2.57</v>
      </c>
      <c r="I361">
        <f>WEEKDAY(lpg[[#This Row],[data]],2)</f>
        <v>5</v>
      </c>
    </row>
    <row r="362" spans="1:9" x14ac:dyDescent="0.25">
      <c r="A362" s="1">
        <v>42000</v>
      </c>
      <c r="B362">
        <v>27</v>
      </c>
      <c r="C362">
        <f t="shared" si="10"/>
        <v>45</v>
      </c>
      <c r="D362">
        <f t="shared" si="11"/>
        <v>-1307.2600000000011</v>
      </c>
      <c r="E362">
        <f>ROUND(IF(lpg[[#This Row],[zbiornik PB95]]&gt;15,0,(lpg[[#This Row],[km]]/2)*6/100),2)</f>
        <v>0</v>
      </c>
      <c r="F362">
        <f>ROUND(IF(lpg[[#This Row],[zbiornik LPG]]&gt;15,lpg[[#This Row],[km]]*9/100,(lpg[[#This Row],[km]]/2)*9/100),2)</f>
        <v>1.22</v>
      </c>
      <c r="I362">
        <f>WEEKDAY(lpg[[#This Row],[data]],2)</f>
        <v>6</v>
      </c>
    </row>
    <row r="363" spans="1:9" x14ac:dyDescent="0.25">
      <c r="A363" s="1">
        <v>42001</v>
      </c>
      <c r="B363">
        <v>142</v>
      </c>
      <c r="C363">
        <f t="shared" si="10"/>
        <v>45</v>
      </c>
      <c r="D363">
        <f t="shared" si="11"/>
        <v>-1308.4800000000012</v>
      </c>
      <c r="E363">
        <f>ROUND(IF(lpg[[#This Row],[zbiornik PB95]]&gt;15,0,(lpg[[#This Row],[km]]/2)*6/100),2)</f>
        <v>0</v>
      </c>
      <c r="F363">
        <f>ROUND(IF(lpg[[#This Row],[zbiornik LPG]]&gt;15,lpg[[#This Row],[km]]*9/100,(lpg[[#This Row],[km]]/2)*9/100),2)</f>
        <v>6.39</v>
      </c>
      <c r="I363">
        <f>WEEKDAY(lpg[[#This Row],[data]],2)</f>
        <v>7</v>
      </c>
    </row>
    <row r="364" spans="1:9" x14ac:dyDescent="0.25">
      <c r="A364" s="1">
        <v>42002</v>
      </c>
      <c r="B364">
        <v>24</v>
      </c>
      <c r="C364">
        <f t="shared" si="10"/>
        <v>45</v>
      </c>
      <c r="D364">
        <f t="shared" si="11"/>
        <v>-1314.8700000000013</v>
      </c>
      <c r="E364">
        <f>ROUND(IF(lpg[[#This Row],[zbiornik PB95]]&gt;15,0,(lpg[[#This Row],[km]]/2)*6/100),2)</f>
        <v>0</v>
      </c>
      <c r="F364">
        <f>ROUND(IF(lpg[[#This Row],[zbiornik LPG]]&gt;15,lpg[[#This Row],[km]]*9/100,(lpg[[#This Row],[km]]/2)*9/100),2)</f>
        <v>1.08</v>
      </c>
      <c r="I364">
        <f>WEEKDAY(lpg[[#This Row],[data]],2)</f>
        <v>1</v>
      </c>
    </row>
    <row r="365" spans="1:9" x14ac:dyDescent="0.25">
      <c r="A365" s="1">
        <v>42003</v>
      </c>
      <c r="B365">
        <v>156</v>
      </c>
      <c r="C365">
        <f t="shared" si="10"/>
        <v>45</v>
      </c>
      <c r="D365">
        <f t="shared" si="11"/>
        <v>-1315.9500000000012</v>
      </c>
      <c r="E365">
        <f>ROUND(IF(lpg[[#This Row],[zbiornik PB95]]&gt;15,0,(lpg[[#This Row],[km]]/2)*6/100),2)</f>
        <v>0</v>
      </c>
      <c r="F365">
        <f>ROUND(IF(lpg[[#This Row],[zbiornik LPG]]&gt;15,lpg[[#This Row],[km]]*9/100,(lpg[[#This Row],[km]]/2)*9/100),2)</f>
        <v>7.02</v>
      </c>
      <c r="I365">
        <f>WEEKDAY(lpg[[#This Row],[data]],2)</f>
        <v>2</v>
      </c>
    </row>
    <row r="366" spans="1:9" x14ac:dyDescent="0.25">
      <c r="A366" s="1">
        <v>42004</v>
      </c>
      <c r="B366">
        <v>141</v>
      </c>
      <c r="C366">
        <f t="shared" si="10"/>
        <v>45</v>
      </c>
      <c r="D366">
        <f t="shared" si="11"/>
        <v>-1322.9700000000012</v>
      </c>
      <c r="E366">
        <f>ROUND(IF(lpg[[#This Row],[zbiornik PB95]]&gt;15,0,(lpg[[#This Row],[km]]/2)*6/100),2)</f>
        <v>0</v>
      </c>
      <c r="F366">
        <f>ROUND(IF(lpg[[#This Row],[zbiornik LPG]]&gt;15,lpg[[#This Row],[km]]*9/100,(lpg[[#This Row],[km]]/2)*9/100),2)</f>
        <v>6.35</v>
      </c>
      <c r="I366">
        <f>WEEKDAY(lpg[[#This Row],[data]],2)</f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E877-4186-45AA-80BC-7B98B59764A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CB72DD-E124-477E-8E5D-C7A6D298CB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lpg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Miłosz Michalak</dc:creator>
  <cp:lastModifiedBy>Miłosz Michalak</cp:lastModifiedBy>
  <dcterms:created xsi:type="dcterms:W3CDTF">2026-02-09T07:13:11Z</dcterms:created>
  <dcterms:modified xsi:type="dcterms:W3CDTF">2026-02-09T07:43:20Z</dcterms:modified>
</cp:coreProperties>
</file>