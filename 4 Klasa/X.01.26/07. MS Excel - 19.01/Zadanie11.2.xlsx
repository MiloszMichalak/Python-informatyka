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2.xml" ContentType="application/vnd.openxmlformats-officedocument.spreadsheetml.pivot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Meleko\Nextcloud\Wewnetrzny\Szkola\Repos\Informatyka-python\4 Klasa\X.01.26\07. MS Excel - 19.01\"/>
    </mc:Choice>
  </mc:AlternateContent>
  <xr:revisionPtr revIDLastSave="0" documentId="13_ncr:1_{C95346BA-D0FB-40BD-A3F4-4E21E85A0DA9}" xr6:coauthVersionLast="47" xr6:coauthVersionMax="47" xr10:uidLastSave="{00000000-0000-0000-0000-000000000000}"/>
  <bookViews>
    <workbookView xWindow="-120" yWindow="-120" windowWidth="29040" windowHeight="15720" activeTab="2" xr2:uid="{D6BEEC2F-376C-42A2-BF5D-10E01C6B40BF}"/>
  </bookViews>
  <sheets>
    <sheet name="gaz" sheetId="2" r:id="rId1"/>
    <sheet name="Arkusz1" sheetId="1" r:id="rId2"/>
    <sheet name="zadanie 11.3" sheetId="3" r:id="rId3"/>
  </sheets>
  <definedNames>
    <definedName name="ExternalData_1" localSheetId="0" hidden="1">gaz!$A$1:$B$205</definedName>
    <definedName name="ExternalData_1" localSheetId="2" hidden="1">'zadanie 11.3'!$A$1:$B$205</definedName>
  </definedNames>
  <calcPr calcId="191029"/>
  <pivotCaches>
    <pivotCache cacheId="0" r:id="rId4"/>
    <pivotCache cacheId="4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3" i="3" l="1"/>
  <c r="P4" i="3"/>
  <c r="P5" i="3"/>
  <c r="P6" i="3"/>
  <c r="P7" i="3"/>
  <c r="P8" i="3"/>
  <c r="P9" i="3"/>
  <c r="P10" i="3"/>
  <c r="P11" i="3"/>
  <c r="P12" i="3"/>
  <c r="P13" i="3"/>
  <c r="P14" i="3"/>
  <c r="P15" i="3"/>
  <c r="P16" i="3"/>
  <c r="P17" i="3"/>
  <c r="P18" i="3"/>
  <c r="P19" i="3"/>
  <c r="P20" i="3"/>
  <c r="P21" i="3"/>
  <c r="P22" i="3"/>
  <c r="P23" i="3"/>
  <c r="P24" i="3"/>
  <c r="P25" i="3"/>
  <c r="P26" i="3"/>
  <c r="P27" i="3"/>
  <c r="P28" i="3"/>
  <c r="P29" i="3"/>
  <c r="P30" i="3"/>
  <c r="P31" i="3"/>
  <c r="P32" i="3"/>
  <c r="P33" i="3"/>
  <c r="P34" i="3"/>
  <c r="P35" i="3"/>
  <c r="P36" i="3"/>
  <c r="P37" i="3"/>
  <c r="P38" i="3"/>
  <c r="P39" i="3"/>
  <c r="P40" i="3"/>
  <c r="P41" i="3"/>
  <c r="P42" i="3"/>
  <c r="P43" i="3"/>
  <c r="P44" i="3"/>
  <c r="P45" i="3"/>
  <c r="P46" i="3"/>
  <c r="P47" i="3"/>
  <c r="P48" i="3"/>
  <c r="P49" i="3"/>
  <c r="P50" i="3"/>
  <c r="P51" i="3"/>
  <c r="P52" i="3"/>
  <c r="P53" i="3"/>
  <c r="P54" i="3"/>
  <c r="P55" i="3"/>
  <c r="P56" i="3"/>
  <c r="P57" i="3"/>
  <c r="P58" i="3"/>
  <c r="P59" i="3"/>
  <c r="P60" i="3"/>
  <c r="P61" i="3"/>
  <c r="P62" i="3"/>
  <c r="P63" i="3"/>
  <c r="P64" i="3"/>
  <c r="P65" i="3"/>
  <c r="P66" i="3"/>
  <c r="P67" i="3"/>
  <c r="P68" i="3"/>
  <c r="P69" i="3"/>
  <c r="P70" i="3"/>
  <c r="P71" i="3"/>
  <c r="P72" i="3"/>
  <c r="P73" i="3"/>
  <c r="P74" i="3"/>
  <c r="P75" i="3"/>
  <c r="P76" i="3"/>
  <c r="P77" i="3"/>
  <c r="P78" i="3"/>
  <c r="P79" i="3"/>
  <c r="P80" i="3"/>
  <c r="P81" i="3"/>
  <c r="P82" i="3"/>
  <c r="P83" i="3"/>
  <c r="P84" i="3"/>
  <c r="P85" i="3"/>
  <c r="P86" i="3"/>
  <c r="P87" i="3"/>
  <c r="P88" i="3"/>
  <c r="P89" i="3"/>
  <c r="P90" i="3"/>
  <c r="P91" i="3"/>
  <c r="P92" i="3"/>
  <c r="P93" i="3"/>
  <c r="P94" i="3"/>
  <c r="P95" i="3"/>
  <c r="P96" i="3"/>
  <c r="P97" i="3"/>
  <c r="P98" i="3"/>
  <c r="P99" i="3"/>
  <c r="P100" i="3"/>
  <c r="P101" i="3"/>
  <c r="P102" i="3"/>
  <c r="P103" i="3"/>
  <c r="P104" i="3"/>
  <c r="P105" i="3"/>
  <c r="P106" i="3"/>
  <c r="P107" i="3"/>
  <c r="P108" i="3"/>
  <c r="P109" i="3"/>
  <c r="P110" i="3"/>
  <c r="P111" i="3"/>
  <c r="P112" i="3"/>
  <c r="P113" i="3"/>
  <c r="P114" i="3"/>
  <c r="P115" i="3"/>
  <c r="P116" i="3"/>
  <c r="P117" i="3"/>
  <c r="P118" i="3"/>
  <c r="P119" i="3"/>
  <c r="P120" i="3"/>
  <c r="P121" i="3"/>
  <c r="P122" i="3"/>
  <c r="P123" i="3"/>
  <c r="P124" i="3"/>
  <c r="P125" i="3"/>
  <c r="P126" i="3"/>
  <c r="P127" i="3"/>
  <c r="P128" i="3"/>
  <c r="P129" i="3"/>
  <c r="P130" i="3"/>
  <c r="P131" i="3"/>
  <c r="P132" i="3"/>
  <c r="P133" i="3"/>
  <c r="P134" i="3"/>
  <c r="P135" i="3"/>
  <c r="P136" i="3"/>
  <c r="P137" i="3"/>
  <c r="P138" i="3"/>
  <c r="P139" i="3"/>
  <c r="P140" i="3"/>
  <c r="P141" i="3"/>
  <c r="P142" i="3"/>
  <c r="P143" i="3"/>
  <c r="P144" i="3"/>
  <c r="P145" i="3"/>
  <c r="P146" i="3"/>
  <c r="P147" i="3"/>
  <c r="P148" i="3"/>
  <c r="P149" i="3"/>
  <c r="P150" i="3"/>
  <c r="P151" i="3"/>
  <c r="P152" i="3"/>
  <c r="P153" i="3"/>
  <c r="P154" i="3"/>
  <c r="P155" i="3"/>
  <c r="P156" i="3"/>
  <c r="P157" i="3"/>
  <c r="P158" i="3"/>
  <c r="P159" i="3"/>
  <c r="P160" i="3"/>
  <c r="P161" i="3"/>
  <c r="P162" i="3"/>
  <c r="P163" i="3"/>
  <c r="P164" i="3"/>
  <c r="P165" i="3"/>
  <c r="P166" i="3"/>
  <c r="P167" i="3"/>
  <c r="P168" i="3"/>
  <c r="P169" i="3"/>
  <c r="P170" i="3"/>
  <c r="P171" i="3"/>
  <c r="P172" i="3"/>
  <c r="P173" i="3"/>
  <c r="P174" i="3"/>
  <c r="P175" i="3"/>
  <c r="P176" i="3"/>
  <c r="P177" i="3"/>
  <c r="P178" i="3"/>
  <c r="P179" i="3"/>
  <c r="P180" i="3"/>
  <c r="P181" i="3"/>
  <c r="P182" i="3"/>
  <c r="P183" i="3"/>
  <c r="P184" i="3"/>
  <c r="P185" i="3"/>
  <c r="P186" i="3"/>
  <c r="P187" i="3"/>
  <c r="P188" i="3"/>
  <c r="P189" i="3"/>
  <c r="P190" i="3"/>
  <c r="P191" i="3"/>
  <c r="P192" i="3"/>
  <c r="P193" i="3"/>
  <c r="P194" i="3"/>
  <c r="P195" i="3"/>
  <c r="P196" i="3"/>
  <c r="P197" i="3"/>
  <c r="P198" i="3"/>
  <c r="P199" i="3"/>
  <c r="P200" i="3"/>
  <c r="P201" i="3"/>
  <c r="P202" i="3"/>
  <c r="P203" i="3"/>
  <c r="P204" i="3"/>
  <c r="P205" i="3"/>
  <c r="P2" i="3"/>
  <c r="O3" i="3"/>
  <c r="O4" i="3"/>
  <c r="O5" i="3"/>
  <c r="O6" i="3"/>
  <c r="O7" i="3"/>
  <c r="O8" i="3"/>
  <c r="O9" i="3"/>
  <c r="O10" i="3"/>
  <c r="O11" i="3"/>
  <c r="O12" i="3"/>
  <c r="O13" i="3"/>
  <c r="O14" i="3"/>
  <c r="O15" i="3"/>
  <c r="O16" i="3"/>
  <c r="O17" i="3"/>
  <c r="O18" i="3"/>
  <c r="O19" i="3"/>
  <c r="O20" i="3"/>
  <c r="O21" i="3"/>
  <c r="O22" i="3"/>
  <c r="O23" i="3"/>
  <c r="O24" i="3"/>
  <c r="O25" i="3"/>
  <c r="O26" i="3"/>
  <c r="O27" i="3"/>
  <c r="O28" i="3"/>
  <c r="O29" i="3"/>
  <c r="O30" i="3"/>
  <c r="O31" i="3"/>
  <c r="O32" i="3"/>
  <c r="O33" i="3"/>
  <c r="O34" i="3"/>
  <c r="O35" i="3"/>
  <c r="O36" i="3"/>
  <c r="O37" i="3"/>
  <c r="O38" i="3"/>
  <c r="O39" i="3"/>
  <c r="O40" i="3"/>
  <c r="O41" i="3"/>
  <c r="O42" i="3"/>
  <c r="O43" i="3"/>
  <c r="O44" i="3"/>
  <c r="O45" i="3"/>
  <c r="O46" i="3"/>
  <c r="O47" i="3"/>
  <c r="O48" i="3"/>
  <c r="O49" i="3"/>
  <c r="O50" i="3"/>
  <c r="O51" i="3"/>
  <c r="O52" i="3"/>
  <c r="O53" i="3"/>
  <c r="O54" i="3"/>
  <c r="O55" i="3"/>
  <c r="O56" i="3"/>
  <c r="O57" i="3"/>
  <c r="O58" i="3"/>
  <c r="O59" i="3"/>
  <c r="O60" i="3"/>
  <c r="O61" i="3"/>
  <c r="O62" i="3"/>
  <c r="O63" i="3"/>
  <c r="O64" i="3"/>
  <c r="O65" i="3"/>
  <c r="O66" i="3"/>
  <c r="O67" i="3"/>
  <c r="O68" i="3"/>
  <c r="O69" i="3"/>
  <c r="O70" i="3"/>
  <c r="O71" i="3"/>
  <c r="O72" i="3"/>
  <c r="O73" i="3"/>
  <c r="O74" i="3"/>
  <c r="O75" i="3"/>
  <c r="O76" i="3"/>
  <c r="O77" i="3"/>
  <c r="O78" i="3"/>
  <c r="O79" i="3"/>
  <c r="O80" i="3"/>
  <c r="O81" i="3"/>
  <c r="O82" i="3"/>
  <c r="O83" i="3"/>
  <c r="O84" i="3"/>
  <c r="O85" i="3"/>
  <c r="O86" i="3"/>
  <c r="O87" i="3"/>
  <c r="O88" i="3"/>
  <c r="O89" i="3"/>
  <c r="O90" i="3"/>
  <c r="O91" i="3"/>
  <c r="O92" i="3"/>
  <c r="O93" i="3"/>
  <c r="O94" i="3"/>
  <c r="O95" i="3"/>
  <c r="O96" i="3"/>
  <c r="O97" i="3"/>
  <c r="O98" i="3"/>
  <c r="O99" i="3"/>
  <c r="O100" i="3"/>
  <c r="O101" i="3"/>
  <c r="O102" i="3"/>
  <c r="O103" i="3"/>
  <c r="O104" i="3"/>
  <c r="O105" i="3"/>
  <c r="O106" i="3"/>
  <c r="O107" i="3"/>
  <c r="O108" i="3"/>
  <c r="O109" i="3"/>
  <c r="O110" i="3"/>
  <c r="O111" i="3"/>
  <c r="O112" i="3"/>
  <c r="O113" i="3"/>
  <c r="O114" i="3"/>
  <c r="O115" i="3"/>
  <c r="O116" i="3"/>
  <c r="O117" i="3"/>
  <c r="O118" i="3"/>
  <c r="O119" i="3"/>
  <c r="O120" i="3"/>
  <c r="O121" i="3"/>
  <c r="O122" i="3"/>
  <c r="O123" i="3"/>
  <c r="O124" i="3"/>
  <c r="O125" i="3"/>
  <c r="O126" i="3"/>
  <c r="O127" i="3"/>
  <c r="O128" i="3"/>
  <c r="O129" i="3"/>
  <c r="O130" i="3"/>
  <c r="O131" i="3"/>
  <c r="O132" i="3"/>
  <c r="O133" i="3"/>
  <c r="O134" i="3"/>
  <c r="O135" i="3"/>
  <c r="O136" i="3"/>
  <c r="O137" i="3"/>
  <c r="O138" i="3"/>
  <c r="O139" i="3"/>
  <c r="O140" i="3"/>
  <c r="O141" i="3"/>
  <c r="O142" i="3"/>
  <c r="O143" i="3"/>
  <c r="O144" i="3"/>
  <c r="O145" i="3"/>
  <c r="O146" i="3"/>
  <c r="O147" i="3"/>
  <c r="O148" i="3"/>
  <c r="O149" i="3"/>
  <c r="O150" i="3"/>
  <c r="O151" i="3"/>
  <c r="O152" i="3"/>
  <c r="O153" i="3"/>
  <c r="O154" i="3"/>
  <c r="O155" i="3"/>
  <c r="O156" i="3"/>
  <c r="O157" i="3"/>
  <c r="O158" i="3"/>
  <c r="O159" i="3"/>
  <c r="O160" i="3"/>
  <c r="O161" i="3"/>
  <c r="O162" i="3"/>
  <c r="O163" i="3"/>
  <c r="O164" i="3"/>
  <c r="O165" i="3"/>
  <c r="O166" i="3"/>
  <c r="O167" i="3"/>
  <c r="O168" i="3"/>
  <c r="O169" i="3"/>
  <c r="O170" i="3"/>
  <c r="O171" i="3"/>
  <c r="O172" i="3"/>
  <c r="O173" i="3"/>
  <c r="O174" i="3"/>
  <c r="O175" i="3"/>
  <c r="O176" i="3"/>
  <c r="O177" i="3"/>
  <c r="O178" i="3"/>
  <c r="O179" i="3"/>
  <c r="O180" i="3"/>
  <c r="O181" i="3"/>
  <c r="O182" i="3"/>
  <c r="O183" i="3"/>
  <c r="O184" i="3"/>
  <c r="O185" i="3"/>
  <c r="O186" i="3"/>
  <c r="O187" i="3"/>
  <c r="O188" i="3"/>
  <c r="O189" i="3"/>
  <c r="O190" i="3"/>
  <c r="O191" i="3"/>
  <c r="O192" i="3"/>
  <c r="O193" i="3"/>
  <c r="O194" i="3"/>
  <c r="O195" i="3"/>
  <c r="O196" i="3"/>
  <c r="O197" i="3"/>
  <c r="O198" i="3"/>
  <c r="O199" i="3"/>
  <c r="O200" i="3"/>
  <c r="O201" i="3"/>
  <c r="O202" i="3"/>
  <c r="O203" i="3"/>
  <c r="O204" i="3"/>
  <c r="O205" i="3"/>
  <c r="O2" i="3"/>
  <c r="H2" i="3"/>
  <c r="H3" i="3"/>
  <c r="H4" i="3"/>
  <c r="H5" i="3"/>
  <c r="H6" i="3"/>
  <c r="H7" i="3"/>
  <c r="H8" i="3"/>
  <c r="H9" i="3"/>
  <c r="H10" i="3"/>
  <c r="H11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27" i="3"/>
  <c r="H28" i="3"/>
  <c r="H29" i="3"/>
  <c r="H30" i="3"/>
  <c r="H31" i="3"/>
  <c r="H32" i="3"/>
  <c r="H33" i="3"/>
  <c r="H34" i="3"/>
  <c r="H35" i="3"/>
  <c r="H36" i="3"/>
  <c r="H37" i="3"/>
  <c r="H38" i="3"/>
  <c r="H39" i="3"/>
  <c r="H40" i="3"/>
  <c r="H41" i="3"/>
  <c r="H42" i="3"/>
  <c r="H43" i="3"/>
  <c r="H44" i="3"/>
  <c r="H45" i="3"/>
  <c r="H46" i="3"/>
  <c r="H47" i="3"/>
  <c r="H48" i="3"/>
  <c r="H49" i="3"/>
  <c r="H50" i="3"/>
  <c r="H51" i="3"/>
  <c r="H52" i="3"/>
  <c r="H53" i="3"/>
  <c r="H54" i="3"/>
  <c r="H55" i="3"/>
  <c r="H56" i="3"/>
  <c r="H57" i="3"/>
  <c r="H58" i="3"/>
  <c r="H59" i="3"/>
  <c r="H60" i="3"/>
  <c r="H61" i="3"/>
  <c r="H62" i="3"/>
  <c r="H63" i="3"/>
  <c r="H64" i="3"/>
  <c r="H65" i="3"/>
  <c r="H66" i="3"/>
  <c r="H67" i="3"/>
  <c r="H68" i="3"/>
  <c r="H69" i="3"/>
  <c r="H70" i="3"/>
  <c r="H71" i="3"/>
  <c r="H72" i="3"/>
  <c r="H73" i="3"/>
  <c r="H74" i="3"/>
  <c r="H75" i="3"/>
  <c r="H76" i="3"/>
  <c r="H77" i="3"/>
  <c r="H78" i="3"/>
  <c r="H79" i="3"/>
  <c r="H80" i="3"/>
  <c r="H81" i="3"/>
  <c r="H82" i="3"/>
  <c r="H83" i="3"/>
  <c r="H84" i="3"/>
  <c r="H85" i="3"/>
  <c r="H86" i="3"/>
  <c r="H87" i="3"/>
  <c r="H88" i="3"/>
  <c r="H89" i="3"/>
  <c r="H90" i="3"/>
  <c r="H91" i="3"/>
  <c r="H92" i="3"/>
  <c r="H93" i="3"/>
  <c r="H94" i="3"/>
  <c r="H95" i="3"/>
  <c r="H96" i="3"/>
  <c r="H97" i="3"/>
  <c r="H98" i="3"/>
  <c r="H99" i="3"/>
  <c r="H100" i="3"/>
  <c r="H101" i="3"/>
  <c r="H102" i="3"/>
  <c r="H103" i="3"/>
  <c r="H104" i="3"/>
  <c r="H105" i="3"/>
  <c r="H106" i="3"/>
  <c r="H107" i="3"/>
  <c r="H108" i="3"/>
  <c r="H109" i="3"/>
  <c r="H110" i="3"/>
  <c r="H111" i="3"/>
  <c r="H112" i="3"/>
  <c r="H113" i="3"/>
  <c r="H114" i="3"/>
  <c r="H115" i="3"/>
  <c r="H116" i="3"/>
  <c r="H117" i="3"/>
  <c r="H118" i="3"/>
  <c r="H119" i="3"/>
  <c r="H120" i="3"/>
  <c r="H121" i="3"/>
  <c r="H122" i="3"/>
  <c r="H123" i="3"/>
  <c r="H124" i="3"/>
  <c r="H125" i="3"/>
  <c r="H126" i="3"/>
  <c r="H127" i="3"/>
  <c r="H128" i="3"/>
  <c r="H129" i="3"/>
  <c r="H130" i="3"/>
  <c r="H131" i="3"/>
  <c r="H132" i="3"/>
  <c r="H133" i="3"/>
  <c r="H134" i="3"/>
  <c r="H135" i="3"/>
  <c r="H136" i="3"/>
  <c r="H137" i="3"/>
  <c r="H138" i="3"/>
  <c r="H139" i="3"/>
  <c r="H140" i="3"/>
  <c r="H141" i="3"/>
  <c r="H142" i="3"/>
  <c r="H143" i="3"/>
  <c r="H144" i="3"/>
  <c r="H145" i="3"/>
  <c r="H146" i="3"/>
  <c r="H147" i="3"/>
  <c r="H148" i="3"/>
  <c r="H149" i="3"/>
  <c r="H150" i="3"/>
  <c r="H151" i="3"/>
  <c r="H152" i="3"/>
  <c r="H153" i="3"/>
  <c r="H154" i="3"/>
  <c r="H155" i="3"/>
  <c r="H156" i="3"/>
  <c r="H157" i="3"/>
  <c r="H158" i="3"/>
  <c r="H159" i="3"/>
  <c r="H160" i="3"/>
  <c r="H161" i="3"/>
  <c r="H162" i="3"/>
  <c r="H163" i="3"/>
  <c r="H164" i="3"/>
  <c r="H165" i="3"/>
  <c r="H166" i="3"/>
  <c r="H167" i="3"/>
  <c r="H168" i="3"/>
  <c r="H169" i="3"/>
  <c r="H170" i="3"/>
  <c r="H171" i="3"/>
  <c r="H172" i="3"/>
  <c r="H173" i="3"/>
  <c r="H174" i="3"/>
  <c r="H175" i="3"/>
  <c r="H176" i="3"/>
  <c r="H177" i="3"/>
  <c r="H178" i="3"/>
  <c r="H179" i="3"/>
  <c r="H180" i="3"/>
  <c r="H181" i="3"/>
  <c r="H182" i="3"/>
  <c r="H183" i="3"/>
  <c r="H184" i="3"/>
  <c r="H185" i="3"/>
  <c r="H186" i="3"/>
  <c r="H187" i="3"/>
  <c r="H188" i="3"/>
  <c r="H189" i="3"/>
  <c r="H190" i="3"/>
  <c r="H191" i="3"/>
  <c r="H192" i="3"/>
  <c r="H193" i="3"/>
  <c r="H194" i="3"/>
  <c r="H195" i="3"/>
  <c r="H196" i="3"/>
  <c r="H197" i="3"/>
  <c r="H198" i="3"/>
  <c r="H199" i="3"/>
  <c r="H200" i="3"/>
  <c r="H201" i="3"/>
  <c r="H202" i="3"/>
  <c r="H203" i="3"/>
  <c r="H204" i="3"/>
  <c r="H205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32" i="3"/>
  <c r="G33" i="3"/>
  <c r="G34" i="3"/>
  <c r="G35" i="3"/>
  <c r="G36" i="3"/>
  <c r="G37" i="3"/>
  <c r="G38" i="3"/>
  <c r="G39" i="3"/>
  <c r="G40" i="3"/>
  <c r="G41" i="3"/>
  <c r="G42" i="3"/>
  <c r="G43" i="3"/>
  <c r="G44" i="3"/>
  <c r="G45" i="3"/>
  <c r="G46" i="3"/>
  <c r="G47" i="3"/>
  <c r="G48" i="3"/>
  <c r="G49" i="3"/>
  <c r="G50" i="3"/>
  <c r="G51" i="3"/>
  <c r="G52" i="3"/>
  <c r="G53" i="3"/>
  <c r="G54" i="3"/>
  <c r="G55" i="3"/>
  <c r="G56" i="3"/>
  <c r="G57" i="3"/>
  <c r="G58" i="3"/>
  <c r="G59" i="3"/>
  <c r="G60" i="3"/>
  <c r="G61" i="3"/>
  <c r="G62" i="3"/>
  <c r="G63" i="3"/>
  <c r="G64" i="3"/>
  <c r="G65" i="3"/>
  <c r="G66" i="3"/>
  <c r="G67" i="3"/>
  <c r="G68" i="3"/>
  <c r="G69" i="3"/>
  <c r="G70" i="3"/>
  <c r="G71" i="3"/>
  <c r="G72" i="3"/>
  <c r="G73" i="3"/>
  <c r="G74" i="3"/>
  <c r="G75" i="3"/>
  <c r="G76" i="3"/>
  <c r="G77" i="3"/>
  <c r="G78" i="3"/>
  <c r="G79" i="3"/>
  <c r="G80" i="3"/>
  <c r="G81" i="3"/>
  <c r="G82" i="3"/>
  <c r="G83" i="3"/>
  <c r="G84" i="3"/>
  <c r="G85" i="3"/>
  <c r="G86" i="3"/>
  <c r="G87" i="3"/>
  <c r="G88" i="3"/>
  <c r="G89" i="3"/>
  <c r="G90" i="3"/>
  <c r="G91" i="3"/>
  <c r="G92" i="3"/>
  <c r="G93" i="3"/>
  <c r="G94" i="3"/>
  <c r="G95" i="3"/>
  <c r="G96" i="3"/>
  <c r="G97" i="3"/>
  <c r="G98" i="3"/>
  <c r="G99" i="3"/>
  <c r="G100" i="3"/>
  <c r="G101" i="3"/>
  <c r="G102" i="3"/>
  <c r="G103" i="3"/>
  <c r="G104" i="3"/>
  <c r="G105" i="3"/>
  <c r="G106" i="3"/>
  <c r="G107" i="3"/>
  <c r="G108" i="3"/>
  <c r="G109" i="3"/>
  <c r="G110" i="3"/>
  <c r="G111" i="3"/>
  <c r="G112" i="3"/>
  <c r="G113" i="3"/>
  <c r="G114" i="3"/>
  <c r="G115" i="3"/>
  <c r="G116" i="3"/>
  <c r="G117" i="3"/>
  <c r="G118" i="3"/>
  <c r="G119" i="3"/>
  <c r="G120" i="3"/>
  <c r="G121" i="3"/>
  <c r="G122" i="3"/>
  <c r="G123" i="3"/>
  <c r="G124" i="3"/>
  <c r="G125" i="3"/>
  <c r="G126" i="3"/>
  <c r="G127" i="3"/>
  <c r="G128" i="3"/>
  <c r="G129" i="3"/>
  <c r="G130" i="3"/>
  <c r="G131" i="3"/>
  <c r="G132" i="3"/>
  <c r="G133" i="3"/>
  <c r="G134" i="3"/>
  <c r="G135" i="3"/>
  <c r="G136" i="3"/>
  <c r="G137" i="3"/>
  <c r="G138" i="3"/>
  <c r="G139" i="3"/>
  <c r="G140" i="3"/>
  <c r="G141" i="3"/>
  <c r="G142" i="3"/>
  <c r="G143" i="3"/>
  <c r="G144" i="3"/>
  <c r="G145" i="3"/>
  <c r="G146" i="3"/>
  <c r="G147" i="3"/>
  <c r="G148" i="3"/>
  <c r="G149" i="3"/>
  <c r="G150" i="3"/>
  <c r="G151" i="3"/>
  <c r="G152" i="3"/>
  <c r="G153" i="3"/>
  <c r="G154" i="3"/>
  <c r="G155" i="3"/>
  <c r="G156" i="3"/>
  <c r="G157" i="3"/>
  <c r="G158" i="3"/>
  <c r="G159" i="3"/>
  <c r="G160" i="3"/>
  <c r="G161" i="3"/>
  <c r="G162" i="3"/>
  <c r="G163" i="3"/>
  <c r="G164" i="3"/>
  <c r="G165" i="3"/>
  <c r="G166" i="3"/>
  <c r="G167" i="3"/>
  <c r="G168" i="3"/>
  <c r="G169" i="3"/>
  <c r="G170" i="3"/>
  <c r="G171" i="3"/>
  <c r="G172" i="3"/>
  <c r="G173" i="3"/>
  <c r="G174" i="3"/>
  <c r="G175" i="3"/>
  <c r="G176" i="3"/>
  <c r="G177" i="3"/>
  <c r="G178" i="3"/>
  <c r="G179" i="3"/>
  <c r="G180" i="3"/>
  <c r="G181" i="3"/>
  <c r="G182" i="3"/>
  <c r="G183" i="3"/>
  <c r="G184" i="3"/>
  <c r="G185" i="3"/>
  <c r="G186" i="3"/>
  <c r="G187" i="3"/>
  <c r="G188" i="3"/>
  <c r="G189" i="3"/>
  <c r="G190" i="3"/>
  <c r="G191" i="3"/>
  <c r="G192" i="3"/>
  <c r="G193" i="3"/>
  <c r="G194" i="3"/>
  <c r="G195" i="3"/>
  <c r="G196" i="3"/>
  <c r="G197" i="3"/>
  <c r="G198" i="3"/>
  <c r="G199" i="3"/>
  <c r="G200" i="3"/>
  <c r="G201" i="3"/>
  <c r="G202" i="3"/>
  <c r="G203" i="3"/>
  <c r="G204" i="3"/>
  <c r="G205" i="3"/>
  <c r="G6" i="3"/>
  <c r="G7" i="3"/>
  <c r="G8" i="3"/>
  <c r="G9" i="3"/>
  <c r="G5" i="3"/>
  <c r="G2" i="3"/>
  <c r="G3" i="3"/>
  <c r="G4" i="3"/>
  <c r="F2" i="3" l="1"/>
  <c r="F19" i="3"/>
  <c r="F21" i="3"/>
  <c r="F34" i="3"/>
  <c r="F35" i="3"/>
  <c r="F38" i="3"/>
  <c r="F39" i="3"/>
  <c r="F40" i="3"/>
  <c r="F61" i="3"/>
  <c r="F68" i="3"/>
  <c r="F74" i="3"/>
  <c r="F75" i="3"/>
  <c r="F78" i="3"/>
  <c r="F81" i="3"/>
  <c r="F87" i="3"/>
  <c r="F88" i="3"/>
  <c r="F114" i="3"/>
  <c r="F115" i="3"/>
  <c r="F121" i="3"/>
  <c r="F128" i="3"/>
  <c r="F134" i="3"/>
  <c r="F135" i="3"/>
  <c r="F153" i="3"/>
  <c r="F154" i="3"/>
  <c r="F155" i="3"/>
  <c r="F161" i="3"/>
  <c r="F168" i="3"/>
  <c r="F174" i="3"/>
  <c r="F175" i="3"/>
  <c r="F194" i="3"/>
  <c r="F195" i="3"/>
  <c r="F199" i="3"/>
  <c r="F201" i="3"/>
  <c r="E2" i="3"/>
  <c r="E3" i="3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3" i="3"/>
  <c r="E34" i="3"/>
  <c r="E35" i="3"/>
  <c r="E36" i="3"/>
  <c r="E37" i="3"/>
  <c r="E38" i="3"/>
  <c r="E39" i="3"/>
  <c r="E40" i="3"/>
  <c r="E41" i="3"/>
  <c r="E42" i="3"/>
  <c r="E43" i="3"/>
  <c r="E44" i="3"/>
  <c r="E45" i="3"/>
  <c r="E46" i="3"/>
  <c r="E47" i="3"/>
  <c r="E48" i="3"/>
  <c r="E49" i="3"/>
  <c r="E50" i="3"/>
  <c r="E51" i="3"/>
  <c r="E52" i="3"/>
  <c r="E53" i="3"/>
  <c r="E54" i="3"/>
  <c r="E55" i="3"/>
  <c r="E56" i="3"/>
  <c r="E57" i="3"/>
  <c r="E58" i="3"/>
  <c r="E59" i="3"/>
  <c r="E60" i="3"/>
  <c r="E61" i="3"/>
  <c r="E62" i="3"/>
  <c r="E63" i="3"/>
  <c r="E64" i="3"/>
  <c r="E65" i="3"/>
  <c r="E66" i="3"/>
  <c r="E67" i="3"/>
  <c r="E68" i="3"/>
  <c r="E69" i="3"/>
  <c r="E70" i="3"/>
  <c r="E71" i="3"/>
  <c r="E72" i="3"/>
  <c r="E73" i="3"/>
  <c r="E74" i="3"/>
  <c r="E75" i="3"/>
  <c r="E76" i="3"/>
  <c r="E77" i="3"/>
  <c r="E78" i="3"/>
  <c r="E79" i="3"/>
  <c r="E80" i="3"/>
  <c r="E81" i="3"/>
  <c r="E82" i="3"/>
  <c r="E83" i="3"/>
  <c r="E84" i="3"/>
  <c r="E85" i="3"/>
  <c r="E86" i="3"/>
  <c r="E87" i="3"/>
  <c r="E88" i="3"/>
  <c r="E89" i="3"/>
  <c r="E90" i="3"/>
  <c r="E91" i="3"/>
  <c r="E92" i="3"/>
  <c r="E93" i="3"/>
  <c r="E94" i="3"/>
  <c r="E95" i="3"/>
  <c r="E96" i="3"/>
  <c r="E97" i="3"/>
  <c r="E98" i="3"/>
  <c r="E99" i="3"/>
  <c r="E100" i="3"/>
  <c r="E101" i="3"/>
  <c r="E102" i="3"/>
  <c r="E103" i="3"/>
  <c r="E104" i="3"/>
  <c r="E105" i="3"/>
  <c r="E106" i="3"/>
  <c r="E107" i="3"/>
  <c r="E108" i="3"/>
  <c r="E109" i="3"/>
  <c r="E110" i="3"/>
  <c r="E111" i="3"/>
  <c r="E112" i="3"/>
  <c r="E113" i="3"/>
  <c r="E114" i="3"/>
  <c r="E115" i="3"/>
  <c r="E116" i="3"/>
  <c r="E117" i="3"/>
  <c r="E118" i="3"/>
  <c r="E119" i="3"/>
  <c r="E120" i="3"/>
  <c r="E121" i="3"/>
  <c r="E122" i="3"/>
  <c r="E123" i="3"/>
  <c r="E124" i="3"/>
  <c r="E125" i="3"/>
  <c r="E126" i="3"/>
  <c r="E127" i="3"/>
  <c r="E128" i="3"/>
  <c r="E129" i="3"/>
  <c r="E130" i="3"/>
  <c r="E131" i="3"/>
  <c r="E132" i="3"/>
  <c r="E133" i="3"/>
  <c r="E134" i="3"/>
  <c r="E135" i="3"/>
  <c r="E136" i="3"/>
  <c r="E137" i="3"/>
  <c r="E138" i="3"/>
  <c r="E139" i="3"/>
  <c r="E140" i="3"/>
  <c r="E141" i="3"/>
  <c r="E142" i="3"/>
  <c r="E143" i="3"/>
  <c r="E144" i="3"/>
  <c r="E145" i="3"/>
  <c r="E146" i="3"/>
  <c r="E147" i="3"/>
  <c r="E148" i="3"/>
  <c r="E149" i="3"/>
  <c r="E150" i="3"/>
  <c r="E151" i="3"/>
  <c r="E152" i="3"/>
  <c r="E153" i="3"/>
  <c r="E154" i="3"/>
  <c r="E155" i="3"/>
  <c r="E156" i="3"/>
  <c r="E157" i="3"/>
  <c r="E158" i="3"/>
  <c r="E159" i="3"/>
  <c r="E160" i="3"/>
  <c r="E161" i="3"/>
  <c r="E162" i="3"/>
  <c r="E163" i="3"/>
  <c r="E164" i="3"/>
  <c r="E165" i="3"/>
  <c r="E166" i="3"/>
  <c r="E167" i="3"/>
  <c r="E168" i="3"/>
  <c r="E169" i="3"/>
  <c r="E170" i="3"/>
  <c r="E171" i="3"/>
  <c r="E172" i="3"/>
  <c r="E173" i="3"/>
  <c r="E174" i="3"/>
  <c r="E175" i="3"/>
  <c r="E176" i="3"/>
  <c r="E177" i="3"/>
  <c r="E178" i="3"/>
  <c r="E179" i="3"/>
  <c r="E180" i="3"/>
  <c r="E181" i="3"/>
  <c r="E182" i="3"/>
  <c r="E183" i="3"/>
  <c r="E184" i="3"/>
  <c r="E185" i="3"/>
  <c r="E186" i="3"/>
  <c r="E187" i="3"/>
  <c r="E188" i="3"/>
  <c r="E189" i="3"/>
  <c r="E190" i="3"/>
  <c r="E191" i="3"/>
  <c r="E192" i="3"/>
  <c r="E193" i="3"/>
  <c r="E194" i="3"/>
  <c r="E195" i="3"/>
  <c r="E196" i="3"/>
  <c r="E197" i="3"/>
  <c r="E198" i="3"/>
  <c r="E199" i="3"/>
  <c r="E200" i="3"/>
  <c r="E201" i="3"/>
  <c r="E202" i="3"/>
  <c r="E203" i="3"/>
  <c r="E204" i="3"/>
  <c r="E205" i="3"/>
  <c r="D205" i="3"/>
  <c r="F205" i="3" s="1"/>
  <c r="C205" i="3"/>
  <c r="D204" i="3"/>
  <c r="F204" i="3" s="1"/>
  <c r="C204" i="3"/>
  <c r="D203" i="3"/>
  <c r="F203" i="3" s="1"/>
  <c r="C203" i="3"/>
  <c r="D202" i="3"/>
  <c r="F202" i="3" s="1"/>
  <c r="C202" i="3"/>
  <c r="D201" i="3"/>
  <c r="C201" i="3"/>
  <c r="D200" i="3"/>
  <c r="F200" i="3" s="1"/>
  <c r="C200" i="3"/>
  <c r="D199" i="3"/>
  <c r="C199" i="3"/>
  <c r="D198" i="3"/>
  <c r="F198" i="3" s="1"/>
  <c r="C198" i="3"/>
  <c r="D197" i="3"/>
  <c r="F197" i="3" s="1"/>
  <c r="C197" i="3"/>
  <c r="D196" i="3"/>
  <c r="F196" i="3" s="1"/>
  <c r="C196" i="3"/>
  <c r="D195" i="3"/>
  <c r="C195" i="3"/>
  <c r="D194" i="3"/>
  <c r="C194" i="3"/>
  <c r="D193" i="3"/>
  <c r="F193" i="3" s="1"/>
  <c r="C193" i="3"/>
  <c r="D192" i="3"/>
  <c r="F192" i="3" s="1"/>
  <c r="C192" i="3"/>
  <c r="D191" i="3"/>
  <c r="F191" i="3" s="1"/>
  <c r="C191" i="3"/>
  <c r="D190" i="3"/>
  <c r="F190" i="3" s="1"/>
  <c r="C190" i="3"/>
  <c r="D189" i="3"/>
  <c r="F189" i="3" s="1"/>
  <c r="C189" i="3"/>
  <c r="D188" i="3"/>
  <c r="F188" i="3" s="1"/>
  <c r="C188" i="3"/>
  <c r="D187" i="3"/>
  <c r="F187" i="3" s="1"/>
  <c r="C187" i="3"/>
  <c r="D186" i="3"/>
  <c r="F186" i="3" s="1"/>
  <c r="C186" i="3"/>
  <c r="D185" i="3"/>
  <c r="F185" i="3" s="1"/>
  <c r="C185" i="3"/>
  <c r="D184" i="3"/>
  <c r="F184" i="3" s="1"/>
  <c r="C184" i="3"/>
  <c r="D183" i="3"/>
  <c r="F183" i="3" s="1"/>
  <c r="C183" i="3"/>
  <c r="D182" i="3"/>
  <c r="F182" i="3" s="1"/>
  <c r="C182" i="3"/>
  <c r="D181" i="3"/>
  <c r="F181" i="3" s="1"/>
  <c r="C181" i="3"/>
  <c r="D180" i="3"/>
  <c r="F180" i="3" s="1"/>
  <c r="C180" i="3"/>
  <c r="D179" i="3"/>
  <c r="F179" i="3" s="1"/>
  <c r="C179" i="3"/>
  <c r="D178" i="3"/>
  <c r="F178" i="3" s="1"/>
  <c r="C178" i="3"/>
  <c r="D177" i="3"/>
  <c r="F177" i="3" s="1"/>
  <c r="C177" i="3"/>
  <c r="D176" i="3"/>
  <c r="F176" i="3" s="1"/>
  <c r="C176" i="3"/>
  <c r="D175" i="3"/>
  <c r="C175" i="3"/>
  <c r="D174" i="3"/>
  <c r="C174" i="3"/>
  <c r="D173" i="3"/>
  <c r="F173" i="3" s="1"/>
  <c r="C173" i="3"/>
  <c r="D172" i="3"/>
  <c r="F172" i="3" s="1"/>
  <c r="C172" i="3"/>
  <c r="D171" i="3"/>
  <c r="F171" i="3" s="1"/>
  <c r="C171" i="3"/>
  <c r="D170" i="3"/>
  <c r="F170" i="3" s="1"/>
  <c r="C170" i="3"/>
  <c r="D169" i="3"/>
  <c r="F169" i="3" s="1"/>
  <c r="C169" i="3"/>
  <c r="D168" i="3"/>
  <c r="C168" i="3"/>
  <c r="D167" i="3"/>
  <c r="F167" i="3" s="1"/>
  <c r="C167" i="3"/>
  <c r="D166" i="3"/>
  <c r="F166" i="3" s="1"/>
  <c r="C166" i="3"/>
  <c r="D165" i="3"/>
  <c r="F165" i="3" s="1"/>
  <c r="C165" i="3"/>
  <c r="D164" i="3"/>
  <c r="F164" i="3" s="1"/>
  <c r="C164" i="3"/>
  <c r="D163" i="3"/>
  <c r="F163" i="3" s="1"/>
  <c r="C163" i="3"/>
  <c r="D162" i="3"/>
  <c r="F162" i="3" s="1"/>
  <c r="C162" i="3"/>
  <c r="D161" i="3"/>
  <c r="C161" i="3"/>
  <c r="D160" i="3"/>
  <c r="F160" i="3" s="1"/>
  <c r="C160" i="3"/>
  <c r="D159" i="3"/>
  <c r="F159" i="3" s="1"/>
  <c r="C159" i="3"/>
  <c r="D158" i="3"/>
  <c r="F158" i="3" s="1"/>
  <c r="C158" i="3"/>
  <c r="D157" i="3"/>
  <c r="F157" i="3" s="1"/>
  <c r="C157" i="3"/>
  <c r="D156" i="3"/>
  <c r="F156" i="3" s="1"/>
  <c r="C156" i="3"/>
  <c r="D155" i="3"/>
  <c r="C155" i="3"/>
  <c r="D154" i="3"/>
  <c r="C154" i="3"/>
  <c r="D153" i="3"/>
  <c r="C153" i="3"/>
  <c r="D152" i="3"/>
  <c r="F152" i="3" s="1"/>
  <c r="C152" i="3"/>
  <c r="D151" i="3"/>
  <c r="F151" i="3" s="1"/>
  <c r="C151" i="3"/>
  <c r="D150" i="3"/>
  <c r="F150" i="3" s="1"/>
  <c r="C150" i="3"/>
  <c r="D149" i="3"/>
  <c r="F149" i="3" s="1"/>
  <c r="C149" i="3"/>
  <c r="D148" i="3"/>
  <c r="F148" i="3" s="1"/>
  <c r="C148" i="3"/>
  <c r="D147" i="3"/>
  <c r="F147" i="3" s="1"/>
  <c r="C147" i="3"/>
  <c r="D146" i="3"/>
  <c r="F146" i="3" s="1"/>
  <c r="C146" i="3"/>
  <c r="D145" i="3"/>
  <c r="F145" i="3" s="1"/>
  <c r="C145" i="3"/>
  <c r="D144" i="3"/>
  <c r="F144" i="3" s="1"/>
  <c r="C144" i="3"/>
  <c r="D143" i="3"/>
  <c r="F143" i="3" s="1"/>
  <c r="C143" i="3"/>
  <c r="D142" i="3"/>
  <c r="F142" i="3" s="1"/>
  <c r="C142" i="3"/>
  <c r="D141" i="3"/>
  <c r="F141" i="3" s="1"/>
  <c r="C141" i="3"/>
  <c r="D140" i="3"/>
  <c r="F140" i="3" s="1"/>
  <c r="C140" i="3"/>
  <c r="D139" i="3"/>
  <c r="F139" i="3" s="1"/>
  <c r="C139" i="3"/>
  <c r="D138" i="3"/>
  <c r="F138" i="3" s="1"/>
  <c r="C138" i="3"/>
  <c r="D137" i="3"/>
  <c r="F137" i="3" s="1"/>
  <c r="C137" i="3"/>
  <c r="D136" i="3"/>
  <c r="F136" i="3" s="1"/>
  <c r="C136" i="3"/>
  <c r="D135" i="3"/>
  <c r="C135" i="3"/>
  <c r="D134" i="3"/>
  <c r="C134" i="3"/>
  <c r="D133" i="3"/>
  <c r="F133" i="3" s="1"/>
  <c r="C133" i="3"/>
  <c r="D132" i="3"/>
  <c r="F132" i="3" s="1"/>
  <c r="C132" i="3"/>
  <c r="D131" i="3"/>
  <c r="F131" i="3" s="1"/>
  <c r="C131" i="3"/>
  <c r="D130" i="3"/>
  <c r="F130" i="3" s="1"/>
  <c r="C130" i="3"/>
  <c r="D129" i="3"/>
  <c r="F129" i="3" s="1"/>
  <c r="C129" i="3"/>
  <c r="D128" i="3"/>
  <c r="C128" i="3"/>
  <c r="D127" i="3"/>
  <c r="F127" i="3" s="1"/>
  <c r="C127" i="3"/>
  <c r="D126" i="3"/>
  <c r="F126" i="3" s="1"/>
  <c r="C126" i="3"/>
  <c r="D125" i="3"/>
  <c r="F125" i="3" s="1"/>
  <c r="C125" i="3"/>
  <c r="D124" i="3"/>
  <c r="F124" i="3" s="1"/>
  <c r="C124" i="3"/>
  <c r="D123" i="3"/>
  <c r="F123" i="3" s="1"/>
  <c r="C123" i="3"/>
  <c r="D122" i="3"/>
  <c r="F122" i="3" s="1"/>
  <c r="C122" i="3"/>
  <c r="D121" i="3"/>
  <c r="C121" i="3"/>
  <c r="D120" i="3"/>
  <c r="F120" i="3" s="1"/>
  <c r="C120" i="3"/>
  <c r="D119" i="3"/>
  <c r="F119" i="3" s="1"/>
  <c r="C119" i="3"/>
  <c r="D118" i="3"/>
  <c r="F118" i="3" s="1"/>
  <c r="C118" i="3"/>
  <c r="D117" i="3"/>
  <c r="F117" i="3" s="1"/>
  <c r="C117" i="3"/>
  <c r="D116" i="3"/>
  <c r="F116" i="3" s="1"/>
  <c r="C116" i="3"/>
  <c r="D115" i="3"/>
  <c r="C115" i="3"/>
  <c r="D114" i="3"/>
  <c r="C114" i="3"/>
  <c r="D113" i="3"/>
  <c r="F113" i="3" s="1"/>
  <c r="C113" i="3"/>
  <c r="D112" i="3"/>
  <c r="F112" i="3" s="1"/>
  <c r="C112" i="3"/>
  <c r="D111" i="3"/>
  <c r="F111" i="3" s="1"/>
  <c r="C111" i="3"/>
  <c r="D110" i="3"/>
  <c r="F110" i="3" s="1"/>
  <c r="C110" i="3"/>
  <c r="D109" i="3"/>
  <c r="F109" i="3" s="1"/>
  <c r="C109" i="3"/>
  <c r="D108" i="3"/>
  <c r="F108" i="3" s="1"/>
  <c r="C108" i="3"/>
  <c r="D107" i="3"/>
  <c r="F107" i="3" s="1"/>
  <c r="C107" i="3"/>
  <c r="D106" i="3"/>
  <c r="F106" i="3" s="1"/>
  <c r="C106" i="3"/>
  <c r="D105" i="3"/>
  <c r="F105" i="3" s="1"/>
  <c r="C105" i="3"/>
  <c r="D104" i="3"/>
  <c r="F104" i="3" s="1"/>
  <c r="C104" i="3"/>
  <c r="D103" i="3"/>
  <c r="F103" i="3" s="1"/>
  <c r="C103" i="3"/>
  <c r="D102" i="3"/>
  <c r="F102" i="3" s="1"/>
  <c r="C102" i="3"/>
  <c r="D101" i="3"/>
  <c r="F101" i="3" s="1"/>
  <c r="C101" i="3"/>
  <c r="D100" i="3"/>
  <c r="F100" i="3" s="1"/>
  <c r="C100" i="3"/>
  <c r="D99" i="3"/>
  <c r="F99" i="3" s="1"/>
  <c r="C99" i="3"/>
  <c r="D98" i="3"/>
  <c r="F98" i="3" s="1"/>
  <c r="C98" i="3"/>
  <c r="D97" i="3"/>
  <c r="F97" i="3" s="1"/>
  <c r="C97" i="3"/>
  <c r="D96" i="3"/>
  <c r="F96" i="3" s="1"/>
  <c r="C96" i="3"/>
  <c r="D95" i="3"/>
  <c r="F95" i="3" s="1"/>
  <c r="C95" i="3"/>
  <c r="D94" i="3"/>
  <c r="F94" i="3" s="1"/>
  <c r="C94" i="3"/>
  <c r="D93" i="3"/>
  <c r="F93" i="3" s="1"/>
  <c r="C93" i="3"/>
  <c r="D92" i="3"/>
  <c r="F92" i="3" s="1"/>
  <c r="C92" i="3"/>
  <c r="D91" i="3"/>
  <c r="F91" i="3" s="1"/>
  <c r="C91" i="3"/>
  <c r="D90" i="3"/>
  <c r="F90" i="3" s="1"/>
  <c r="C90" i="3"/>
  <c r="D89" i="3"/>
  <c r="F89" i="3" s="1"/>
  <c r="C89" i="3"/>
  <c r="D88" i="3"/>
  <c r="C88" i="3"/>
  <c r="D87" i="3"/>
  <c r="C87" i="3"/>
  <c r="D86" i="3"/>
  <c r="F86" i="3" s="1"/>
  <c r="C86" i="3"/>
  <c r="D85" i="3"/>
  <c r="F85" i="3" s="1"/>
  <c r="C85" i="3"/>
  <c r="D84" i="3"/>
  <c r="F84" i="3" s="1"/>
  <c r="C84" i="3"/>
  <c r="D83" i="3"/>
  <c r="F83" i="3" s="1"/>
  <c r="C83" i="3"/>
  <c r="D82" i="3"/>
  <c r="F82" i="3" s="1"/>
  <c r="C82" i="3"/>
  <c r="D81" i="3"/>
  <c r="C81" i="3"/>
  <c r="D80" i="3"/>
  <c r="F80" i="3" s="1"/>
  <c r="C80" i="3"/>
  <c r="D79" i="3"/>
  <c r="F79" i="3" s="1"/>
  <c r="C79" i="3"/>
  <c r="D78" i="3"/>
  <c r="C78" i="3"/>
  <c r="D77" i="3"/>
  <c r="F77" i="3" s="1"/>
  <c r="C77" i="3"/>
  <c r="D76" i="3"/>
  <c r="F76" i="3" s="1"/>
  <c r="C76" i="3"/>
  <c r="D75" i="3"/>
  <c r="C75" i="3"/>
  <c r="D74" i="3"/>
  <c r="C74" i="3"/>
  <c r="D73" i="3"/>
  <c r="F73" i="3" s="1"/>
  <c r="C73" i="3"/>
  <c r="D72" i="3"/>
  <c r="F72" i="3" s="1"/>
  <c r="C72" i="3"/>
  <c r="D71" i="3"/>
  <c r="F71" i="3" s="1"/>
  <c r="C71" i="3"/>
  <c r="D70" i="3"/>
  <c r="F70" i="3" s="1"/>
  <c r="C70" i="3"/>
  <c r="D69" i="3"/>
  <c r="F69" i="3" s="1"/>
  <c r="C69" i="3"/>
  <c r="D68" i="3"/>
  <c r="C68" i="3"/>
  <c r="D67" i="3"/>
  <c r="F67" i="3" s="1"/>
  <c r="C67" i="3"/>
  <c r="D66" i="3"/>
  <c r="F66" i="3" s="1"/>
  <c r="C66" i="3"/>
  <c r="D65" i="3"/>
  <c r="F65" i="3" s="1"/>
  <c r="C65" i="3"/>
  <c r="D64" i="3"/>
  <c r="F64" i="3" s="1"/>
  <c r="C64" i="3"/>
  <c r="D63" i="3"/>
  <c r="F63" i="3" s="1"/>
  <c r="C63" i="3"/>
  <c r="D62" i="3"/>
  <c r="F62" i="3" s="1"/>
  <c r="C62" i="3"/>
  <c r="D61" i="3"/>
  <c r="C61" i="3"/>
  <c r="D60" i="3"/>
  <c r="F60" i="3" s="1"/>
  <c r="C60" i="3"/>
  <c r="D59" i="3"/>
  <c r="F59" i="3" s="1"/>
  <c r="C59" i="3"/>
  <c r="D58" i="3"/>
  <c r="F58" i="3" s="1"/>
  <c r="C58" i="3"/>
  <c r="D57" i="3"/>
  <c r="F57" i="3" s="1"/>
  <c r="C57" i="3"/>
  <c r="D56" i="3"/>
  <c r="F56" i="3" s="1"/>
  <c r="C56" i="3"/>
  <c r="D55" i="3"/>
  <c r="F55" i="3" s="1"/>
  <c r="C55" i="3"/>
  <c r="D54" i="3"/>
  <c r="F54" i="3" s="1"/>
  <c r="C54" i="3"/>
  <c r="D53" i="3"/>
  <c r="F53" i="3" s="1"/>
  <c r="C53" i="3"/>
  <c r="D52" i="3"/>
  <c r="F52" i="3" s="1"/>
  <c r="C52" i="3"/>
  <c r="D51" i="3"/>
  <c r="F51" i="3" s="1"/>
  <c r="C51" i="3"/>
  <c r="D50" i="3"/>
  <c r="F50" i="3" s="1"/>
  <c r="C50" i="3"/>
  <c r="D49" i="3"/>
  <c r="F49" i="3" s="1"/>
  <c r="C49" i="3"/>
  <c r="D48" i="3"/>
  <c r="F48" i="3" s="1"/>
  <c r="C48" i="3"/>
  <c r="D47" i="3"/>
  <c r="F47" i="3" s="1"/>
  <c r="C47" i="3"/>
  <c r="D46" i="3"/>
  <c r="F46" i="3" s="1"/>
  <c r="C46" i="3"/>
  <c r="D45" i="3"/>
  <c r="F45" i="3" s="1"/>
  <c r="C45" i="3"/>
  <c r="D44" i="3"/>
  <c r="F44" i="3" s="1"/>
  <c r="C44" i="3"/>
  <c r="D43" i="3"/>
  <c r="F43" i="3" s="1"/>
  <c r="C43" i="3"/>
  <c r="D42" i="3"/>
  <c r="F42" i="3" s="1"/>
  <c r="C42" i="3"/>
  <c r="D41" i="3"/>
  <c r="F41" i="3" s="1"/>
  <c r="C41" i="3"/>
  <c r="D40" i="3"/>
  <c r="C40" i="3"/>
  <c r="D39" i="3"/>
  <c r="C39" i="3"/>
  <c r="D38" i="3"/>
  <c r="C38" i="3"/>
  <c r="D37" i="3"/>
  <c r="F37" i="3" s="1"/>
  <c r="C37" i="3"/>
  <c r="D36" i="3"/>
  <c r="F36" i="3" s="1"/>
  <c r="C36" i="3"/>
  <c r="D35" i="3"/>
  <c r="C35" i="3"/>
  <c r="D34" i="3"/>
  <c r="C34" i="3"/>
  <c r="D33" i="3"/>
  <c r="F33" i="3" s="1"/>
  <c r="C33" i="3"/>
  <c r="D32" i="3"/>
  <c r="F32" i="3" s="1"/>
  <c r="C32" i="3"/>
  <c r="D31" i="3"/>
  <c r="F31" i="3" s="1"/>
  <c r="C31" i="3"/>
  <c r="D30" i="3"/>
  <c r="F30" i="3" s="1"/>
  <c r="C30" i="3"/>
  <c r="D29" i="3"/>
  <c r="F29" i="3" s="1"/>
  <c r="C29" i="3"/>
  <c r="D28" i="3"/>
  <c r="F28" i="3" s="1"/>
  <c r="C28" i="3"/>
  <c r="D27" i="3"/>
  <c r="F27" i="3" s="1"/>
  <c r="C27" i="3"/>
  <c r="D26" i="3"/>
  <c r="F26" i="3" s="1"/>
  <c r="C26" i="3"/>
  <c r="D25" i="3"/>
  <c r="F25" i="3" s="1"/>
  <c r="C25" i="3"/>
  <c r="D24" i="3"/>
  <c r="F24" i="3" s="1"/>
  <c r="C24" i="3"/>
  <c r="D23" i="3"/>
  <c r="F23" i="3" s="1"/>
  <c r="C23" i="3"/>
  <c r="D22" i="3"/>
  <c r="F22" i="3" s="1"/>
  <c r="C22" i="3"/>
  <c r="D21" i="3"/>
  <c r="C21" i="3"/>
  <c r="D20" i="3"/>
  <c r="F20" i="3" s="1"/>
  <c r="C20" i="3"/>
  <c r="D19" i="3"/>
  <c r="C19" i="3"/>
  <c r="D18" i="3"/>
  <c r="F18" i="3" s="1"/>
  <c r="C18" i="3"/>
  <c r="D17" i="3"/>
  <c r="F17" i="3" s="1"/>
  <c r="C17" i="3"/>
  <c r="D16" i="3"/>
  <c r="F16" i="3" s="1"/>
  <c r="C16" i="3"/>
  <c r="D15" i="3"/>
  <c r="F15" i="3" s="1"/>
  <c r="C15" i="3"/>
  <c r="D14" i="3"/>
  <c r="F14" i="3" s="1"/>
  <c r="C14" i="3"/>
  <c r="D13" i="3"/>
  <c r="F13" i="3" s="1"/>
  <c r="C13" i="3"/>
  <c r="D12" i="3"/>
  <c r="F12" i="3" s="1"/>
  <c r="C12" i="3"/>
  <c r="D11" i="3"/>
  <c r="F11" i="3" s="1"/>
  <c r="C11" i="3"/>
  <c r="D10" i="3"/>
  <c r="F10" i="3" s="1"/>
  <c r="C10" i="3"/>
  <c r="D9" i="3"/>
  <c r="F9" i="3" s="1"/>
  <c r="C9" i="3"/>
  <c r="D8" i="3"/>
  <c r="F8" i="3" s="1"/>
  <c r="C8" i="3"/>
  <c r="D7" i="3"/>
  <c r="F7" i="3" s="1"/>
  <c r="C7" i="3"/>
  <c r="D6" i="3"/>
  <c r="F6" i="3" s="1"/>
  <c r="C6" i="3"/>
  <c r="D5" i="3"/>
  <c r="F5" i="3" s="1"/>
  <c r="C5" i="3"/>
  <c r="D4" i="3"/>
  <c r="F4" i="3" s="1"/>
  <c r="C4" i="3"/>
  <c r="D3" i="3"/>
  <c r="F3" i="3" s="1"/>
  <c r="C3" i="3"/>
  <c r="C2" i="3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85" i="2"/>
  <c r="D86" i="2"/>
  <c r="D87" i="2"/>
  <c r="D88" i="2"/>
  <c r="D89" i="2"/>
  <c r="D90" i="2"/>
  <c r="D91" i="2"/>
  <c r="D92" i="2"/>
  <c r="D93" i="2"/>
  <c r="D94" i="2"/>
  <c r="D95" i="2"/>
  <c r="D96" i="2"/>
  <c r="D97" i="2"/>
  <c r="D98" i="2"/>
  <c r="D99" i="2"/>
  <c r="D100" i="2"/>
  <c r="D101" i="2"/>
  <c r="D102" i="2"/>
  <c r="D103" i="2"/>
  <c r="D104" i="2"/>
  <c r="D105" i="2"/>
  <c r="D106" i="2"/>
  <c r="D107" i="2"/>
  <c r="D108" i="2"/>
  <c r="D109" i="2"/>
  <c r="D110" i="2"/>
  <c r="D111" i="2"/>
  <c r="D112" i="2"/>
  <c r="D113" i="2"/>
  <c r="D114" i="2"/>
  <c r="D115" i="2"/>
  <c r="D116" i="2"/>
  <c r="D117" i="2"/>
  <c r="D118" i="2"/>
  <c r="D119" i="2"/>
  <c r="D120" i="2"/>
  <c r="D121" i="2"/>
  <c r="D122" i="2"/>
  <c r="D123" i="2"/>
  <c r="D124" i="2"/>
  <c r="D125" i="2"/>
  <c r="D126" i="2"/>
  <c r="D127" i="2"/>
  <c r="D128" i="2"/>
  <c r="D129" i="2"/>
  <c r="D130" i="2"/>
  <c r="D131" i="2"/>
  <c r="D132" i="2"/>
  <c r="D133" i="2"/>
  <c r="D134" i="2"/>
  <c r="D135" i="2"/>
  <c r="D136" i="2"/>
  <c r="D137" i="2"/>
  <c r="D138" i="2"/>
  <c r="D139" i="2"/>
  <c r="D140" i="2"/>
  <c r="D141" i="2"/>
  <c r="D142" i="2"/>
  <c r="D143" i="2"/>
  <c r="D144" i="2"/>
  <c r="D145" i="2"/>
  <c r="D146" i="2"/>
  <c r="D147" i="2"/>
  <c r="D148" i="2"/>
  <c r="D149" i="2"/>
  <c r="D150" i="2"/>
  <c r="D151" i="2"/>
  <c r="D152" i="2"/>
  <c r="D153" i="2"/>
  <c r="D154" i="2"/>
  <c r="D155" i="2"/>
  <c r="D156" i="2"/>
  <c r="D157" i="2"/>
  <c r="D158" i="2"/>
  <c r="D159" i="2"/>
  <c r="D160" i="2"/>
  <c r="D161" i="2"/>
  <c r="D162" i="2"/>
  <c r="D163" i="2"/>
  <c r="D164" i="2"/>
  <c r="D165" i="2"/>
  <c r="D166" i="2"/>
  <c r="D167" i="2"/>
  <c r="D168" i="2"/>
  <c r="D169" i="2"/>
  <c r="D170" i="2"/>
  <c r="D171" i="2"/>
  <c r="D172" i="2"/>
  <c r="D173" i="2"/>
  <c r="D174" i="2"/>
  <c r="D175" i="2"/>
  <c r="D176" i="2"/>
  <c r="D177" i="2"/>
  <c r="D178" i="2"/>
  <c r="D179" i="2"/>
  <c r="D180" i="2"/>
  <c r="D181" i="2"/>
  <c r="D182" i="2"/>
  <c r="D183" i="2"/>
  <c r="D184" i="2"/>
  <c r="D185" i="2"/>
  <c r="D186" i="2"/>
  <c r="D187" i="2"/>
  <c r="D188" i="2"/>
  <c r="D189" i="2"/>
  <c r="D190" i="2"/>
  <c r="D191" i="2"/>
  <c r="D192" i="2"/>
  <c r="D193" i="2"/>
  <c r="D194" i="2"/>
  <c r="D195" i="2"/>
  <c r="D196" i="2"/>
  <c r="D197" i="2"/>
  <c r="D198" i="2"/>
  <c r="D199" i="2"/>
  <c r="D200" i="2"/>
  <c r="D201" i="2"/>
  <c r="D202" i="2"/>
  <c r="D203" i="2"/>
  <c r="D204" i="2"/>
  <c r="D205" i="2"/>
  <c r="C2" i="2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80" i="2"/>
  <c r="C81" i="2"/>
  <c r="C82" i="2"/>
  <c r="C83" i="2"/>
  <c r="C84" i="2"/>
  <c r="C85" i="2"/>
  <c r="C86" i="2"/>
  <c r="C87" i="2"/>
  <c r="C88" i="2"/>
  <c r="C89" i="2"/>
  <c r="C90" i="2"/>
  <c r="C91" i="2"/>
  <c r="C92" i="2"/>
  <c r="C93" i="2"/>
  <c r="C94" i="2"/>
  <c r="C95" i="2"/>
  <c r="C96" i="2"/>
  <c r="C97" i="2"/>
  <c r="C98" i="2"/>
  <c r="C99" i="2"/>
  <c r="C100" i="2"/>
  <c r="C101" i="2"/>
  <c r="C102" i="2"/>
  <c r="C103" i="2"/>
  <c r="C104" i="2"/>
  <c r="C105" i="2"/>
  <c r="C106" i="2"/>
  <c r="C107" i="2"/>
  <c r="C108" i="2"/>
  <c r="C109" i="2"/>
  <c r="C110" i="2"/>
  <c r="C111" i="2"/>
  <c r="C112" i="2"/>
  <c r="C113" i="2"/>
  <c r="C114" i="2"/>
  <c r="C115" i="2"/>
  <c r="C116" i="2"/>
  <c r="C117" i="2"/>
  <c r="C118" i="2"/>
  <c r="C119" i="2"/>
  <c r="C120" i="2"/>
  <c r="C121" i="2"/>
  <c r="C122" i="2"/>
  <c r="C123" i="2"/>
  <c r="C124" i="2"/>
  <c r="C125" i="2"/>
  <c r="C126" i="2"/>
  <c r="C127" i="2"/>
  <c r="C128" i="2"/>
  <c r="C129" i="2"/>
  <c r="C130" i="2"/>
  <c r="C131" i="2"/>
  <c r="C132" i="2"/>
  <c r="C133" i="2"/>
  <c r="C134" i="2"/>
  <c r="C135" i="2"/>
  <c r="C136" i="2"/>
  <c r="C137" i="2"/>
  <c r="C138" i="2"/>
  <c r="C139" i="2"/>
  <c r="C140" i="2"/>
  <c r="C141" i="2"/>
  <c r="C142" i="2"/>
  <c r="C143" i="2"/>
  <c r="C144" i="2"/>
  <c r="C145" i="2"/>
  <c r="C146" i="2"/>
  <c r="C147" i="2"/>
  <c r="C148" i="2"/>
  <c r="C149" i="2"/>
  <c r="C150" i="2"/>
  <c r="C151" i="2"/>
  <c r="C152" i="2"/>
  <c r="C153" i="2"/>
  <c r="C154" i="2"/>
  <c r="C155" i="2"/>
  <c r="C156" i="2"/>
  <c r="C157" i="2"/>
  <c r="C158" i="2"/>
  <c r="C159" i="2"/>
  <c r="C160" i="2"/>
  <c r="C161" i="2"/>
  <c r="C162" i="2"/>
  <c r="C163" i="2"/>
  <c r="C164" i="2"/>
  <c r="C165" i="2"/>
  <c r="C166" i="2"/>
  <c r="C167" i="2"/>
  <c r="C168" i="2"/>
  <c r="C169" i="2"/>
  <c r="C170" i="2"/>
  <c r="C171" i="2"/>
  <c r="C172" i="2"/>
  <c r="C173" i="2"/>
  <c r="C174" i="2"/>
  <c r="C175" i="2"/>
  <c r="C176" i="2"/>
  <c r="C177" i="2"/>
  <c r="C178" i="2"/>
  <c r="C179" i="2"/>
  <c r="C180" i="2"/>
  <c r="C181" i="2"/>
  <c r="C182" i="2"/>
  <c r="C183" i="2"/>
  <c r="C184" i="2"/>
  <c r="C185" i="2"/>
  <c r="C186" i="2"/>
  <c r="C187" i="2"/>
  <c r="C188" i="2"/>
  <c r="C189" i="2"/>
  <c r="C190" i="2"/>
  <c r="C191" i="2"/>
  <c r="C192" i="2"/>
  <c r="C193" i="2"/>
  <c r="C194" i="2"/>
  <c r="C195" i="2"/>
  <c r="C196" i="2"/>
  <c r="C197" i="2"/>
  <c r="C198" i="2"/>
  <c r="C199" i="2"/>
  <c r="C200" i="2"/>
  <c r="C201" i="2"/>
  <c r="C202" i="2"/>
  <c r="C203" i="2"/>
  <c r="C204" i="2"/>
  <c r="C205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51383F2-85D4-4644-9926-1A5D1EB576BE}" keepAlive="1" name="Zapytanie — gaz" description="Połączenie z zapytaniem „gaz” w skoroszycie." type="5" refreshedVersion="8" background="1" saveData="1">
    <dbPr connection="Provider=Microsoft.Mashup.OleDb.1;Data Source=$Workbook$;Location=gaz;Extended Properties=&quot;&quot;" command="SELECT * FROM [gaz]"/>
  </connection>
  <connection id="2" xr16:uid="{9F941277-7BFE-4F31-9DDD-D9ACDBEDE708}" keepAlive="1" name="Zapytanie — gaz (2)" description="Połączenie z zapytaniem „gaz (2)” w skoroszycie." type="5" refreshedVersion="8" background="1" saveData="1">
    <dbPr connection="Provider=Microsoft.Mashup.OleDb.1;Data Source=$Workbook$;Location=&quot;gaz (2)&quot;;Extended Properties=&quot;&quot;" command="SELECT * FROM [gaz (2)]"/>
  </connection>
</connections>
</file>

<file path=xl/sharedStrings.xml><?xml version="1.0" encoding="utf-8"?>
<sst xmlns="http://schemas.openxmlformats.org/spreadsheetml/2006/main" count="22" uniqueCount="14">
  <si>
    <t>Data odczytu</t>
  </si>
  <si>
    <t>Odczyt licznika</t>
  </si>
  <si>
    <t>Miesiac</t>
  </si>
  <si>
    <t>Zuzycie</t>
  </si>
  <si>
    <t>Etykiety wierszy</t>
  </si>
  <si>
    <t>Suma końcowa</t>
  </si>
  <si>
    <t>Średnia z Zuzycie</t>
  </si>
  <si>
    <t>rok</t>
  </si>
  <si>
    <t>cena</t>
  </si>
  <si>
    <t>Rok</t>
  </si>
  <si>
    <t>taryfa</t>
  </si>
  <si>
    <t>laczna oplata</t>
  </si>
  <si>
    <t>Oplata</t>
  </si>
  <si>
    <t>Suma z Oplata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</si>
</sst>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ny" xfId="0" builtinId="0"/>
  </cellStyles>
  <dxfs count="10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dd/mm/yyyy"/>
    </dxf>
    <dxf>
      <numFmt numFmtId="0" formatCode="General"/>
    </dxf>
    <dxf>
      <numFmt numFmtId="0" formatCode="General"/>
    </dxf>
    <dxf>
      <numFmt numFmtId="164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pivotCacheDefinition" Target="pivotCache/pivotCacheDefinition2.xml"/><Relationship Id="rId10" Type="http://schemas.openxmlformats.org/officeDocument/2006/relationships/calcChain" Target="calcChain.xml"/><Relationship Id="rId4" Type="http://schemas.openxmlformats.org/officeDocument/2006/relationships/pivotCacheDefinition" Target="pivotCache/pivotCacheDefinition1.xml"/><Relationship Id="rId9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eleko 2" refreshedDate="46041.362451388886" createdVersion="8" refreshedVersion="8" minRefreshableVersion="3" recordCount="204" xr:uid="{6A5A54FF-A8B8-429C-A045-DCB59A7955B8}">
  <cacheSource type="worksheet">
    <worksheetSource name="gaz"/>
  </cacheSource>
  <cacheFields count="4">
    <cacheField name="Data odczytu" numFmtId="14">
      <sharedItems containsSemiMixedTypes="0" containsNonDate="0" containsDate="1" containsString="0" minDate="2002-01-31T00:00:00" maxDate="2019-01-01T00:00:00"/>
    </cacheField>
    <cacheField name="Odczyt licznika" numFmtId="0">
      <sharedItems containsSemiMixedTypes="0" containsString="0" containsNumber="1" containsInteger="1" minValue="2283" maxValue="33734"/>
    </cacheField>
    <cacheField name="Miesiac" numFmtId="0">
      <sharedItems containsSemiMixedTypes="0" containsString="0" containsNumber="1" containsInteger="1" minValue="1" maxValue="12" count="12">
        <n v="1"/>
        <n v="2"/>
        <n v="3"/>
        <n v="4"/>
        <n v="5"/>
        <n v="6"/>
        <n v="7"/>
        <n v="8"/>
        <n v="9"/>
        <n v="10"/>
        <n v="11"/>
        <n v="12"/>
      </sharedItems>
    </cacheField>
    <cacheField name="Zuzycie" numFmtId="0">
      <sharedItems containsSemiMixedTypes="0" containsString="0" containsNumber="1" containsInteger="1" minValue="10" maxValue="37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eleko" refreshedDate="46098.841455787035" createdVersion="8" refreshedVersion="8" minRefreshableVersion="3" recordCount="204" xr:uid="{2F9C2675-A972-4DD4-8BF0-6C15B0B37331}">
  <cacheSource type="worksheet">
    <worksheetSource ref="O1:P205" sheet="zadanie 11.3"/>
  </cacheSource>
  <cacheFields count="2">
    <cacheField name="Rok" numFmtId="0">
      <sharedItems containsSemiMixedTypes="0" containsString="0" containsNumber="1" containsInteger="1" minValue="2002" maxValue="2018" count="17">
        <n v="2002"/>
        <n v="2003"/>
        <n v="2004"/>
        <n v="2005"/>
        <n v="2006"/>
        <n v="2007"/>
        <n v="2008"/>
        <n v="2009"/>
        <n v="2010"/>
        <n v="2011"/>
        <n v="2012"/>
        <n v="2013"/>
        <n v="2014"/>
        <n v="2015"/>
        <n v="2016"/>
        <n v="2017"/>
        <n v="2018"/>
      </sharedItems>
    </cacheField>
    <cacheField name="Oplata" numFmtId="0">
      <sharedItems containsSemiMixedTypes="0" containsString="0" containsNumber="1" minValue="79.8" maxValue="565.2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4">
  <r>
    <d v="2002-01-31T00:00:00"/>
    <n v="2283"/>
    <x v="0"/>
    <n v="200"/>
  </r>
  <r>
    <d v="2002-02-28T00:00:00"/>
    <n v="2518"/>
    <x v="1"/>
    <n v="235"/>
  </r>
  <r>
    <d v="2002-03-31T00:00:00"/>
    <n v="2696"/>
    <x v="2"/>
    <n v="178"/>
  </r>
  <r>
    <d v="2002-04-30T00:00:00"/>
    <n v="2857"/>
    <x v="3"/>
    <n v="161"/>
  </r>
  <r>
    <d v="2002-05-31T00:00:00"/>
    <n v="2917"/>
    <x v="4"/>
    <n v="60"/>
  </r>
  <r>
    <d v="2002-06-30T00:00:00"/>
    <n v="2952"/>
    <x v="5"/>
    <n v="35"/>
  </r>
  <r>
    <d v="2002-07-31T00:00:00"/>
    <n v="2979"/>
    <x v="6"/>
    <n v="27"/>
  </r>
  <r>
    <d v="2002-08-31T00:00:00"/>
    <n v="3009"/>
    <x v="7"/>
    <n v="30"/>
  </r>
  <r>
    <d v="2002-09-30T00:00:00"/>
    <n v="3040"/>
    <x v="8"/>
    <n v="31"/>
  </r>
  <r>
    <d v="2002-10-31T00:00:00"/>
    <n v="3116"/>
    <x v="9"/>
    <n v="76"/>
  </r>
  <r>
    <d v="2002-11-30T00:00:00"/>
    <n v="3222"/>
    <x v="10"/>
    <n v="106"/>
  </r>
  <r>
    <d v="2002-12-31T00:00:00"/>
    <n v="3393"/>
    <x v="11"/>
    <n v="171"/>
  </r>
  <r>
    <d v="2003-01-31T00:00:00"/>
    <n v="3613"/>
    <x v="0"/>
    <n v="220"/>
  </r>
  <r>
    <d v="2003-02-28T00:00:00"/>
    <n v="3891"/>
    <x v="1"/>
    <n v="278"/>
  </r>
  <r>
    <d v="2003-03-31T00:00:00"/>
    <n v="4151"/>
    <x v="2"/>
    <n v="260"/>
  </r>
  <r>
    <d v="2003-04-30T00:00:00"/>
    <n v="4401"/>
    <x v="3"/>
    <n v="250"/>
  </r>
  <r>
    <d v="2003-05-31T00:00:00"/>
    <n v="4553"/>
    <x v="4"/>
    <n v="152"/>
  </r>
  <r>
    <d v="2003-06-30T00:00:00"/>
    <n v="4639"/>
    <x v="5"/>
    <n v="86"/>
  </r>
  <r>
    <d v="2003-07-31T00:00:00"/>
    <n v="4654"/>
    <x v="6"/>
    <n v="15"/>
  </r>
  <r>
    <d v="2003-08-31T00:00:00"/>
    <n v="4669"/>
    <x v="7"/>
    <n v="15"/>
  </r>
  <r>
    <d v="2003-09-30T00:00:00"/>
    <n v="4819"/>
    <x v="8"/>
    <n v="150"/>
  </r>
  <r>
    <d v="2003-10-31T00:00:00"/>
    <n v="4976"/>
    <x v="9"/>
    <n v="157"/>
  </r>
  <r>
    <d v="2003-11-30T00:00:00"/>
    <n v="5078"/>
    <x v="10"/>
    <n v="102"/>
  </r>
  <r>
    <d v="2003-12-31T00:00:00"/>
    <n v="5260"/>
    <x v="11"/>
    <n v="182"/>
  </r>
  <r>
    <d v="2004-01-31T00:00:00"/>
    <n v="5508"/>
    <x v="0"/>
    <n v="248"/>
  </r>
  <r>
    <d v="2004-02-28T00:00:00"/>
    <n v="5754"/>
    <x v="1"/>
    <n v="246"/>
  </r>
  <r>
    <d v="2004-03-31T00:00:00"/>
    <n v="5945"/>
    <x v="2"/>
    <n v="191"/>
  </r>
  <r>
    <d v="2004-04-30T00:00:00"/>
    <n v="6050"/>
    <x v="3"/>
    <n v="105"/>
  </r>
  <r>
    <d v="2004-05-31T00:00:00"/>
    <n v="6146"/>
    <x v="4"/>
    <n v="96"/>
  </r>
  <r>
    <d v="2004-06-30T00:00:00"/>
    <n v="6173"/>
    <x v="5"/>
    <n v="27"/>
  </r>
  <r>
    <d v="2004-07-31T00:00:00"/>
    <n v="6183"/>
    <x v="6"/>
    <n v="10"/>
  </r>
  <r>
    <d v="2004-08-31T00:00:00"/>
    <n v="6195"/>
    <x v="7"/>
    <n v="12"/>
  </r>
  <r>
    <d v="2004-09-30T00:00:00"/>
    <n v="6304"/>
    <x v="8"/>
    <n v="109"/>
  </r>
  <r>
    <d v="2004-10-31T00:00:00"/>
    <n v="6459"/>
    <x v="9"/>
    <n v="155"/>
  </r>
  <r>
    <d v="2004-11-30T00:00:00"/>
    <n v="6737"/>
    <x v="10"/>
    <n v="278"/>
  </r>
  <r>
    <d v="2004-12-31T00:00:00"/>
    <n v="6997"/>
    <x v="11"/>
    <n v="260"/>
  </r>
  <r>
    <d v="2005-01-31T00:00:00"/>
    <n v="7247"/>
    <x v="0"/>
    <n v="250"/>
  </r>
  <r>
    <d v="2005-02-28T00:00:00"/>
    <n v="7399"/>
    <x v="1"/>
    <n v="152"/>
  </r>
  <r>
    <d v="2005-03-31T00:00:00"/>
    <n v="7584"/>
    <x v="2"/>
    <n v="185"/>
  </r>
  <r>
    <d v="2005-04-30T00:00:00"/>
    <n v="7745"/>
    <x v="3"/>
    <n v="161"/>
  </r>
  <r>
    <d v="2005-05-31T00:00:00"/>
    <n v="7935"/>
    <x v="4"/>
    <n v="190"/>
  </r>
  <r>
    <d v="2005-06-30T00:00:00"/>
    <n v="8043"/>
    <x v="5"/>
    <n v="108"/>
  </r>
  <r>
    <d v="2005-07-31T00:00:00"/>
    <n v="8062"/>
    <x v="6"/>
    <n v="19"/>
  </r>
  <r>
    <d v="2005-08-31T00:00:00"/>
    <n v="8081"/>
    <x v="7"/>
    <n v="19"/>
  </r>
  <r>
    <d v="2005-09-30T00:00:00"/>
    <n v="8269"/>
    <x v="8"/>
    <n v="188"/>
  </r>
  <r>
    <d v="2005-10-31T00:00:00"/>
    <n v="8465"/>
    <x v="9"/>
    <n v="196"/>
  </r>
  <r>
    <d v="2005-11-30T00:00:00"/>
    <n v="8592"/>
    <x v="10"/>
    <n v="127"/>
  </r>
  <r>
    <d v="2005-12-31T00:00:00"/>
    <n v="8819"/>
    <x v="11"/>
    <n v="227"/>
  </r>
  <r>
    <d v="2006-01-31T00:00:00"/>
    <n v="9129"/>
    <x v="0"/>
    <n v="310"/>
  </r>
  <r>
    <d v="2006-02-28T00:00:00"/>
    <n v="9424"/>
    <x v="1"/>
    <n v="295"/>
  </r>
  <r>
    <d v="2006-03-31T00:00:00"/>
    <n v="9662"/>
    <x v="2"/>
    <n v="238"/>
  </r>
  <r>
    <d v="2006-04-30T00:00:00"/>
    <n v="9778"/>
    <x v="3"/>
    <n v="116"/>
  </r>
  <r>
    <d v="2006-05-31T00:00:00"/>
    <n v="9884"/>
    <x v="4"/>
    <n v="106"/>
  </r>
  <r>
    <d v="2006-06-30T00:00:00"/>
    <n v="9914"/>
    <x v="5"/>
    <n v="30"/>
  </r>
  <r>
    <d v="2006-07-31T00:00:00"/>
    <n v="9925"/>
    <x v="6"/>
    <n v="11"/>
  </r>
  <r>
    <d v="2006-08-31T00:00:00"/>
    <n v="9938"/>
    <x v="7"/>
    <n v="13"/>
  </r>
  <r>
    <d v="2006-09-30T00:00:00"/>
    <n v="10059"/>
    <x v="8"/>
    <n v="121"/>
  </r>
  <r>
    <d v="2006-10-31T00:00:00"/>
    <n v="10211"/>
    <x v="9"/>
    <n v="152"/>
  </r>
  <r>
    <d v="2006-11-30T00:00:00"/>
    <n v="10486"/>
    <x v="10"/>
    <n v="275"/>
  </r>
  <r>
    <d v="2006-12-31T00:00:00"/>
    <n v="10742"/>
    <x v="11"/>
    <n v="256"/>
  </r>
  <r>
    <d v="2007-01-31T00:00:00"/>
    <n v="10988"/>
    <x v="0"/>
    <n v="246"/>
  </r>
  <r>
    <d v="2007-02-28T00:00:00"/>
    <n v="11138"/>
    <x v="1"/>
    <n v="150"/>
  </r>
  <r>
    <d v="2007-03-31T00:00:00"/>
    <n v="11321"/>
    <x v="2"/>
    <n v="183"/>
  </r>
  <r>
    <d v="2007-04-30T00:00:00"/>
    <n v="11481"/>
    <x v="3"/>
    <n v="160"/>
  </r>
  <r>
    <d v="2007-05-31T00:00:00"/>
    <n v="11669"/>
    <x v="4"/>
    <n v="188"/>
  </r>
  <r>
    <d v="2007-06-30T00:00:00"/>
    <n v="11776"/>
    <x v="5"/>
    <n v="107"/>
  </r>
  <r>
    <d v="2007-07-31T00:00:00"/>
    <n v="11795"/>
    <x v="6"/>
    <n v="19"/>
  </r>
  <r>
    <d v="2007-08-31T00:00:00"/>
    <n v="11814"/>
    <x v="7"/>
    <n v="19"/>
  </r>
  <r>
    <d v="2007-09-30T00:00:00"/>
    <n v="11901"/>
    <x v="8"/>
    <n v="87"/>
  </r>
  <r>
    <d v="2007-10-31T00:00:00"/>
    <n v="12044"/>
    <x v="9"/>
    <n v="143"/>
  </r>
  <r>
    <d v="2007-11-30T00:00:00"/>
    <n v="12170"/>
    <x v="10"/>
    <n v="126"/>
  </r>
  <r>
    <d v="2007-12-31T00:00:00"/>
    <n v="12395"/>
    <x v="11"/>
    <n v="225"/>
  </r>
  <r>
    <d v="2008-01-31T00:00:00"/>
    <n v="12702"/>
    <x v="0"/>
    <n v="307"/>
  </r>
  <r>
    <d v="2008-02-28T00:00:00"/>
    <n v="13025"/>
    <x v="1"/>
    <n v="323"/>
  </r>
  <r>
    <d v="2008-03-31T00:00:00"/>
    <n v="13261"/>
    <x v="2"/>
    <n v="236"/>
  </r>
  <r>
    <d v="2008-04-30T00:00:00"/>
    <n v="13376"/>
    <x v="3"/>
    <n v="115"/>
  </r>
  <r>
    <d v="2008-05-31T00:00:00"/>
    <n v="13478"/>
    <x v="4"/>
    <n v="102"/>
  </r>
  <r>
    <d v="2008-06-30T00:00:00"/>
    <n v="13506"/>
    <x v="5"/>
    <n v="28"/>
  </r>
  <r>
    <d v="2008-07-31T00:00:00"/>
    <n v="13516"/>
    <x v="6"/>
    <n v="10"/>
  </r>
  <r>
    <d v="2008-08-31T00:00:00"/>
    <n v="13529"/>
    <x v="7"/>
    <n v="13"/>
  </r>
  <r>
    <d v="2008-09-30T00:00:00"/>
    <n v="13645"/>
    <x v="8"/>
    <n v="116"/>
  </r>
  <r>
    <d v="2008-10-31T00:00:00"/>
    <n v="13791"/>
    <x v="9"/>
    <n v="146"/>
  </r>
  <r>
    <d v="2008-11-30T00:00:00"/>
    <n v="14055"/>
    <x v="10"/>
    <n v="264"/>
  </r>
  <r>
    <d v="2008-12-31T00:00:00"/>
    <n v="14301"/>
    <x v="11"/>
    <n v="246"/>
  </r>
  <r>
    <d v="2009-01-31T00:00:00"/>
    <n v="14537"/>
    <x v="0"/>
    <n v="236"/>
  </r>
  <r>
    <d v="2009-02-28T00:00:00"/>
    <n v="14827"/>
    <x v="1"/>
    <n v="290"/>
  </r>
  <r>
    <d v="2009-03-31T00:00:00"/>
    <n v="15002"/>
    <x v="2"/>
    <n v="175"/>
  </r>
  <r>
    <d v="2009-04-30T00:00:00"/>
    <n v="15155"/>
    <x v="3"/>
    <n v="153"/>
  </r>
  <r>
    <d v="2009-05-31T00:00:00"/>
    <n v="15335"/>
    <x v="4"/>
    <n v="180"/>
  </r>
  <r>
    <d v="2009-06-30T00:00:00"/>
    <n v="15437"/>
    <x v="5"/>
    <n v="102"/>
  </r>
  <r>
    <d v="2009-07-31T00:00:00"/>
    <n v="15455"/>
    <x v="6"/>
    <n v="18"/>
  </r>
  <r>
    <d v="2009-08-31T00:00:00"/>
    <n v="15474"/>
    <x v="7"/>
    <n v="19"/>
  </r>
  <r>
    <d v="2009-09-30T00:00:00"/>
    <n v="15557"/>
    <x v="8"/>
    <n v="83"/>
  </r>
  <r>
    <d v="2009-10-31T00:00:00"/>
    <n v="15694"/>
    <x v="9"/>
    <n v="137"/>
  </r>
  <r>
    <d v="2009-11-30T00:00:00"/>
    <n v="15835"/>
    <x v="10"/>
    <n v="141"/>
  </r>
  <r>
    <d v="2009-12-31T00:00:00"/>
    <n v="16087"/>
    <x v="11"/>
    <n v="252"/>
  </r>
  <r>
    <d v="2010-01-31T00:00:00"/>
    <n v="16431"/>
    <x v="0"/>
    <n v="344"/>
  </r>
  <r>
    <d v="2010-02-28T00:00:00"/>
    <n v="16792"/>
    <x v="1"/>
    <n v="361"/>
  </r>
  <r>
    <d v="2010-03-31T00:00:00"/>
    <n v="17057"/>
    <x v="2"/>
    <n v="265"/>
  </r>
  <r>
    <d v="2010-04-30T00:00:00"/>
    <n v="17186"/>
    <x v="3"/>
    <n v="129"/>
  </r>
  <r>
    <d v="2010-05-31T00:00:00"/>
    <n v="17301"/>
    <x v="4"/>
    <n v="115"/>
  </r>
  <r>
    <d v="2010-06-30T00:00:00"/>
    <n v="17332"/>
    <x v="5"/>
    <n v="31"/>
  </r>
  <r>
    <d v="2010-07-31T00:00:00"/>
    <n v="17352"/>
    <x v="6"/>
    <n v="20"/>
  </r>
  <r>
    <d v="2010-08-31T00:00:00"/>
    <n v="17367"/>
    <x v="7"/>
    <n v="15"/>
  </r>
  <r>
    <d v="2010-09-30T00:00:00"/>
    <n v="17517"/>
    <x v="8"/>
    <n v="150"/>
  </r>
  <r>
    <d v="2010-10-31T00:00:00"/>
    <n v="17708"/>
    <x v="9"/>
    <n v="191"/>
  </r>
  <r>
    <d v="2010-11-30T00:00:00"/>
    <n v="18052"/>
    <x v="10"/>
    <n v="344"/>
  </r>
  <r>
    <d v="2010-12-31T00:00:00"/>
    <n v="18372"/>
    <x v="11"/>
    <n v="320"/>
  </r>
  <r>
    <d v="2011-01-31T00:00:00"/>
    <n v="18680"/>
    <x v="0"/>
    <n v="308"/>
  </r>
  <r>
    <d v="2011-02-28T00:00:00"/>
    <n v="19057"/>
    <x v="1"/>
    <n v="377"/>
  </r>
  <r>
    <d v="2011-03-31T00:00:00"/>
    <n v="19285"/>
    <x v="2"/>
    <n v="228"/>
  </r>
  <r>
    <d v="2011-04-30T00:00:00"/>
    <n v="19431"/>
    <x v="3"/>
    <n v="146"/>
  </r>
  <r>
    <d v="2011-05-31T00:00:00"/>
    <n v="19604"/>
    <x v="4"/>
    <n v="173"/>
  </r>
  <r>
    <d v="2011-06-30T00:00:00"/>
    <n v="19702"/>
    <x v="5"/>
    <n v="98"/>
  </r>
  <r>
    <d v="2011-07-31T00:00:00"/>
    <n v="19718"/>
    <x v="6"/>
    <n v="16"/>
  </r>
  <r>
    <d v="2011-08-31T00:00:00"/>
    <n v="19735"/>
    <x v="7"/>
    <n v="17"/>
  </r>
  <r>
    <d v="2011-09-30T00:00:00"/>
    <n v="19815"/>
    <x v="8"/>
    <n v="80"/>
  </r>
  <r>
    <d v="2011-10-31T00:00:00"/>
    <n v="19946"/>
    <x v="9"/>
    <n v="131"/>
  </r>
  <r>
    <d v="2011-11-30T00:00:00"/>
    <n v="20081"/>
    <x v="10"/>
    <n v="135"/>
  </r>
  <r>
    <d v="2011-12-31T00:00:00"/>
    <n v="20323"/>
    <x v="11"/>
    <n v="242"/>
  </r>
  <r>
    <d v="2012-01-31T00:00:00"/>
    <n v="20653"/>
    <x v="0"/>
    <n v="330"/>
  </r>
  <r>
    <d v="2012-02-28T00:00:00"/>
    <n v="21000"/>
    <x v="1"/>
    <n v="347"/>
  </r>
  <r>
    <d v="2012-03-31T00:00:00"/>
    <n v="21254"/>
    <x v="2"/>
    <n v="254"/>
  </r>
  <r>
    <d v="2012-04-30T00:00:00"/>
    <n v="21377"/>
    <x v="3"/>
    <n v="123"/>
  </r>
  <r>
    <d v="2012-05-31T00:00:00"/>
    <n v="21487"/>
    <x v="4"/>
    <n v="110"/>
  </r>
  <r>
    <d v="2012-06-30T00:00:00"/>
    <n v="21517"/>
    <x v="5"/>
    <n v="30"/>
  </r>
  <r>
    <d v="2012-07-31T00:00:00"/>
    <n v="21536"/>
    <x v="6"/>
    <n v="19"/>
  </r>
  <r>
    <d v="2012-08-31T00:00:00"/>
    <n v="21550"/>
    <x v="7"/>
    <n v="14"/>
  </r>
  <r>
    <d v="2012-09-30T00:00:00"/>
    <n v="21695"/>
    <x v="8"/>
    <n v="145"/>
  </r>
  <r>
    <d v="2012-10-31T00:00:00"/>
    <n v="21878"/>
    <x v="9"/>
    <n v="183"/>
  </r>
  <r>
    <d v="2012-11-30T00:00:00"/>
    <n v="22208"/>
    <x v="10"/>
    <n v="330"/>
  </r>
  <r>
    <d v="2012-12-31T00:00:00"/>
    <n v="22516"/>
    <x v="11"/>
    <n v="308"/>
  </r>
  <r>
    <d v="2013-01-31T00:00:00"/>
    <n v="22811"/>
    <x v="0"/>
    <n v="295"/>
  </r>
  <r>
    <d v="2013-02-28T00:00:00"/>
    <n v="23173"/>
    <x v="1"/>
    <n v="362"/>
  </r>
  <r>
    <d v="2013-03-31T00:00:00"/>
    <n v="23392"/>
    <x v="2"/>
    <n v="219"/>
  </r>
  <r>
    <d v="2013-04-30T00:00:00"/>
    <n v="23533"/>
    <x v="3"/>
    <n v="141"/>
  </r>
  <r>
    <d v="2013-05-31T00:00:00"/>
    <n v="23699"/>
    <x v="4"/>
    <n v="166"/>
  </r>
  <r>
    <d v="2013-06-30T00:00:00"/>
    <n v="23793"/>
    <x v="5"/>
    <n v="94"/>
  </r>
  <r>
    <d v="2013-07-31T00:00:00"/>
    <n v="23809"/>
    <x v="6"/>
    <n v="16"/>
  </r>
  <r>
    <d v="2013-08-31T00:00:00"/>
    <n v="23825"/>
    <x v="7"/>
    <n v="16"/>
  </r>
  <r>
    <d v="2013-09-30T00:00:00"/>
    <n v="23902"/>
    <x v="8"/>
    <n v="77"/>
  </r>
  <r>
    <d v="2013-10-31T00:00:00"/>
    <n v="24028"/>
    <x v="9"/>
    <n v="126"/>
  </r>
  <r>
    <d v="2013-11-30T00:00:00"/>
    <n v="24158"/>
    <x v="10"/>
    <n v="130"/>
  </r>
  <r>
    <d v="2013-12-31T00:00:00"/>
    <n v="24390"/>
    <x v="11"/>
    <n v="232"/>
  </r>
  <r>
    <d v="2014-01-31T00:00:00"/>
    <n v="24707"/>
    <x v="0"/>
    <n v="317"/>
  </r>
  <r>
    <d v="2014-02-28T00:00:00"/>
    <n v="25040"/>
    <x v="1"/>
    <n v="333"/>
  </r>
  <r>
    <d v="2014-03-31T00:00:00"/>
    <n v="25284"/>
    <x v="2"/>
    <n v="244"/>
  </r>
  <r>
    <d v="2014-04-30T00:00:00"/>
    <n v="25403"/>
    <x v="3"/>
    <n v="119"/>
  </r>
  <r>
    <d v="2014-05-31T00:00:00"/>
    <n v="25508"/>
    <x v="4"/>
    <n v="105"/>
  </r>
  <r>
    <d v="2014-06-30T00:00:00"/>
    <n v="25537"/>
    <x v="5"/>
    <n v="29"/>
  </r>
  <r>
    <d v="2014-07-31T00:00:00"/>
    <n v="25556"/>
    <x v="6"/>
    <n v="19"/>
  </r>
  <r>
    <d v="2014-08-31T00:00:00"/>
    <n v="25569"/>
    <x v="7"/>
    <n v="13"/>
  </r>
  <r>
    <d v="2014-09-30T00:00:00"/>
    <n v="25708"/>
    <x v="8"/>
    <n v="139"/>
  </r>
  <r>
    <d v="2014-10-31T00:00:00"/>
    <n v="25883"/>
    <x v="9"/>
    <n v="175"/>
  </r>
  <r>
    <d v="2014-11-30T00:00:00"/>
    <n v="26183"/>
    <x v="10"/>
    <n v="300"/>
  </r>
  <r>
    <d v="2014-12-31T00:00:00"/>
    <n v="26478"/>
    <x v="11"/>
    <n v="295"/>
  </r>
  <r>
    <d v="2015-01-31T00:00:00"/>
    <n v="26808"/>
    <x v="0"/>
    <n v="330"/>
  </r>
  <r>
    <d v="2015-02-28T00:00:00"/>
    <n v="27156"/>
    <x v="1"/>
    <n v="348"/>
  </r>
  <r>
    <d v="2015-03-31T00:00:00"/>
    <n v="27366"/>
    <x v="2"/>
    <n v="210"/>
  </r>
  <r>
    <d v="2015-04-30T00:00:00"/>
    <n v="27501"/>
    <x v="3"/>
    <n v="135"/>
  </r>
  <r>
    <d v="2015-05-31T00:00:00"/>
    <n v="27661"/>
    <x v="4"/>
    <n v="160"/>
  </r>
  <r>
    <d v="2015-06-30T00:00:00"/>
    <n v="27752"/>
    <x v="5"/>
    <n v="91"/>
  </r>
  <r>
    <d v="2015-07-31T00:00:00"/>
    <n v="27767"/>
    <x v="6"/>
    <n v="15"/>
  </r>
  <r>
    <d v="2015-08-31T00:00:00"/>
    <n v="27783"/>
    <x v="7"/>
    <n v="16"/>
  </r>
  <r>
    <d v="2015-09-30T00:00:00"/>
    <n v="27857"/>
    <x v="8"/>
    <n v="74"/>
  </r>
  <r>
    <d v="2015-10-31T00:00:00"/>
    <n v="27978"/>
    <x v="9"/>
    <n v="121"/>
  </r>
  <r>
    <d v="2015-11-30T00:00:00"/>
    <n v="28103"/>
    <x v="10"/>
    <n v="125"/>
  </r>
  <r>
    <d v="2015-12-31T00:00:00"/>
    <n v="28326"/>
    <x v="11"/>
    <n v="223"/>
  </r>
  <r>
    <d v="2016-01-31T00:00:00"/>
    <n v="28631"/>
    <x v="0"/>
    <n v="305"/>
  </r>
  <r>
    <d v="2016-02-28T00:00:00"/>
    <n v="28931"/>
    <x v="1"/>
    <n v="300"/>
  </r>
  <r>
    <d v="2016-03-31T00:00:00"/>
    <n v="29165"/>
    <x v="2"/>
    <n v="234"/>
  </r>
  <r>
    <d v="2016-04-30T00:00:00"/>
    <n v="29279"/>
    <x v="3"/>
    <n v="114"/>
  </r>
  <r>
    <d v="2016-05-31T00:00:00"/>
    <n v="29381"/>
    <x v="4"/>
    <n v="102"/>
  </r>
  <r>
    <d v="2016-06-30T00:00:00"/>
    <n v="29409"/>
    <x v="5"/>
    <n v="28"/>
  </r>
  <r>
    <d v="2016-07-31T00:00:00"/>
    <n v="29427"/>
    <x v="6"/>
    <n v="18"/>
  </r>
  <r>
    <d v="2016-08-31T00:00:00"/>
    <n v="29440"/>
    <x v="7"/>
    <n v="13"/>
  </r>
  <r>
    <d v="2016-09-30T00:00:00"/>
    <n v="29574"/>
    <x v="8"/>
    <n v="134"/>
  </r>
  <r>
    <d v="2016-10-31T00:00:00"/>
    <n v="29743"/>
    <x v="9"/>
    <n v="169"/>
  </r>
  <r>
    <d v="2016-11-30T00:00:00"/>
    <n v="30031"/>
    <x v="10"/>
    <n v="288"/>
  </r>
  <r>
    <d v="2016-12-31T00:00:00"/>
    <n v="30314"/>
    <x v="11"/>
    <n v="283"/>
  </r>
  <r>
    <d v="2017-01-31T00:00:00"/>
    <n v="30630"/>
    <x v="0"/>
    <n v="316"/>
  </r>
  <r>
    <d v="2017-02-28T00:00:00"/>
    <n v="30964"/>
    <x v="1"/>
    <n v="334"/>
  </r>
  <r>
    <d v="2017-03-31T00:00:00"/>
    <n v="31166"/>
    <x v="2"/>
    <n v="202"/>
  </r>
  <r>
    <d v="2017-04-30T00:00:00"/>
    <n v="31296"/>
    <x v="3"/>
    <n v="130"/>
  </r>
  <r>
    <d v="2017-05-31T00:00:00"/>
    <n v="31449"/>
    <x v="4"/>
    <n v="153"/>
  </r>
  <r>
    <d v="2017-06-30T00:00:00"/>
    <n v="31535"/>
    <x v="5"/>
    <n v="86"/>
  </r>
  <r>
    <d v="2017-07-31T00:00:00"/>
    <n v="31550"/>
    <x v="6"/>
    <n v="15"/>
  </r>
  <r>
    <d v="2017-08-31T00:00:00"/>
    <n v="31565"/>
    <x v="7"/>
    <n v="15"/>
  </r>
  <r>
    <d v="2017-09-30T00:00:00"/>
    <n v="31635"/>
    <x v="8"/>
    <n v="70"/>
  </r>
  <r>
    <d v="2017-10-31T00:00:00"/>
    <n v="31751"/>
    <x v="9"/>
    <n v="116"/>
  </r>
  <r>
    <d v="2017-11-30T00:00:00"/>
    <n v="31871"/>
    <x v="10"/>
    <n v="120"/>
  </r>
  <r>
    <d v="2017-12-31T00:00:00"/>
    <n v="32085"/>
    <x v="11"/>
    <n v="214"/>
  </r>
  <r>
    <d v="2018-01-31T00:00:00"/>
    <n v="32376"/>
    <x v="0"/>
    <n v="291"/>
  </r>
  <r>
    <d v="2018-02-28T00:00:00"/>
    <n v="32621"/>
    <x v="1"/>
    <n v="245"/>
  </r>
  <r>
    <d v="2018-03-31T00:00:00"/>
    <n v="32846"/>
    <x v="2"/>
    <n v="225"/>
  </r>
  <r>
    <d v="2018-04-30T00:00:00"/>
    <n v="32955"/>
    <x v="3"/>
    <n v="109"/>
  </r>
  <r>
    <d v="2018-05-31T00:00:00"/>
    <n v="33003"/>
    <x v="4"/>
    <n v="48"/>
  </r>
  <r>
    <d v="2018-06-30T00:00:00"/>
    <n v="33030"/>
    <x v="5"/>
    <n v="27"/>
  </r>
  <r>
    <d v="2018-07-31T00:00:00"/>
    <n v="33046"/>
    <x v="6"/>
    <n v="16"/>
  </r>
  <r>
    <d v="2018-08-31T00:00:00"/>
    <n v="33058"/>
    <x v="7"/>
    <n v="12"/>
  </r>
  <r>
    <d v="2018-09-30T00:00:00"/>
    <n v="33186"/>
    <x v="8"/>
    <n v="128"/>
  </r>
  <r>
    <d v="2018-10-31T00:00:00"/>
    <n v="33323"/>
    <x v="9"/>
    <n v="137"/>
  </r>
  <r>
    <d v="2018-11-30T00:00:00"/>
    <n v="33483"/>
    <x v="10"/>
    <n v="160"/>
  </r>
  <r>
    <d v="2018-12-31T00:00:00"/>
    <n v="33734"/>
    <x v="11"/>
    <n v="251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4">
  <r>
    <x v="0"/>
    <n v="288"/>
  </r>
  <r>
    <x v="0"/>
    <n v="352.65"/>
  </r>
  <r>
    <x v="0"/>
    <n v="266.22000000000003"/>
  </r>
  <r>
    <x v="0"/>
    <n v="249.39"/>
  </r>
  <r>
    <x v="0"/>
    <n v="129.4"/>
  </r>
  <r>
    <x v="0"/>
    <n v="104.65"/>
  </r>
  <r>
    <x v="0"/>
    <n v="96.73"/>
  </r>
  <r>
    <x v="0"/>
    <n v="99.7"/>
  </r>
  <r>
    <x v="0"/>
    <n v="100.69"/>
  </r>
  <r>
    <x v="0"/>
    <n v="145.24"/>
  </r>
  <r>
    <x v="0"/>
    <n v="194.94"/>
  </r>
  <r>
    <x v="0"/>
    <n v="259.28999999999996"/>
  </r>
  <r>
    <x v="1"/>
    <n v="337.8"/>
  </r>
  <r>
    <x v="1"/>
    <n v="395.21999999999997"/>
  </r>
  <r>
    <x v="1"/>
    <n v="377.4"/>
  </r>
  <r>
    <x v="1"/>
    <n v="367.5"/>
  </r>
  <r>
    <x v="1"/>
    <n v="240.48"/>
  </r>
  <r>
    <x v="1"/>
    <n v="155.13999999999999"/>
  </r>
  <r>
    <x v="1"/>
    <n v="84.85"/>
  </r>
  <r>
    <x v="1"/>
    <n v="84.85"/>
  </r>
  <r>
    <x v="1"/>
    <n v="238.5"/>
  </r>
  <r>
    <x v="1"/>
    <n v="245.43"/>
  </r>
  <r>
    <x v="1"/>
    <n v="190.98000000000002"/>
  </r>
  <r>
    <x v="1"/>
    <n v="270.18"/>
  </r>
  <r>
    <x v="2"/>
    <n v="363.03999999999996"/>
  </r>
  <r>
    <x v="2"/>
    <n v="361.08"/>
  </r>
  <r>
    <x v="2"/>
    <n v="277.18"/>
  </r>
  <r>
    <x v="2"/>
    <n v="192.89999999999998"/>
  </r>
  <r>
    <x v="2"/>
    <n v="164.07999999999998"/>
  </r>
  <r>
    <x v="2"/>
    <n v="96.460000000000008"/>
  </r>
  <r>
    <x v="2"/>
    <n v="79.8"/>
  </r>
  <r>
    <x v="2"/>
    <n v="81.760000000000005"/>
  </r>
  <r>
    <x v="2"/>
    <n v="196.82"/>
  </r>
  <r>
    <x v="2"/>
    <n v="241.9"/>
  </r>
  <r>
    <x v="2"/>
    <n v="392.44"/>
  </r>
  <r>
    <x v="2"/>
    <n v="374.79999999999995"/>
  </r>
  <r>
    <x v="3"/>
    <n v="375"/>
  </r>
  <r>
    <x v="3"/>
    <n v="245.04"/>
  </r>
  <r>
    <x v="3"/>
    <n v="278.70000000000005"/>
  </r>
  <r>
    <x v="3"/>
    <n v="254.22"/>
  </r>
  <r>
    <x v="3"/>
    <n v="283.8"/>
  </r>
  <r>
    <x v="3"/>
    <n v="200.16"/>
  </r>
  <r>
    <x v="3"/>
    <n v="89.38"/>
  </r>
  <r>
    <x v="3"/>
    <n v="89.38"/>
  </r>
  <r>
    <x v="3"/>
    <n v="281.76"/>
  </r>
  <r>
    <x v="3"/>
    <n v="289.92"/>
  </r>
  <r>
    <x v="3"/>
    <n v="219.54"/>
  </r>
  <r>
    <x v="3"/>
    <n v="351.53999999999996"/>
  </r>
  <r>
    <x v="4"/>
    <n v="436.2"/>
  </r>
  <r>
    <x v="4"/>
    <n v="420.9"/>
  </r>
  <r>
    <x v="4"/>
    <n v="362.76"/>
  </r>
  <r>
    <x v="4"/>
    <n v="208.32"/>
  </r>
  <r>
    <x v="4"/>
    <n v="198.12"/>
  </r>
  <r>
    <x v="4"/>
    <n v="100.6"/>
  </r>
  <r>
    <x v="4"/>
    <n v="81.22"/>
  </r>
  <r>
    <x v="4"/>
    <n v="83.26"/>
  </r>
  <r>
    <x v="4"/>
    <n v="213.42000000000002"/>
  </r>
  <r>
    <x v="4"/>
    <n v="245.04"/>
  </r>
  <r>
    <x v="4"/>
    <n v="400.5"/>
  </r>
  <r>
    <x v="4"/>
    <n v="381.12"/>
  </r>
  <r>
    <x v="5"/>
    <n v="375.84000000000003"/>
  </r>
  <r>
    <x v="5"/>
    <n v="246"/>
  </r>
  <r>
    <x v="5"/>
    <n v="280.32"/>
  </r>
  <r>
    <x v="5"/>
    <n v="256.39999999999998"/>
  </r>
  <r>
    <x v="5"/>
    <n v="285.52"/>
  </r>
  <r>
    <x v="5"/>
    <n v="201.28"/>
  </r>
  <r>
    <x v="5"/>
    <n v="89.76"/>
  </r>
  <r>
    <x v="5"/>
    <n v="89.76"/>
  </r>
  <r>
    <x v="5"/>
    <n v="160.48000000000002"/>
  </r>
  <r>
    <x v="5"/>
    <n v="238.72"/>
  </r>
  <r>
    <x v="5"/>
    <n v="221.04"/>
  </r>
  <r>
    <x v="5"/>
    <n v="354"/>
  </r>
  <r>
    <x v="6"/>
    <n v="442.35"/>
  </r>
  <r>
    <x v="6"/>
    <n v="459.15000000000003"/>
  </r>
  <r>
    <x v="6"/>
    <n v="367.8"/>
  </r>
  <r>
    <x v="6"/>
    <n v="210.75"/>
  </r>
  <r>
    <x v="6"/>
    <n v="197.10000000000002"/>
  </r>
  <r>
    <x v="6"/>
    <n v="99.4"/>
  </r>
  <r>
    <x v="6"/>
    <n v="80.5"/>
  </r>
  <r>
    <x v="6"/>
    <n v="83.65"/>
  </r>
  <r>
    <x v="6"/>
    <n v="211.8"/>
  </r>
  <r>
    <x v="6"/>
    <n v="243.3"/>
  </r>
  <r>
    <x v="6"/>
    <n v="397.2"/>
  </r>
  <r>
    <x v="6"/>
    <n v="378.3"/>
  </r>
  <r>
    <x v="7"/>
    <n v="372.52"/>
  </r>
  <r>
    <x v="7"/>
    <n v="430.3"/>
  </r>
  <r>
    <x v="7"/>
    <n v="277.25"/>
  </r>
  <r>
    <x v="7"/>
    <n v="253.71"/>
  </r>
  <r>
    <x v="7"/>
    <n v="282.60000000000002"/>
  </r>
  <r>
    <x v="7"/>
    <n v="199.14"/>
  </r>
  <r>
    <x v="7"/>
    <n v="89.26"/>
  </r>
  <r>
    <x v="7"/>
    <n v="90.33"/>
  </r>
  <r>
    <x v="7"/>
    <n v="158.81"/>
  </r>
  <r>
    <x v="7"/>
    <n v="236.59"/>
  </r>
  <r>
    <x v="7"/>
    <n v="240.87"/>
  </r>
  <r>
    <x v="7"/>
    <n v="389.64000000000004"/>
  </r>
  <r>
    <x v="8"/>
    <n v="501.84000000000003"/>
  </r>
  <r>
    <x v="8"/>
    <n v="520.71"/>
  </r>
  <r>
    <x v="8"/>
    <n v="414.15000000000003"/>
  </r>
  <r>
    <x v="8"/>
    <n v="233.19000000000003"/>
  </r>
  <r>
    <x v="8"/>
    <n v="217.65"/>
  </r>
  <r>
    <x v="8"/>
    <n v="104.41"/>
  </r>
  <r>
    <x v="8"/>
    <n v="92.2"/>
  </r>
  <r>
    <x v="8"/>
    <n v="86.65"/>
  </r>
  <r>
    <x v="8"/>
    <n v="256.5"/>
  </r>
  <r>
    <x v="8"/>
    <n v="302.01"/>
  </r>
  <r>
    <x v="8"/>
    <n v="501.84000000000003"/>
  </r>
  <r>
    <x v="8"/>
    <n v="475.20000000000005"/>
  </r>
  <r>
    <x v="9"/>
    <n v="483.44"/>
  </r>
  <r>
    <x v="9"/>
    <n v="564.8599999999999"/>
  </r>
  <r>
    <x v="9"/>
    <n v="389.03999999999996"/>
  </r>
  <r>
    <x v="9"/>
    <n v="262.27999999999997"/>
  </r>
  <r>
    <x v="9"/>
    <n v="294.14"/>
  </r>
  <r>
    <x v="9"/>
    <n v="185.64"/>
  </r>
  <r>
    <x v="9"/>
    <n v="88.88"/>
  </r>
  <r>
    <x v="9"/>
    <n v="90.06"/>
  </r>
  <r>
    <x v="9"/>
    <n v="164.39999999999998"/>
  </r>
  <r>
    <x v="9"/>
    <n v="244.57999999999998"/>
  </r>
  <r>
    <x v="9"/>
    <n v="249.29999999999998"/>
  </r>
  <r>
    <x v="9"/>
    <n v="405.56"/>
  </r>
  <r>
    <x v="10"/>
    <n v="525.9"/>
  </r>
  <r>
    <x v="10"/>
    <n v="546.80999999999995"/>
  </r>
  <r>
    <x v="10"/>
    <n v="432.42"/>
  </r>
  <r>
    <x v="10"/>
    <n v="241.29"/>
  </r>
  <r>
    <x v="10"/>
    <n v="225.3"/>
  </r>
  <r>
    <x v="10"/>
    <n v="106.9"/>
  </r>
  <r>
    <x v="10"/>
    <n v="93.37"/>
  </r>
  <r>
    <x v="10"/>
    <n v="87.22"/>
  </r>
  <r>
    <x v="10"/>
    <n v="268.35000000000002"/>
  </r>
  <r>
    <x v="10"/>
    <n v="315.09000000000003"/>
  </r>
  <r>
    <x v="10"/>
    <n v="525.9"/>
  </r>
  <r>
    <x v="10"/>
    <n v="498.84"/>
  </r>
  <r>
    <x v="11"/>
    <n v="482.85"/>
  </r>
  <r>
    <x v="11"/>
    <n v="565.26"/>
  </r>
  <r>
    <x v="11"/>
    <n v="389.37"/>
  </r>
  <r>
    <x v="11"/>
    <n v="263.43"/>
  </r>
  <r>
    <x v="11"/>
    <n v="294.18"/>
  </r>
  <r>
    <x v="11"/>
    <n v="185.62"/>
  </r>
  <r>
    <x v="11"/>
    <n v="89.68"/>
  </r>
  <r>
    <x v="11"/>
    <n v="89.68"/>
  </r>
  <r>
    <x v="11"/>
    <n v="164.70999999999998"/>
  </r>
  <r>
    <x v="11"/>
    <n v="244.98"/>
  </r>
  <r>
    <x v="11"/>
    <n v="249.9"/>
  </r>
  <r>
    <x v="11"/>
    <n v="405.36"/>
  </r>
  <r>
    <x v="12"/>
    <n v="509.90999999999997"/>
  </r>
  <r>
    <x v="12"/>
    <n v="529.58999999999992"/>
  </r>
  <r>
    <x v="12"/>
    <n v="420.12"/>
  </r>
  <r>
    <x v="12"/>
    <n v="236.37"/>
  </r>
  <r>
    <x v="12"/>
    <n v="219.15"/>
  </r>
  <r>
    <x v="12"/>
    <n v="105.67"/>
  </r>
  <r>
    <x v="12"/>
    <n v="93.37"/>
  </r>
  <r>
    <x v="12"/>
    <n v="85.99"/>
  </r>
  <r>
    <x v="12"/>
    <n v="260.97000000000003"/>
  </r>
  <r>
    <x v="12"/>
    <n v="305.25"/>
  </r>
  <r>
    <x v="12"/>
    <n v="489"/>
  </r>
  <r>
    <x v="12"/>
    <n v="482.85"/>
  </r>
  <r>
    <x v="13"/>
    <n v="516"/>
  </r>
  <r>
    <x v="13"/>
    <n v="537.59999999999991"/>
  </r>
  <r>
    <x v="13"/>
    <n v="372"/>
  </r>
  <r>
    <x v="13"/>
    <n v="252"/>
  </r>
  <r>
    <x v="13"/>
    <n v="282"/>
  </r>
  <r>
    <x v="13"/>
    <n v="179.2"/>
  </r>
  <r>
    <x v="13"/>
    <n v="88"/>
  </r>
  <r>
    <x v="13"/>
    <n v="89.2"/>
  </r>
  <r>
    <x v="13"/>
    <n v="158.80000000000001"/>
  </r>
  <r>
    <x v="13"/>
    <n v="235.2"/>
  </r>
  <r>
    <x v="13"/>
    <n v="240"/>
  </r>
  <r>
    <x v="13"/>
    <n v="387.59999999999997"/>
  </r>
  <r>
    <x v="14"/>
    <n v="489.05"/>
  </r>
  <r>
    <x v="14"/>
    <n v="483"/>
  </r>
  <r>
    <x v="14"/>
    <n v="403.14"/>
  </r>
  <r>
    <x v="14"/>
    <n v="227.94"/>
  </r>
  <r>
    <x v="14"/>
    <n v="213.42000000000002"/>
  </r>
  <r>
    <x v="14"/>
    <n v="103.88"/>
  </r>
  <r>
    <x v="14"/>
    <n v="91.78"/>
  </r>
  <r>
    <x v="14"/>
    <n v="85.73"/>
  </r>
  <r>
    <x v="14"/>
    <n v="252.14"/>
  </r>
  <r>
    <x v="14"/>
    <n v="294.49"/>
  </r>
  <r>
    <x v="14"/>
    <n v="468.48"/>
  </r>
  <r>
    <x v="14"/>
    <n v="462.43"/>
  </r>
  <r>
    <x v="15"/>
    <n v="502.36"/>
  </r>
  <r>
    <x v="15"/>
    <n v="524.14"/>
  </r>
  <r>
    <x v="15"/>
    <n v="364.41999999999996"/>
  </r>
  <r>
    <x v="15"/>
    <n v="247.29999999999998"/>
  </r>
  <r>
    <x v="15"/>
    <n v="275.13"/>
  </r>
  <r>
    <x v="15"/>
    <n v="174.06"/>
  </r>
  <r>
    <x v="15"/>
    <n v="88.15"/>
  </r>
  <r>
    <x v="15"/>
    <n v="88.15"/>
  </r>
  <r>
    <x v="15"/>
    <n v="154.69999999999999"/>
  </r>
  <r>
    <x v="15"/>
    <n v="230.35999999999999"/>
  </r>
  <r>
    <x v="15"/>
    <n v="235.2"/>
  </r>
  <r>
    <x v="15"/>
    <n v="378.94"/>
  </r>
  <r>
    <x v="16"/>
    <n v="475.02"/>
  </r>
  <r>
    <x v="16"/>
    <n v="418.9"/>
  </r>
  <r>
    <x v="16"/>
    <n v="394.5"/>
  </r>
  <r>
    <x v="16"/>
    <n v="222.98"/>
  </r>
  <r>
    <x v="16"/>
    <n v="128.56"/>
  </r>
  <r>
    <x v="16"/>
    <n v="102.94"/>
  </r>
  <r>
    <x v="16"/>
    <n v="89.52"/>
  </r>
  <r>
    <x v="16"/>
    <n v="84.64"/>
  </r>
  <r>
    <x v="16"/>
    <n v="246.16"/>
  </r>
  <r>
    <x v="16"/>
    <n v="257.14"/>
  </r>
  <r>
    <x v="16"/>
    <n v="285.2"/>
  </r>
  <r>
    <x v="16"/>
    <n v="426.2199999999999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4EDED40-551C-441B-984E-20E695B2D2C1}" name="Tabela przestawna1" cacheId="0" applyNumberFormats="0" applyBorderFormats="0" applyFontFormats="0" applyPatternFormats="0" applyAlignmentFormats="0" applyWidthHeightFormats="1" dataCaption="Wartości" updatedVersion="8" minRefreshableVersion="3" useAutoFormatting="1" itemPrintTitles="1" createdVersion="8" indent="0" outline="1" outlineData="1" multipleFieldFilters="0">
  <location ref="E1:F14" firstHeaderRow="1" firstDataRow="1" firstDataCol="1"/>
  <pivotFields count="4">
    <pivotField numFmtId="14" showAll="0"/>
    <pivotField showAll="0"/>
    <pivotField axis="axisRow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dataField="1" showAll="0"/>
  </pivotFields>
  <rowFields count="1">
    <field x="2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Średnia z Zuzycie" fld="3" subtotal="average" baseField="2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498B595-AA46-400A-9860-29E44D010A37}" name="Tabela przestawna1" cacheId="4" applyNumberFormats="0" applyBorderFormats="0" applyFontFormats="0" applyPatternFormats="0" applyAlignmentFormats="0" applyWidthHeightFormats="1" dataCaption="Wartości" updatedVersion="8" minRefreshableVersion="3" useAutoFormatting="1" itemPrintTitles="1" createdVersion="8" indent="0" outline="1" outlineData="1" multipleFieldFilters="0">
  <location ref="S6:T24" firstHeaderRow="1" firstDataRow="1" firstDataCol="1"/>
  <pivotFields count="2">
    <pivotField axis="axisRow" showAll="0">
      <items count="1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dataField="1" showAll="0"/>
  </pivotFields>
  <rowFields count="1">
    <field x="0"/>
  </rowFields>
  <rowItems count="1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 t="grand">
      <x/>
    </i>
  </rowItems>
  <colItems count="1">
    <i/>
  </colItems>
  <dataFields count="1">
    <dataField name="Suma z Oplata" fld="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B12C699E-3120-4907-A544-8AEE56486F62}" autoFormatId="16" applyNumberFormats="0" applyBorderFormats="0" applyFontFormats="0" applyPatternFormats="0" applyAlignmentFormats="0" applyWidthHeightFormats="0">
  <queryTableRefresh nextId="5" unboundColumnsRight="2">
    <queryTableFields count="4">
      <queryTableField id="1" name="Data odczytu" tableColumnId="1"/>
      <queryTableField id="2" name="Odczyt licznika" tableColumnId="2"/>
      <queryTableField id="3" dataBound="0" tableColumnId="3"/>
      <queryTableField id="4" dataBound="0" tableColumnId="4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1362BC53-6223-436E-8492-20690BB112EB}" autoFormatId="16" applyNumberFormats="0" applyBorderFormats="0" applyFontFormats="0" applyPatternFormats="0" applyAlignmentFormats="0" applyWidthHeightFormats="0">
  <queryTableRefresh nextId="9" unboundColumnsRight="6">
    <queryTableFields count="8">
      <queryTableField id="1" name="Data odczytu" tableColumnId="1"/>
      <queryTableField id="2" name="Odczyt licznika" tableColumnId="2"/>
      <queryTableField id="3" dataBound="0" tableColumnId="3"/>
      <queryTableField id="4" dataBound="0" tableColumnId="4"/>
      <queryTableField id="5" dataBound="0" tableColumnId="5"/>
      <queryTableField id="6" dataBound="0" tableColumnId="6"/>
      <queryTableField id="7" dataBound="0" tableColumnId="7"/>
      <queryTableField id="8" dataBound="0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B5C4C37-4171-490A-81F0-651E9EF62B1F}" name="gaz" displayName="gaz" ref="A1:D205" tableType="queryTable" totalsRowShown="0">
  <autoFilter ref="A1:D205" xr:uid="{5B5C4C37-4171-490A-81F0-651E9EF62B1F}"/>
  <tableColumns count="4">
    <tableColumn id="1" xr3:uid="{4AA94E3A-3E3E-4E25-A8CC-011F93719A99}" uniqueName="1" name="Data odczytu" queryTableFieldId="1" dataDxfId="9"/>
    <tableColumn id="2" xr3:uid="{2DF7FC3B-0AD4-4971-B1B3-C37243529629}" uniqueName="2" name="Odczyt licznika" queryTableFieldId="2"/>
    <tableColumn id="3" xr3:uid="{F6C096FB-1CD4-4C78-9EF9-410144B9FE57}" uniqueName="3" name="Miesiac" queryTableFieldId="3" dataDxfId="8">
      <calculatedColumnFormula>MONTH(gaz[[#This Row],[Data odczytu]])</calculatedColumnFormula>
    </tableColumn>
    <tableColumn id="4" xr3:uid="{34DC04C6-B9FC-4A32-8970-7BCEE601DFD0}" uniqueName="4" name="Zuzycie" queryTableFieldId="4" dataDxfId="7">
      <calculatedColumnFormula>gaz[[#This Row],[Odczyt licznika]]-B1</calculatedColumnFormula>
    </tableColumn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533B8E7-221B-480C-B91F-D80634C0CD5A}" name="gaz_3" displayName="gaz_3" ref="A1:H205" tableType="queryTable" totalsRowShown="0">
  <autoFilter ref="A1:H205" xr:uid="{5B5C4C37-4171-490A-81F0-651E9EF62B1F}"/>
  <tableColumns count="8">
    <tableColumn id="1" xr3:uid="{A6470EEF-D78C-4311-9969-7E1C323C0BA7}" uniqueName="1" name="Data odczytu" queryTableFieldId="1" dataDxfId="6"/>
    <tableColumn id="2" xr3:uid="{23821929-CCBC-449D-973A-BF092E1A0855}" uniqueName="2" name="Odczyt licznika" queryTableFieldId="2"/>
    <tableColumn id="3" xr3:uid="{6E32A6ED-443F-4EEE-942F-BC1712A2476B}" uniqueName="3" name="Miesiac" queryTableFieldId="3" dataDxfId="5">
      <calculatedColumnFormula>MONTH(gaz_3[[#This Row],[Data odczytu]])</calculatedColumnFormula>
    </tableColumn>
    <tableColumn id="4" xr3:uid="{E671D120-5668-448A-9F85-005E081B0F7A}" uniqueName="4" name="Zuzycie" queryTableFieldId="4" dataDxfId="4">
      <calculatedColumnFormula>gaz_3[[#This Row],[Odczyt licznika]]-B1</calculatedColumnFormula>
    </tableColumn>
    <tableColumn id="5" xr3:uid="{71F27539-3661-4706-A680-849A86234823}" uniqueName="5" name="Rok" queryTableFieldId="5" dataDxfId="3">
      <calculatedColumnFormula>YEAR(gaz_3[[#This Row],[Data odczytu]])</calculatedColumnFormula>
    </tableColumn>
    <tableColumn id="6" xr3:uid="{E3FAFAA6-75C4-447B-B687-516D3C560BEA}" uniqueName="6" name="taryfa" queryTableFieldId="6" dataDxfId="2">
      <calculatedColumnFormula>IF(gaz_3[[#This Row],[Zuzycie]]&gt;100,IF(gaz_3[[#This Row],[Zuzycie]]&gt;200,120,90),70)</calculatedColumnFormula>
    </tableColumn>
    <tableColumn id="7" xr3:uid="{873258AD-9653-4943-87AF-C42007AEF220}" uniqueName="7" name="cena" queryTableFieldId="7" dataDxfId="1">
      <calculatedColumnFormula array="1">wyszu</calculatedColumnFormula>
    </tableColumn>
    <tableColumn id="8" xr3:uid="{F6113E3E-B7FF-450F-A463-363DBA9348CC}" uniqueName="8" name="laczna oplata" queryTableFieldId="8" dataDxfId="0">
      <calculatedColumnFormula>gaz_3[[#This Row],[cena]]*gaz_3[[#This Row],[Zuzycie]]+gaz_3[[#This Row],[taryfa]]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B177D8-7496-4AC0-8933-E9E98C18616E}">
  <dimension ref="A1:F205"/>
  <sheetViews>
    <sheetView workbookViewId="0">
      <selection activeCell="N1" sqref="N1"/>
    </sheetView>
  </sheetViews>
  <sheetFormatPr defaultRowHeight="15" x14ac:dyDescent="0.25"/>
  <cols>
    <col min="1" max="1" width="14.5703125" bestFit="1" customWidth="1"/>
    <col min="2" max="2" width="16.42578125" bestFit="1" customWidth="1"/>
    <col min="5" max="5" width="17.7109375" bestFit="1" customWidth="1"/>
    <col min="6" max="6" width="16.14062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s="2" t="s">
        <v>4</v>
      </c>
      <c r="F1" t="s">
        <v>6</v>
      </c>
    </row>
    <row r="2" spans="1:6" x14ac:dyDescent="0.25">
      <c r="A2" s="1">
        <v>37287</v>
      </c>
      <c r="B2">
        <v>2283</v>
      </c>
      <c r="C2">
        <f>MONTH(gaz[[#This Row],[Data odczytu]])</f>
        <v>1</v>
      </c>
      <c r="D2">
        <v>200</v>
      </c>
      <c r="E2" s="3">
        <v>1</v>
      </c>
      <c r="F2">
        <v>285.47058823529414</v>
      </c>
    </row>
    <row r="3" spans="1:6" x14ac:dyDescent="0.25">
      <c r="A3" s="1">
        <v>37315</v>
      </c>
      <c r="B3">
        <v>2518</v>
      </c>
      <c r="C3">
        <f>MONTH(gaz[[#This Row],[Data odczytu]])</f>
        <v>2</v>
      </c>
      <c r="D3">
        <f>gaz[[#This Row],[Odczyt licznika]]-B2</f>
        <v>235</v>
      </c>
      <c r="E3" s="3">
        <v>2</v>
      </c>
      <c r="F3">
        <v>292.70588235294116</v>
      </c>
    </row>
    <row r="4" spans="1:6" x14ac:dyDescent="0.25">
      <c r="A4" s="1">
        <v>37346</v>
      </c>
      <c r="B4">
        <v>2696</v>
      </c>
      <c r="C4">
        <f>MONTH(gaz[[#This Row],[Data odczytu]])</f>
        <v>3</v>
      </c>
      <c r="D4">
        <f>gaz[[#This Row],[Odczyt licznika]]-B3</f>
        <v>178</v>
      </c>
      <c r="E4" s="3">
        <v>3</v>
      </c>
      <c r="F4">
        <v>219.23529411764707</v>
      </c>
    </row>
    <row r="5" spans="1:6" x14ac:dyDescent="0.25">
      <c r="A5" s="1">
        <v>37376</v>
      </c>
      <c r="B5">
        <v>2857</v>
      </c>
      <c r="C5">
        <f>MONTH(gaz[[#This Row],[Data odczytu]])</f>
        <v>4</v>
      </c>
      <c r="D5">
        <f>gaz[[#This Row],[Odczyt licznika]]-B4</f>
        <v>161</v>
      </c>
      <c r="E5" s="3">
        <v>4</v>
      </c>
      <c r="F5">
        <v>139.23529411764707</v>
      </c>
    </row>
    <row r="6" spans="1:6" x14ac:dyDescent="0.25">
      <c r="A6" s="1">
        <v>37407</v>
      </c>
      <c r="B6">
        <v>2917</v>
      </c>
      <c r="C6">
        <f>MONTH(gaz[[#This Row],[Data odczytu]])</f>
        <v>5</v>
      </c>
      <c r="D6">
        <f>gaz[[#This Row],[Odczyt licznika]]-B5</f>
        <v>60</v>
      </c>
      <c r="E6" s="3">
        <v>5</v>
      </c>
      <c r="F6">
        <v>129.76470588235293</v>
      </c>
    </row>
    <row r="7" spans="1:6" x14ac:dyDescent="0.25">
      <c r="A7" s="1">
        <v>37437</v>
      </c>
      <c r="B7">
        <v>2952</v>
      </c>
      <c r="C7">
        <f>MONTH(gaz[[#This Row],[Data odczytu]])</f>
        <v>6</v>
      </c>
      <c r="D7">
        <f>gaz[[#This Row],[Odczyt licznika]]-B6</f>
        <v>35</v>
      </c>
      <c r="E7" s="3">
        <v>6</v>
      </c>
      <c r="F7">
        <v>61</v>
      </c>
    </row>
    <row r="8" spans="1:6" x14ac:dyDescent="0.25">
      <c r="A8" s="1">
        <v>37468</v>
      </c>
      <c r="B8">
        <v>2979</v>
      </c>
      <c r="C8">
        <f>MONTH(gaz[[#This Row],[Data odczytu]])</f>
        <v>7</v>
      </c>
      <c r="D8">
        <f>gaz[[#This Row],[Odczyt licznika]]-B7</f>
        <v>27</v>
      </c>
      <c r="E8" s="3">
        <v>7</v>
      </c>
      <c r="F8">
        <v>16.647058823529413</v>
      </c>
    </row>
    <row r="9" spans="1:6" x14ac:dyDescent="0.25">
      <c r="A9" s="1">
        <v>37499</v>
      </c>
      <c r="B9">
        <v>3009</v>
      </c>
      <c r="C9">
        <f>MONTH(gaz[[#This Row],[Data odczytu]])</f>
        <v>8</v>
      </c>
      <c r="D9">
        <f>gaz[[#This Row],[Odczyt licznika]]-B8</f>
        <v>30</v>
      </c>
      <c r="E9" s="3">
        <v>8</v>
      </c>
      <c r="F9">
        <v>15.941176470588236</v>
      </c>
    </row>
    <row r="10" spans="1:6" x14ac:dyDescent="0.25">
      <c r="A10" s="1">
        <v>37529</v>
      </c>
      <c r="B10">
        <v>3040</v>
      </c>
      <c r="C10">
        <f>MONTH(gaz[[#This Row],[Data odczytu]])</f>
        <v>9</v>
      </c>
      <c r="D10">
        <f>gaz[[#This Row],[Odczyt licznika]]-B9</f>
        <v>31</v>
      </c>
      <c r="E10" s="3">
        <v>9</v>
      </c>
      <c r="F10">
        <v>110.70588235294117</v>
      </c>
    </row>
    <row r="11" spans="1:6" x14ac:dyDescent="0.25">
      <c r="A11" s="1">
        <v>37560</v>
      </c>
      <c r="B11">
        <v>3116</v>
      </c>
      <c r="C11">
        <f>MONTH(gaz[[#This Row],[Data odczytu]])</f>
        <v>10</v>
      </c>
      <c r="D11">
        <f>gaz[[#This Row],[Odczyt licznika]]-B10</f>
        <v>76</v>
      </c>
      <c r="E11" s="3">
        <v>10</v>
      </c>
      <c r="F11">
        <v>147.70588235294119</v>
      </c>
    </row>
    <row r="12" spans="1:6" x14ac:dyDescent="0.25">
      <c r="A12" s="1">
        <v>37590</v>
      </c>
      <c r="B12">
        <v>3222</v>
      </c>
      <c r="C12">
        <f>MONTH(gaz[[#This Row],[Data odczytu]])</f>
        <v>11</v>
      </c>
      <c r="D12">
        <f>gaz[[#This Row],[Odczyt licznika]]-B11</f>
        <v>106</v>
      </c>
      <c r="E12" s="3">
        <v>11</v>
      </c>
      <c r="F12">
        <v>197.11764705882354</v>
      </c>
    </row>
    <row r="13" spans="1:6" x14ac:dyDescent="0.25">
      <c r="A13" s="1">
        <v>37621</v>
      </c>
      <c r="B13">
        <v>3393</v>
      </c>
      <c r="C13">
        <f>MONTH(gaz[[#This Row],[Data odczytu]])</f>
        <v>12</v>
      </c>
      <c r="D13">
        <f>gaz[[#This Row],[Odczyt licznika]]-B12</f>
        <v>171</v>
      </c>
      <c r="E13" s="3">
        <v>12</v>
      </c>
      <c r="F13">
        <v>246.29411764705881</v>
      </c>
    </row>
    <row r="14" spans="1:6" x14ac:dyDescent="0.25">
      <c r="A14" s="1">
        <v>37652</v>
      </c>
      <c r="B14">
        <v>3613</v>
      </c>
      <c r="C14">
        <f>MONTH(gaz[[#This Row],[Data odczytu]])</f>
        <v>1</v>
      </c>
      <c r="D14">
        <f>gaz[[#This Row],[Odczyt licznika]]-B13</f>
        <v>220</v>
      </c>
      <c r="E14" s="3" t="s">
        <v>5</v>
      </c>
      <c r="F14">
        <v>155.15196078431373</v>
      </c>
    </row>
    <row r="15" spans="1:6" x14ac:dyDescent="0.25">
      <c r="A15" s="1">
        <v>37680</v>
      </c>
      <c r="B15">
        <v>3891</v>
      </c>
      <c r="C15">
        <f>MONTH(gaz[[#This Row],[Data odczytu]])</f>
        <v>2</v>
      </c>
      <c r="D15">
        <f>gaz[[#This Row],[Odczyt licznika]]-B14</f>
        <v>278</v>
      </c>
    </row>
    <row r="16" spans="1:6" x14ac:dyDescent="0.25">
      <c r="A16" s="1">
        <v>37711</v>
      </c>
      <c r="B16">
        <v>4151</v>
      </c>
      <c r="C16">
        <f>MONTH(gaz[[#This Row],[Data odczytu]])</f>
        <v>3</v>
      </c>
      <c r="D16">
        <f>gaz[[#This Row],[Odczyt licznika]]-B15</f>
        <v>260</v>
      </c>
    </row>
    <row r="17" spans="1:4" x14ac:dyDescent="0.25">
      <c r="A17" s="1">
        <v>37741</v>
      </c>
      <c r="B17">
        <v>4401</v>
      </c>
      <c r="C17">
        <f>MONTH(gaz[[#This Row],[Data odczytu]])</f>
        <v>4</v>
      </c>
      <c r="D17">
        <f>gaz[[#This Row],[Odczyt licznika]]-B16</f>
        <v>250</v>
      </c>
    </row>
    <row r="18" spans="1:4" x14ac:dyDescent="0.25">
      <c r="A18" s="1">
        <v>37772</v>
      </c>
      <c r="B18">
        <v>4553</v>
      </c>
      <c r="C18">
        <f>MONTH(gaz[[#This Row],[Data odczytu]])</f>
        <v>5</v>
      </c>
      <c r="D18">
        <f>gaz[[#This Row],[Odczyt licznika]]-B17</f>
        <v>152</v>
      </c>
    </row>
    <row r="19" spans="1:4" x14ac:dyDescent="0.25">
      <c r="A19" s="1">
        <v>37802</v>
      </c>
      <c r="B19">
        <v>4639</v>
      </c>
      <c r="C19">
        <f>MONTH(gaz[[#This Row],[Data odczytu]])</f>
        <v>6</v>
      </c>
      <c r="D19">
        <f>gaz[[#This Row],[Odczyt licznika]]-B18</f>
        <v>86</v>
      </c>
    </row>
    <row r="20" spans="1:4" x14ac:dyDescent="0.25">
      <c r="A20" s="1">
        <v>37833</v>
      </c>
      <c r="B20">
        <v>4654</v>
      </c>
      <c r="C20">
        <f>MONTH(gaz[[#This Row],[Data odczytu]])</f>
        <v>7</v>
      </c>
      <c r="D20">
        <f>gaz[[#This Row],[Odczyt licznika]]-B19</f>
        <v>15</v>
      </c>
    </row>
    <row r="21" spans="1:4" x14ac:dyDescent="0.25">
      <c r="A21" s="1">
        <v>37864</v>
      </c>
      <c r="B21">
        <v>4669</v>
      </c>
      <c r="C21">
        <f>MONTH(gaz[[#This Row],[Data odczytu]])</f>
        <v>8</v>
      </c>
      <c r="D21">
        <f>gaz[[#This Row],[Odczyt licznika]]-B20</f>
        <v>15</v>
      </c>
    </row>
    <row r="22" spans="1:4" x14ac:dyDescent="0.25">
      <c r="A22" s="1">
        <v>37894</v>
      </c>
      <c r="B22">
        <v>4819</v>
      </c>
      <c r="C22">
        <f>MONTH(gaz[[#This Row],[Data odczytu]])</f>
        <v>9</v>
      </c>
      <c r="D22">
        <f>gaz[[#This Row],[Odczyt licznika]]-B21</f>
        <v>150</v>
      </c>
    </row>
    <row r="23" spans="1:4" x14ac:dyDescent="0.25">
      <c r="A23" s="1">
        <v>37925</v>
      </c>
      <c r="B23">
        <v>4976</v>
      </c>
      <c r="C23">
        <f>MONTH(gaz[[#This Row],[Data odczytu]])</f>
        <v>10</v>
      </c>
      <c r="D23">
        <f>gaz[[#This Row],[Odczyt licznika]]-B22</f>
        <v>157</v>
      </c>
    </row>
    <row r="24" spans="1:4" x14ac:dyDescent="0.25">
      <c r="A24" s="1">
        <v>37955</v>
      </c>
      <c r="B24">
        <v>5078</v>
      </c>
      <c r="C24">
        <f>MONTH(gaz[[#This Row],[Data odczytu]])</f>
        <v>11</v>
      </c>
      <c r="D24">
        <f>gaz[[#This Row],[Odczyt licznika]]-B23</f>
        <v>102</v>
      </c>
    </row>
    <row r="25" spans="1:4" x14ac:dyDescent="0.25">
      <c r="A25" s="1">
        <v>37986</v>
      </c>
      <c r="B25">
        <v>5260</v>
      </c>
      <c r="C25">
        <f>MONTH(gaz[[#This Row],[Data odczytu]])</f>
        <v>12</v>
      </c>
      <c r="D25">
        <f>gaz[[#This Row],[Odczyt licznika]]-B24</f>
        <v>182</v>
      </c>
    </row>
    <row r="26" spans="1:4" x14ac:dyDescent="0.25">
      <c r="A26" s="1">
        <v>38017</v>
      </c>
      <c r="B26">
        <v>5508</v>
      </c>
      <c r="C26">
        <f>MONTH(gaz[[#This Row],[Data odczytu]])</f>
        <v>1</v>
      </c>
      <c r="D26">
        <f>gaz[[#This Row],[Odczyt licznika]]-B25</f>
        <v>248</v>
      </c>
    </row>
    <row r="27" spans="1:4" x14ac:dyDescent="0.25">
      <c r="A27" s="1">
        <v>38045</v>
      </c>
      <c r="B27">
        <v>5754</v>
      </c>
      <c r="C27">
        <f>MONTH(gaz[[#This Row],[Data odczytu]])</f>
        <v>2</v>
      </c>
      <c r="D27">
        <f>gaz[[#This Row],[Odczyt licznika]]-B26</f>
        <v>246</v>
      </c>
    </row>
    <row r="28" spans="1:4" x14ac:dyDescent="0.25">
      <c r="A28" s="1">
        <v>38077</v>
      </c>
      <c r="B28">
        <v>5945</v>
      </c>
      <c r="C28">
        <f>MONTH(gaz[[#This Row],[Data odczytu]])</f>
        <v>3</v>
      </c>
      <c r="D28">
        <f>gaz[[#This Row],[Odczyt licznika]]-B27</f>
        <v>191</v>
      </c>
    </row>
    <row r="29" spans="1:4" x14ac:dyDescent="0.25">
      <c r="A29" s="1">
        <v>38107</v>
      </c>
      <c r="B29">
        <v>6050</v>
      </c>
      <c r="C29">
        <f>MONTH(gaz[[#This Row],[Data odczytu]])</f>
        <v>4</v>
      </c>
      <c r="D29">
        <f>gaz[[#This Row],[Odczyt licznika]]-B28</f>
        <v>105</v>
      </c>
    </row>
    <row r="30" spans="1:4" x14ac:dyDescent="0.25">
      <c r="A30" s="1">
        <v>38138</v>
      </c>
      <c r="B30">
        <v>6146</v>
      </c>
      <c r="C30">
        <f>MONTH(gaz[[#This Row],[Data odczytu]])</f>
        <v>5</v>
      </c>
      <c r="D30">
        <f>gaz[[#This Row],[Odczyt licznika]]-B29</f>
        <v>96</v>
      </c>
    </row>
    <row r="31" spans="1:4" x14ac:dyDescent="0.25">
      <c r="A31" s="1">
        <v>38168</v>
      </c>
      <c r="B31">
        <v>6173</v>
      </c>
      <c r="C31">
        <f>MONTH(gaz[[#This Row],[Data odczytu]])</f>
        <v>6</v>
      </c>
      <c r="D31">
        <f>gaz[[#This Row],[Odczyt licznika]]-B30</f>
        <v>27</v>
      </c>
    </row>
    <row r="32" spans="1:4" x14ac:dyDescent="0.25">
      <c r="A32" s="1">
        <v>38199</v>
      </c>
      <c r="B32">
        <v>6183</v>
      </c>
      <c r="C32">
        <f>MONTH(gaz[[#This Row],[Data odczytu]])</f>
        <v>7</v>
      </c>
      <c r="D32">
        <f>gaz[[#This Row],[Odczyt licznika]]-B31</f>
        <v>10</v>
      </c>
    </row>
    <row r="33" spans="1:4" x14ac:dyDescent="0.25">
      <c r="A33" s="1">
        <v>38230</v>
      </c>
      <c r="B33">
        <v>6195</v>
      </c>
      <c r="C33">
        <f>MONTH(gaz[[#This Row],[Data odczytu]])</f>
        <v>8</v>
      </c>
      <c r="D33">
        <f>gaz[[#This Row],[Odczyt licznika]]-B32</f>
        <v>12</v>
      </c>
    </row>
    <row r="34" spans="1:4" x14ac:dyDescent="0.25">
      <c r="A34" s="1">
        <v>38260</v>
      </c>
      <c r="B34">
        <v>6304</v>
      </c>
      <c r="C34">
        <f>MONTH(gaz[[#This Row],[Data odczytu]])</f>
        <v>9</v>
      </c>
      <c r="D34">
        <f>gaz[[#This Row],[Odczyt licznika]]-B33</f>
        <v>109</v>
      </c>
    </row>
    <row r="35" spans="1:4" x14ac:dyDescent="0.25">
      <c r="A35" s="1">
        <v>38291</v>
      </c>
      <c r="B35">
        <v>6459</v>
      </c>
      <c r="C35">
        <f>MONTH(gaz[[#This Row],[Data odczytu]])</f>
        <v>10</v>
      </c>
      <c r="D35">
        <f>gaz[[#This Row],[Odczyt licznika]]-B34</f>
        <v>155</v>
      </c>
    </row>
    <row r="36" spans="1:4" x14ac:dyDescent="0.25">
      <c r="A36" s="1">
        <v>38321</v>
      </c>
      <c r="B36">
        <v>6737</v>
      </c>
      <c r="C36">
        <f>MONTH(gaz[[#This Row],[Data odczytu]])</f>
        <v>11</v>
      </c>
      <c r="D36">
        <f>gaz[[#This Row],[Odczyt licznika]]-B35</f>
        <v>278</v>
      </c>
    </row>
    <row r="37" spans="1:4" x14ac:dyDescent="0.25">
      <c r="A37" s="1">
        <v>38352</v>
      </c>
      <c r="B37">
        <v>6997</v>
      </c>
      <c r="C37">
        <f>MONTH(gaz[[#This Row],[Data odczytu]])</f>
        <v>12</v>
      </c>
      <c r="D37">
        <f>gaz[[#This Row],[Odczyt licznika]]-B36</f>
        <v>260</v>
      </c>
    </row>
    <row r="38" spans="1:4" x14ac:dyDescent="0.25">
      <c r="A38" s="1">
        <v>38383</v>
      </c>
      <c r="B38">
        <v>7247</v>
      </c>
      <c r="C38">
        <f>MONTH(gaz[[#This Row],[Data odczytu]])</f>
        <v>1</v>
      </c>
      <c r="D38">
        <f>gaz[[#This Row],[Odczyt licznika]]-B37</f>
        <v>250</v>
      </c>
    </row>
    <row r="39" spans="1:4" x14ac:dyDescent="0.25">
      <c r="A39" s="1">
        <v>38411</v>
      </c>
      <c r="B39">
        <v>7399</v>
      </c>
      <c r="C39">
        <f>MONTH(gaz[[#This Row],[Data odczytu]])</f>
        <v>2</v>
      </c>
      <c r="D39">
        <f>gaz[[#This Row],[Odczyt licznika]]-B38</f>
        <v>152</v>
      </c>
    </row>
    <row r="40" spans="1:4" x14ac:dyDescent="0.25">
      <c r="A40" s="1">
        <v>38442</v>
      </c>
      <c r="B40">
        <v>7584</v>
      </c>
      <c r="C40">
        <f>MONTH(gaz[[#This Row],[Data odczytu]])</f>
        <v>3</v>
      </c>
      <c r="D40">
        <f>gaz[[#This Row],[Odczyt licznika]]-B39</f>
        <v>185</v>
      </c>
    </row>
    <row r="41" spans="1:4" x14ac:dyDescent="0.25">
      <c r="A41" s="1">
        <v>38472</v>
      </c>
      <c r="B41">
        <v>7745</v>
      </c>
      <c r="C41">
        <f>MONTH(gaz[[#This Row],[Data odczytu]])</f>
        <v>4</v>
      </c>
      <c r="D41">
        <f>gaz[[#This Row],[Odczyt licznika]]-B40</f>
        <v>161</v>
      </c>
    </row>
    <row r="42" spans="1:4" x14ac:dyDescent="0.25">
      <c r="A42" s="1">
        <v>38503</v>
      </c>
      <c r="B42">
        <v>7935</v>
      </c>
      <c r="C42">
        <f>MONTH(gaz[[#This Row],[Data odczytu]])</f>
        <v>5</v>
      </c>
      <c r="D42">
        <f>gaz[[#This Row],[Odczyt licznika]]-B41</f>
        <v>190</v>
      </c>
    </row>
    <row r="43" spans="1:4" x14ac:dyDescent="0.25">
      <c r="A43" s="1">
        <v>38533</v>
      </c>
      <c r="B43">
        <v>8043</v>
      </c>
      <c r="C43">
        <f>MONTH(gaz[[#This Row],[Data odczytu]])</f>
        <v>6</v>
      </c>
      <c r="D43">
        <f>gaz[[#This Row],[Odczyt licznika]]-B42</f>
        <v>108</v>
      </c>
    </row>
    <row r="44" spans="1:4" x14ac:dyDescent="0.25">
      <c r="A44" s="1">
        <v>38564</v>
      </c>
      <c r="B44">
        <v>8062</v>
      </c>
      <c r="C44">
        <f>MONTH(gaz[[#This Row],[Data odczytu]])</f>
        <v>7</v>
      </c>
      <c r="D44">
        <f>gaz[[#This Row],[Odczyt licznika]]-B43</f>
        <v>19</v>
      </c>
    </row>
    <row r="45" spans="1:4" x14ac:dyDescent="0.25">
      <c r="A45" s="1">
        <v>38595</v>
      </c>
      <c r="B45">
        <v>8081</v>
      </c>
      <c r="C45">
        <f>MONTH(gaz[[#This Row],[Data odczytu]])</f>
        <v>8</v>
      </c>
      <c r="D45">
        <f>gaz[[#This Row],[Odczyt licznika]]-B44</f>
        <v>19</v>
      </c>
    </row>
    <row r="46" spans="1:4" x14ac:dyDescent="0.25">
      <c r="A46" s="1">
        <v>38625</v>
      </c>
      <c r="B46">
        <v>8269</v>
      </c>
      <c r="C46">
        <f>MONTH(gaz[[#This Row],[Data odczytu]])</f>
        <v>9</v>
      </c>
      <c r="D46">
        <f>gaz[[#This Row],[Odczyt licznika]]-B45</f>
        <v>188</v>
      </c>
    </row>
    <row r="47" spans="1:4" x14ac:dyDescent="0.25">
      <c r="A47" s="1">
        <v>38656</v>
      </c>
      <c r="B47">
        <v>8465</v>
      </c>
      <c r="C47">
        <f>MONTH(gaz[[#This Row],[Data odczytu]])</f>
        <v>10</v>
      </c>
      <c r="D47">
        <f>gaz[[#This Row],[Odczyt licznika]]-B46</f>
        <v>196</v>
      </c>
    </row>
    <row r="48" spans="1:4" x14ac:dyDescent="0.25">
      <c r="A48" s="1">
        <v>38686</v>
      </c>
      <c r="B48">
        <v>8592</v>
      </c>
      <c r="C48">
        <f>MONTH(gaz[[#This Row],[Data odczytu]])</f>
        <v>11</v>
      </c>
      <c r="D48">
        <f>gaz[[#This Row],[Odczyt licznika]]-B47</f>
        <v>127</v>
      </c>
    </row>
    <row r="49" spans="1:4" x14ac:dyDescent="0.25">
      <c r="A49" s="1">
        <v>38717</v>
      </c>
      <c r="B49">
        <v>8819</v>
      </c>
      <c r="C49">
        <f>MONTH(gaz[[#This Row],[Data odczytu]])</f>
        <v>12</v>
      </c>
      <c r="D49">
        <f>gaz[[#This Row],[Odczyt licznika]]-B48</f>
        <v>227</v>
      </c>
    </row>
    <row r="50" spans="1:4" x14ac:dyDescent="0.25">
      <c r="A50" s="1">
        <v>38748</v>
      </c>
      <c r="B50">
        <v>9129</v>
      </c>
      <c r="C50">
        <f>MONTH(gaz[[#This Row],[Data odczytu]])</f>
        <v>1</v>
      </c>
      <c r="D50">
        <f>gaz[[#This Row],[Odczyt licznika]]-B49</f>
        <v>310</v>
      </c>
    </row>
    <row r="51" spans="1:4" x14ac:dyDescent="0.25">
      <c r="A51" s="1">
        <v>38776</v>
      </c>
      <c r="B51">
        <v>9424</v>
      </c>
      <c r="C51">
        <f>MONTH(gaz[[#This Row],[Data odczytu]])</f>
        <v>2</v>
      </c>
      <c r="D51">
        <f>gaz[[#This Row],[Odczyt licznika]]-B50</f>
        <v>295</v>
      </c>
    </row>
    <row r="52" spans="1:4" x14ac:dyDescent="0.25">
      <c r="A52" s="1">
        <v>38807</v>
      </c>
      <c r="B52">
        <v>9662</v>
      </c>
      <c r="C52">
        <f>MONTH(gaz[[#This Row],[Data odczytu]])</f>
        <v>3</v>
      </c>
      <c r="D52">
        <f>gaz[[#This Row],[Odczyt licznika]]-B51</f>
        <v>238</v>
      </c>
    </row>
    <row r="53" spans="1:4" x14ac:dyDescent="0.25">
      <c r="A53" s="1">
        <v>38837</v>
      </c>
      <c r="B53">
        <v>9778</v>
      </c>
      <c r="C53">
        <f>MONTH(gaz[[#This Row],[Data odczytu]])</f>
        <v>4</v>
      </c>
      <c r="D53">
        <f>gaz[[#This Row],[Odczyt licznika]]-B52</f>
        <v>116</v>
      </c>
    </row>
    <row r="54" spans="1:4" x14ac:dyDescent="0.25">
      <c r="A54" s="1">
        <v>38868</v>
      </c>
      <c r="B54">
        <v>9884</v>
      </c>
      <c r="C54">
        <f>MONTH(gaz[[#This Row],[Data odczytu]])</f>
        <v>5</v>
      </c>
      <c r="D54">
        <f>gaz[[#This Row],[Odczyt licznika]]-B53</f>
        <v>106</v>
      </c>
    </row>
    <row r="55" spans="1:4" x14ac:dyDescent="0.25">
      <c r="A55" s="1">
        <v>38898</v>
      </c>
      <c r="B55">
        <v>9914</v>
      </c>
      <c r="C55">
        <f>MONTH(gaz[[#This Row],[Data odczytu]])</f>
        <v>6</v>
      </c>
      <c r="D55">
        <f>gaz[[#This Row],[Odczyt licznika]]-B54</f>
        <v>30</v>
      </c>
    </row>
    <row r="56" spans="1:4" x14ac:dyDescent="0.25">
      <c r="A56" s="1">
        <v>38929</v>
      </c>
      <c r="B56">
        <v>9925</v>
      </c>
      <c r="C56">
        <f>MONTH(gaz[[#This Row],[Data odczytu]])</f>
        <v>7</v>
      </c>
      <c r="D56">
        <f>gaz[[#This Row],[Odczyt licznika]]-B55</f>
        <v>11</v>
      </c>
    </row>
    <row r="57" spans="1:4" x14ac:dyDescent="0.25">
      <c r="A57" s="1">
        <v>38960</v>
      </c>
      <c r="B57">
        <v>9938</v>
      </c>
      <c r="C57">
        <f>MONTH(gaz[[#This Row],[Data odczytu]])</f>
        <v>8</v>
      </c>
      <c r="D57">
        <f>gaz[[#This Row],[Odczyt licznika]]-B56</f>
        <v>13</v>
      </c>
    </row>
    <row r="58" spans="1:4" x14ac:dyDescent="0.25">
      <c r="A58" s="1">
        <v>38990</v>
      </c>
      <c r="B58">
        <v>10059</v>
      </c>
      <c r="C58">
        <f>MONTH(gaz[[#This Row],[Data odczytu]])</f>
        <v>9</v>
      </c>
      <c r="D58">
        <f>gaz[[#This Row],[Odczyt licznika]]-B57</f>
        <v>121</v>
      </c>
    </row>
    <row r="59" spans="1:4" x14ac:dyDescent="0.25">
      <c r="A59" s="1">
        <v>39021</v>
      </c>
      <c r="B59">
        <v>10211</v>
      </c>
      <c r="C59">
        <f>MONTH(gaz[[#This Row],[Data odczytu]])</f>
        <v>10</v>
      </c>
      <c r="D59">
        <f>gaz[[#This Row],[Odczyt licznika]]-B58</f>
        <v>152</v>
      </c>
    </row>
    <row r="60" spans="1:4" x14ac:dyDescent="0.25">
      <c r="A60" s="1">
        <v>39051</v>
      </c>
      <c r="B60">
        <v>10486</v>
      </c>
      <c r="C60">
        <f>MONTH(gaz[[#This Row],[Data odczytu]])</f>
        <v>11</v>
      </c>
      <c r="D60">
        <f>gaz[[#This Row],[Odczyt licznika]]-B59</f>
        <v>275</v>
      </c>
    </row>
    <row r="61" spans="1:4" x14ac:dyDescent="0.25">
      <c r="A61" s="1">
        <v>39082</v>
      </c>
      <c r="B61">
        <v>10742</v>
      </c>
      <c r="C61">
        <f>MONTH(gaz[[#This Row],[Data odczytu]])</f>
        <v>12</v>
      </c>
      <c r="D61">
        <f>gaz[[#This Row],[Odczyt licznika]]-B60</f>
        <v>256</v>
      </c>
    </row>
    <row r="62" spans="1:4" x14ac:dyDescent="0.25">
      <c r="A62" s="1">
        <v>39113</v>
      </c>
      <c r="B62">
        <v>10988</v>
      </c>
      <c r="C62">
        <f>MONTH(gaz[[#This Row],[Data odczytu]])</f>
        <v>1</v>
      </c>
      <c r="D62">
        <f>gaz[[#This Row],[Odczyt licznika]]-B61</f>
        <v>246</v>
      </c>
    </row>
    <row r="63" spans="1:4" x14ac:dyDescent="0.25">
      <c r="A63" s="1">
        <v>39141</v>
      </c>
      <c r="B63">
        <v>11138</v>
      </c>
      <c r="C63">
        <f>MONTH(gaz[[#This Row],[Data odczytu]])</f>
        <v>2</v>
      </c>
      <c r="D63">
        <f>gaz[[#This Row],[Odczyt licznika]]-B62</f>
        <v>150</v>
      </c>
    </row>
    <row r="64" spans="1:4" x14ac:dyDescent="0.25">
      <c r="A64" s="1">
        <v>39172</v>
      </c>
      <c r="B64">
        <v>11321</v>
      </c>
      <c r="C64">
        <f>MONTH(gaz[[#This Row],[Data odczytu]])</f>
        <v>3</v>
      </c>
      <c r="D64">
        <f>gaz[[#This Row],[Odczyt licznika]]-B63</f>
        <v>183</v>
      </c>
    </row>
    <row r="65" spans="1:4" x14ac:dyDescent="0.25">
      <c r="A65" s="1">
        <v>39202</v>
      </c>
      <c r="B65">
        <v>11481</v>
      </c>
      <c r="C65">
        <f>MONTH(gaz[[#This Row],[Data odczytu]])</f>
        <v>4</v>
      </c>
      <c r="D65">
        <f>gaz[[#This Row],[Odczyt licznika]]-B64</f>
        <v>160</v>
      </c>
    </row>
    <row r="66" spans="1:4" x14ac:dyDescent="0.25">
      <c r="A66" s="1">
        <v>39233</v>
      </c>
      <c r="B66">
        <v>11669</v>
      </c>
      <c r="C66">
        <f>MONTH(gaz[[#This Row],[Data odczytu]])</f>
        <v>5</v>
      </c>
      <c r="D66">
        <f>gaz[[#This Row],[Odczyt licznika]]-B65</f>
        <v>188</v>
      </c>
    </row>
    <row r="67" spans="1:4" x14ac:dyDescent="0.25">
      <c r="A67" s="1">
        <v>39263</v>
      </c>
      <c r="B67">
        <v>11776</v>
      </c>
      <c r="C67">
        <f>MONTH(gaz[[#This Row],[Data odczytu]])</f>
        <v>6</v>
      </c>
      <c r="D67">
        <f>gaz[[#This Row],[Odczyt licznika]]-B66</f>
        <v>107</v>
      </c>
    </row>
    <row r="68" spans="1:4" x14ac:dyDescent="0.25">
      <c r="A68" s="1">
        <v>39294</v>
      </c>
      <c r="B68">
        <v>11795</v>
      </c>
      <c r="C68">
        <f>MONTH(gaz[[#This Row],[Data odczytu]])</f>
        <v>7</v>
      </c>
      <c r="D68">
        <f>gaz[[#This Row],[Odczyt licznika]]-B67</f>
        <v>19</v>
      </c>
    </row>
    <row r="69" spans="1:4" x14ac:dyDescent="0.25">
      <c r="A69" s="1">
        <v>39325</v>
      </c>
      <c r="B69">
        <v>11814</v>
      </c>
      <c r="C69">
        <f>MONTH(gaz[[#This Row],[Data odczytu]])</f>
        <v>8</v>
      </c>
      <c r="D69">
        <f>gaz[[#This Row],[Odczyt licznika]]-B68</f>
        <v>19</v>
      </c>
    </row>
    <row r="70" spans="1:4" x14ac:dyDescent="0.25">
      <c r="A70" s="1">
        <v>39355</v>
      </c>
      <c r="B70">
        <v>11901</v>
      </c>
      <c r="C70">
        <f>MONTH(gaz[[#This Row],[Data odczytu]])</f>
        <v>9</v>
      </c>
      <c r="D70">
        <f>gaz[[#This Row],[Odczyt licznika]]-B69</f>
        <v>87</v>
      </c>
    </row>
    <row r="71" spans="1:4" x14ac:dyDescent="0.25">
      <c r="A71" s="1">
        <v>39386</v>
      </c>
      <c r="B71">
        <v>12044</v>
      </c>
      <c r="C71">
        <f>MONTH(gaz[[#This Row],[Data odczytu]])</f>
        <v>10</v>
      </c>
      <c r="D71">
        <f>gaz[[#This Row],[Odczyt licznika]]-B70</f>
        <v>143</v>
      </c>
    </row>
    <row r="72" spans="1:4" x14ac:dyDescent="0.25">
      <c r="A72" s="1">
        <v>39416</v>
      </c>
      <c r="B72">
        <v>12170</v>
      </c>
      <c r="C72">
        <f>MONTH(gaz[[#This Row],[Data odczytu]])</f>
        <v>11</v>
      </c>
      <c r="D72">
        <f>gaz[[#This Row],[Odczyt licznika]]-B71</f>
        <v>126</v>
      </c>
    </row>
    <row r="73" spans="1:4" x14ac:dyDescent="0.25">
      <c r="A73" s="1">
        <v>39447</v>
      </c>
      <c r="B73">
        <v>12395</v>
      </c>
      <c r="C73">
        <f>MONTH(gaz[[#This Row],[Data odczytu]])</f>
        <v>12</v>
      </c>
      <c r="D73">
        <f>gaz[[#This Row],[Odczyt licznika]]-B72</f>
        <v>225</v>
      </c>
    </row>
    <row r="74" spans="1:4" x14ac:dyDescent="0.25">
      <c r="A74" s="1">
        <v>39478</v>
      </c>
      <c r="B74">
        <v>12702</v>
      </c>
      <c r="C74">
        <f>MONTH(gaz[[#This Row],[Data odczytu]])</f>
        <v>1</v>
      </c>
      <c r="D74">
        <f>gaz[[#This Row],[Odczyt licznika]]-B73</f>
        <v>307</v>
      </c>
    </row>
    <row r="75" spans="1:4" x14ac:dyDescent="0.25">
      <c r="A75" s="1">
        <v>39506</v>
      </c>
      <c r="B75">
        <v>13025</v>
      </c>
      <c r="C75">
        <f>MONTH(gaz[[#This Row],[Data odczytu]])</f>
        <v>2</v>
      </c>
      <c r="D75">
        <f>gaz[[#This Row],[Odczyt licznika]]-B74</f>
        <v>323</v>
      </c>
    </row>
    <row r="76" spans="1:4" x14ac:dyDescent="0.25">
      <c r="A76" s="1">
        <v>39538</v>
      </c>
      <c r="B76">
        <v>13261</v>
      </c>
      <c r="C76">
        <f>MONTH(gaz[[#This Row],[Data odczytu]])</f>
        <v>3</v>
      </c>
      <c r="D76">
        <f>gaz[[#This Row],[Odczyt licznika]]-B75</f>
        <v>236</v>
      </c>
    </row>
    <row r="77" spans="1:4" x14ac:dyDescent="0.25">
      <c r="A77" s="1">
        <v>39568</v>
      </c>
      <c r="B77">
        <v>13376</v>
      </c>
      <c r="C77">
        <f>MONTH(gaz[[#This Row],[Data odczytu]])</f>
        <v>4</v>
      </c>
      <c r="D77">
        <f>gaz[[#This Row],[Odczyt licznika]]-B76</f>
        <v>115</v>
      </c>
    </row>
    <row r="78" spans="1:4" x14ac:dyDescent="0.25">
      <c r="A78" s="1">
        <v>39599</v>
      </c>
      <c r="B78">
        <v>13478</v>
      </c>
      <c r="C78">
        <f>MONTH(gaz[[#This Row],[Data odczytu]])</f>
        <v>5</v>
      </c>
      <c r="D78">
        <f>gaz[[#This Row],[Odczyt licznika]]-B77</f>
        <v>102</v>
      </c>
    </row>
    <row r="79" spans="1:4" x14ac:dyDescent="0.25">
      <c r="A79" s="1">
        <v>39629</v>
      </c>
      <c r="B79">
        <v>13506</v>
      </c>
      <c r="C79">
        <f>MONTH(gaz[[#This Row],[Data odczytu]])</f>
        <v>6</v>
      </c>
      <c r="D79">
        <f>gaz[[#This Row],[Odczyt licznika]]-B78</f>
        <v>28</v>
      </c>
    </row>
    <row r="80" spans="1:4" x14ac:dyDescent="0.25">
      <c r="A80" s="1">
        <v>39660</v>
      </c>
      <c r="B80">
        <v>13516</v>
      </c>
      <c r="C80">
        <f>MONTH(gaz[[#This Row],[Data odczytu]])</f>
        <v>7</v>
      </c>
      <c r="D80">
        <f>gaz[[#This Row],[Odczyt licznika]]-B79</f>
        <v>10</v>
      </c>
    </row>
    <row r="81" spans="1:4" x14ac:dyDescent="0.25">
      <c r="A81" s="1">
        <v>39691</v>
      </c>
      <c r="B81">
        <v>13529</v>
      </c>
      <c r="C81">
        <f>MONTH(gaz[[#This Row],[Data odczytu]])</f>
        <v>8</v>
      </c>
      <c r="D81">
        <f>gaz[[#This Row],[Odczyt licznika]]-B80</f>
        <v>13</v>
      </c>
    </row>
    <row r="82" spans="1:4" x14ac:dyDescent="0.25">
      <c r="A82" s="1">
        <v>39721</v>
      </c>
      <c r="B82">
        <v>13645</v>
      </c>
      <c r="C82">
        <f>MONTH(gaz[[#This Row],[Data odczytu]])</f>
        <v>9</v>
      </c>
      <c r="D82">
        <f>gaz[[#This Row],[Odczyt licznika]]-B81</f>
        <v>116</v>
      </c>
    </row>
    <row r="83" spans="1:4" x14ac:dyDescent="0.25">
      <c r="A83" s="1">
        <v>39752</v>
      </c>
      <c r="B83">
        <v>13791</v>
      </c>
      <c r="C83">
        <f>MONTH(gaz[[#This Row],[Data odczytu]])</f>
        <v>10</v>
      </c>
      <c r="D83">
        <f>gaz[[#This Row],[Odczyt licznika]]-B82</f>
        <v>146</v>
      </c>
    </row>
    <row r="84" spans="1:4" x14ac:dyDescent="0.25">
      <c r="A84" s="1">
        <v>39782</v>
      </c>
      <c r="B84">
        <v>14055</v>
      </c>
      <c r="C84">
        <f>MONTH(gaz[[#This Row],[Data odczytu]])</f>
        <v>11</v>
      </c>
      <c r="D84">
        <f>gaz[[#This Row],[Odczyt licznika]]-B83</f>
        <v>264</v>
      </c>
    </row>
    <row r="85" spans="1:4" x14ac:dyDescent="0.25">
      <c r="A85" s="1">
        <v>39813</v>
      </c>
      <c r="B85">
        <v>14301</v>
      </c>
      <c r="C85">
        <f>MONTH(gaz[[#This Row],[Data odczytu]])</f>
        <v>12</v>
      </c>
      <c r="D85">
        <f>gaz[[#This Row],[Odczyt licznika]]-B84</f>
        <v>246</v>
      </c>
    </row>
    <row r="86" spans="1:4" x14ac:dyDescent="0.25">
      <c r="A86" s="1">
        <v>39844</v>
      </c>
      <c r="B86">
        <v>14537</v>
      </c>
      <c r="C86">
        <f>MONTH(gaz[[#This Row],[Data odczytu]])</f>
        <v>1</v>
      </c>
      <c r="D86">
        <f>gaz[[#This Row],[Odczyt licznika]]-B85</f>
        <v>236</v>
      </c>
    </row>
    <row r="87" spans="1:4" x14ac:dyDescent="0.25">
      <c r="A87" s="1">
        <v>39872</v>
      </c>
      <c r="B87">
        <v>14827</v>
      </c>
      <c r="C87">
        <f>MONTH(gaz[[#This Row],[Data odczytu]])</f>
        <v>2</v>
      </c>
      <c r="D87">
        <f>gaz[[#This Row],[Odczyt licznika]]-B86</f>
        <v>290</v>
      </c>
    </row>
    <row r="88" spans="1:4" x14ac:dyDescent="0.25">
      <c r="A88" s="1">
        <v>39903</v>
      </c>
      <c r="B88">
        <v>15002</v>
      </c>
      <c r="C88">
        <f>MONTH(gaz[[#This Row],[Data odczytu]])</f>
        <v>3</v>
      </c>
      <c r="D88">
        <f>gaz[[#This Row],[Odczyt licznika]]-B87</f>
        <v>175</v>
      </c>
    </row>
    <row r="89" spans="1:4" x14ac:dyDescent="0.25">
      <c r="A89" s="1">
        <v>39933</v>
      </c>
      <c r="B89">
        <v>15155</v>
      </c>
      <c r="C89">
        <f>MONTH(gaz[[#This Row],[Data odczytu]])</f>
        <v>4</v>
      </c>
      <c r="D89">
        <f>gaz[[#This Row],[Odczyt licznika]]-B88</f>
        <v>153</v>
      </c>
    </row>
    <row r="90" spans="1:4" x14ac:dyDescent="0.25">
      <c r="A90" s="1">
        <v>39964</v>
      </c>
      <c r="B90">
        <v>15335</v>
      </c>
      <c r="C90">
        <f>MONTH(gaz[[#This Row],[Data odczytu]])</f>
        <v>5</v>
      </c>
      <c r="D90">
        <f>gaz[[#This Row],[Odczyt licznika]]-B89</f>
        <v>180</v>
      </c>
    </row>
    <row r="91" spans="1:4" x14ac:dyDescent="0.25">
      <c r="A91" s="1">
        <v>39994</v>
      </c>
      <c r="B91">
        <v>15437</v>
      </c>
      <c r="C91">
        <f>MONTH(gaz[[#This Row],[Data odczytu]])</f>
        <v>6</v>
      </c>
      <c r="D91">
        <f>gaz[[#This Row],[Odczyt licznika]]-B90</f>
        <v>102</v>
      </c>
    </row>
    <row r="92" spans="1:4" x14ac:dyDescent="0.25">
      <c r="A92" s="1">
        <v>40025</v>
      </c>
      <c r="B92">
        <v>15455</v>
      </c>
      <c r="C92">
        <f>MONTH(gaz[[#This Row],[Data odczytu]])</f>
        <v>7</v>
      </c>
      <c r="D92">
        <f>gaz[[#This Row],[Odczyt licznika]]-B91</f>
        <v>18</v>
      </c>
    </row>
    <row r="93" spans="1:4" x14ac:dyDescent="0.25">
      <c r="A93" s="1">
        <v>40056</v>
      </c>
      <c r="B93">
        <v>15474</v>
      </c>
      <c r="C93">
        <f>MONTH(gaz[[#This Row],[Data odczytu]])</f>
        <v>8</v>
      </c>
      <c r="D93">
        <f>gaz[[#This Row],[Odczyt licznika]]-B92</f>
        <v>19</v>
      </c>
    </row>
    <row r="94" spans="1:4" x14ac:dyDescent="0.25">
      <c r="A94" s="1">
        <v>40086</v>
      </c>
      <c r="B94">
        <v>15557</v>
      </c>
      <c r="C94">
        <f>MONTH(gaz[[#This Row],[Data odczytu]])</f>
        <v>9</v>
      </c>
      <c r="D94">
        <f>gaz[[#This Row],[Odczyt licznika]]-B93</f>
        <v>83</v>
      </c>
    </row>
    <row r="95" spans="1:4" x14ac:dyDescent="0.25">
      <c r="A95" s="1">
        <v>40117</v>
      </c>
      <c r="B95">
        <v>15694</v>
      </c>
      <c r="C95">
        <f>MONTH(gaz[[#This Row],[Data odczytu]])</f>
        <v>10</v>
      </c>
      <c r="D95">
        <f>gaz[[#This Row],[Odczyt licznika]]-B94</f>
        <v>137</v>
      </c>
    </row>
    <row r="96" spans="1:4" x14ac:dyDescent="0.25">
      <c r="A96" s="1">
        <v>40147</v>
      </c>
      <c r="B96">
        <v>15835</v>
      </c>
      <c r="C96">
        <f>MONTH(gaz[[#This Row],[Data odczytu]])</f>
        <v>11</v>
      </c>
      <c r="D96">
        <f>gaz[[#This Row],[Odczyt licznika]]-B95</f>
        <v>141</v>
      </c>
    </row>
    <row r="97" spans="1:4" x14ac:dyDescent="0.25">
      <c r="A97" s="1">
        <v>40178</v>
      </c>
      <c r="B97">
        <v>16087</v>
      </c>
      <c r="C97">
        <f>MONTH(gaz[[#This Row],[Data odczytu]])</f>
        <v>12</v>
      </c>
      <c r="D97">
        <f>gaz[[#This Row],[Odczyt licznika]]-B96</f>
        <v>252</v>
      </c>
    </row>
    <row r="98" spans="1:4" x14ac:dyDescent="0.25">
      <c r="A98" s="1">
        <v>40209</v>
      </c>
      <c r="B98">
        <v>16431</v>
      </c>
      <c r="C98">
        <f>MONTH(gaz[[#This Row],[Data odczytu]])</f>
        <v>1</v>
      </c>
      <c r="D98">
        <f>gaz[[#This Row],[Odczyt licznika]]-B97</f>
        <v>344</v>
      </c>
    </row>
    <row r="99" spans="1:4" x14ac:dyDescent="0.25">
      <c r="A99" s="1">
        <v>40237</v>
      </c>
      <c r="B99">
        <v>16792</v>
      </c>
      <c r="C99">
        <f>MONTH(gaz[[#This Row],[Data odczytu]])</f>
        <v>2</v>
      </c>
      <c r="D99">
        <f>gaz[[#This Row],[Odczyt licznika]]-B98</f>
        <v>361</v>
      </c>
    </row>
    <row r="100" spans="1:4" x14ac:dyDescent="0.25">
      <c r="A100" s="1">
        <v>40268</v>
      </c>
      <c r="B100">
        <v>17057</v>
      </c>
      <c r="C100">
        <f>MONTH(gaz[[#This Row],[Data odczytu]])</f>
        <v>3</v>
      </c>
      <c r="D100">
        <f>gaz[[#This Row],[Odczyt licznika]]-B99</f>
        <v>265</v>
      </c>
    </row>
    <row r="101" spans="1:4" x14ac:dyDescent="0.25">
      <c r="A101" s="1">
        <v>40298</v>
      </c>
      <c r="B101">
        <v>17186</v>
      </c>
      <c r="C101">
        <f>MONTH(gaz[[#This Row],[Data odczytu]])</f>
        <v>4</v>
      </c>
      <c r="D101">
        <f>gaz[[#This Row],[Odczyt licznika]]-B100</f>
        <v>129</v>
      </c>
    </row>
    <row r="102" spans="1:4" x14ac:dyDescent="0.25">
      <c r="A102" s="1">
        <v>40329</v>
      </c>
      <c r="B102">
        <v>17301</v>
      </c>
      <c r="C102">
        <f>MONTH(gaz[[#This Row],[Data odczytu]])</f>
        <v>5</v>
      </c>
      <c r="D102">
        <f>gaz[[#This Row],[Odczyt licznika]]-B101</f>
        <v>115</v>
      </c>
    </row>
    <row r="103" spans="1:4" x14ac:dyDescent="0.25">
      <c r="A103" s="1">
        <v>40359</v>
      </c>
      <c r="B103">
        <v>17332</v>
      </c>
      <c r="C103">
        <f>MONTH(gaz[[#This Row],[Data odczytu]])</f>
        <v>6</v>
      </c>
      <c r="D103">
        <f>gaz[[#This Row],[Odczyt licznika]]-B102</f>
        <v>31</v>
      </c>
    </row>
    <row r="104" spans="1:4" x14ac:dyDescent="0.25">
      <c r="A104" s="1">
        <v>40390</v>
      </c>
      <c r="B104">
        <v>17352</v>
      </c>
      <c r="C104">
        <f>MONTH(gaz[[#This Row],[Data odczytu]])</f>
        <v>7</v>
      </c>
      <c r="D104">
        <f>gaz[[#This Row],[Odczyt licznika]]-B103</f>
        <v>20</v>
      </c>
    </row>
    <row r="105" spans="1:4" x14ac:dyDescent="0.25">
      <c r="A105" s="1">
        <v>40421</v>
      </c>
      <c r="B105">
        <v>17367</v>
      </c>
      <c r="C105">
        <f>MONTH(gaz[[#This Row],[Data odczytu]])</f>
        <v>8</v>
      </c>
      <c r="D105">
        <f>gaz[[#This Row],[Odczyt licznika]]-B104</f>
        <v>15</v>
      </c>
    </row>
    <row r="106" spans="1:4" x14ac:dyDescent="0.25">
      <c r="A106" s="1">
        <v>40451</v>
      </c>
      <c r="B106">
        <v>17517</v>
      </c>
      <c r="C106">
        <f>MONTH(gaz[[#This Row],[Data odczytu]])</f>
        <v>9</v>
      </c>
      <c r="D106">
        <f>gaz[[#This Row],[Odczyt licznika]]-B105</f>
        <v>150</v>
      </c>
    </row>
    <row r="107" spans="1:4" x14ac:dyDescent="0.25">
      <c r="A107" s="1">
        <v>40482</v>
      </c>
      <c r="B107">
        <v>17708</v>
      </c>
      <c r="C107">
        <f>MONTH(gaz[[#This Row],[Data odczytu]])</f>
        <v>10</v>
      </c>
      <c r="D107">
        <f>gaz[[#This Row],[Odczyt licznika]]-B106</f>
        <v>191</v>
      </c>
    </row>
    <row r="108" spans="1:4" x14ac:dyDescent="0.25">
      <c r="A108" s="1">
        <v>40512</v>
      </c>
      <c r="B108">
        <v>18052</v>
      </c>
      <c r="C108">
        <f>MONTH(gaz[[#This Row],[Data odczytu]])</f>
        <v>11</v>
      </c>
      <c r="D108">
        <f>gaz[[#This Row],[Odczyt licznika]]-B107</f>
        <v>344</v>
      </c>
    </row>
    <row r="109" spans="1:4" x14ac:dyDescent="0.25">
      <c r="A109" s="1">
        <v>40543</v>
      </c>
      <c r="B109">
        <v>18372</v>
      </c>
      <c r="C109">
        <f>MONTH(gaz[[#This Row],[Data odczytu]])</f>
        <v>12</v>
      </c>
      <c r="D109">
        <f>gaz[[#This Row],[Odczyt licznika]]-B108</f>
        <v>320</v>
      </c>
    </row>
    <row r="110" spans="1:4" x14ac:dyDescent="0.25">
      <c r="A110" s="1">
        <v>40574</v>
      </c>
      <c r="B110">
        <v>18680</v>
      </c>
      <c r="C110">
        <f>MONTH(gaz[[#This Row],[Data odczytu]])</f>
        <v>1</v>
      </c>
      <c r="D110">
        <f>gaz[[#This Row],[Odczyt licznika]]-B109</f>
        <v>308</v>
      </c>
    </row>
    <row r="111" spans="1:4" x14ac:dyDescent="0.25">
      <c r="A111" s="1">
        <v>40602</v>
      </c>
      <c r="B111">
        <v>19057</v>
      </c>
      <c r="C111">
        <f>MONTH(gaz[[#This Row],[Data odczytu]])</f>
        <v>2</v>
      </c>
      <c r="D111">
        <f>gaz[[#This Row],[Odczyt licznika]]-B110</f>
        <v>377</v>
      </c>
    </row>
    <row r="112" spans="1:4" x14ac:dyDescent="0.25">
      <c r="A112" s="1">
        <v>40633</v>
      </c>
      <c r="B112">
        <v>19285</v>
      </c>
      <c r="C112">
        <f>MONTH(gaz[[#This Row],[Data odczytu]])</f>
        <v>3</v>
      </c>
      <c r="D112">
        <f>gaz[[#This Row],[Odczyt licznika]]-B111</f>
        <v>228</v>
      </c>
    </row>
    <row r="113" spans="1:4" x14ac:dyDescent="0.25">
      <c r="A113" s="1">
        <v>40663</v>
      </c>
      <c r="B113">
        <v>19431</v>
      </c>
      <c r="C113">
        <f>MONTH(gaz[[#This Row],[Data odczytu]])</f>
        <v>4</v>
      </c>
      <c r="D113">
        <f>gaz[[#This Row],[Odczyt licznika]]-B112</f>
        <v>146</v>
      </c>
    </row>
    <row r="114" spans="1:4" x14ac:dyDescent="0.25">
      <c r="A114" s="1">
        <v>40694</v>
      </c>
      <c r="B114">
        <v>19604</v>
      </c>
      <c r="C114">
        <f>MONTH(gaz[[#This Row],[Data odczytu]])</f>
        <v>5</v>
      </c>
      <c r="D114">
        <f>gaz[[#This Row],[Odczyt licznika]]-B113</f>
        <v>173</v>
      </c>
    </row>
    <row r="115" spans="1:4" x14ac:dyDescent="0.25">
      <c r="A115" s="1">
        <v>40724</v>
      </c>
      <c r="B115">
        <v>19702</v>
      </c>
      <c r="C115">
        <f>MONTH(gaz[[#This Row],[Data odczytu]])</f>
        <v>6</v>
      </c>
      <c r="D115">
        <f>gaz[[#This Row],[Odczyt licznika]]-B114</f>
        <v>98</v>
      </c>
    </row>
    <row r="116" spans="1:4" x14ac:dyDescent="0.25">
      <c r="A116" s="1">
        <v>40755</v>
      </c>
      <c r="B116">
        <v>19718</v>
      </c>
      <c r="C116">
        <f>MONTH(gaz[[#This Row],[Data odczytu]])</f>
        <v>7</v>
      </c>
      <c r="D116">
        <f>gaz[[#This Row],[Odczyt licznika]]-B115</f>
        <v>16</v>
      </c>
    </row>
    <row r="117" spans="1:4" x14ac:dyDescent="0.25">
      <c r="A117" s="1">
        <v>40786</v>
      </c>
      <c r="B117">
        <v>19735</v>
      </c>
      <c r="C117">
        <f>MONTH(gaz[[#This Row],[Data odczytu]])</f>
        <v>8</v>
      </c>
      <c r="D117">
        <f>gaz[[#This Row],[Odczyt licznika]]-B116</f>
        <v>17</v>
      </c>
    </row>
    <row r="118" spans="1:4" x14ac:dyDescent="0.25">
      <c r="A118" s="1">
        <v>40816</v>
      </c>
      <c r="B118">
        <v>19815</v>
      </c>
      <c r="C118">
        <f>MONTH(gaz[[#This Row],[Data odczytu]])</f>
        <v>9</v>
      </c>
      <c r="D118">
        <f>gaz[[#This Row],[Odczyt licznika]]-B117</f>
        <v>80</v>
      </c>
    </row>
    <row r="119" spans="1:4" x14ac:dyDescent="0.25">
      <c r="A119" s="1">
        <v>40847</v>
      </c>
      <c r="B119">
        <v>19946</v>
      </c>
      <c r="C119">
        <f>MONTH(gaz[[#This Row],[Data odczytu]])</f>
        <v>10</v>
      </c>
      <c r="D119">
        <f>gaz[[#This Row],[Odczyt licznika]]-B118</f>
        <v>131</v>
      </c>
    </row>
    <row r="120" spans="1:4" x14ac:dyDescent="0.25">
      <c r="A120" s="1">
        <v>40877</v>
      </c>
      <c r="B120">
        <v>20081</v>
      </c>
      <c r="C120">
        <f>MONTH(gaz[[#This Row],[Data odczytu]])</f>
        <v>11</v>
      </c>
      <c r="D120">
        <f>gaz[[#This Row],[Odczyt licznika]]-B119</f>
        <v>135</v>
      </c>
    </row>
    <row r="121" spans="1:4" x14ac:dyDescent="0.25">
      <c r="A121" s="1">
        <v>40908</v>
      </c>
      <c r="B121">
        <v>20323</v>
      </c>
      <c r="C121">
        <f>MONTH(gaz[[#This Row],[Data odczytu]])</f>
        <v>12</v>
      </c>
      <c r="D121">
        <f>gaz[[#This Row],[Odczyt licznika]]-B120</f>
        <v>242</v>
      </c>
    </row>
    <row r="122" spans="1:4" x14ac:dyDescent="0.25">
      <c r="A122" s="1">
        <v>40939</v>
      </c>
      <c r="B122">
        <v>20653</v>
      </c>
      <c r="C122">
        <f>MONTH(gaz[[#This Row],[Data odczytu]])</f>
        <v>1</v>
      </c>
      <c r="D122">
        <f>gaz[[#This Row],[Odczyt licznika]]-B121</f>
        <v>330</v>
      </c>
    </row>
    <row r="123" spans="1:4" x14ac:dyDescent="0.25">
      <c r="A123" s="1">
        <v>40967</v>
      </c>
      <c r="B123">
        <v>21000</v>
      </c>
      <c r="C123">
        <f>MONTH(gaz[[#This Row],[Data odczytu]])</f>
        <v>2</v>
      </c>
      <c r="D123">
        <f>gaz[[#This Row],[Odczyt licznika]]-B122</f>
        <v>347</v>
      </c>
    </row>
    <row r="124" spans="1:4" x14ac:dyDescent="0.25">
      <c r="A124" s="1">
        <v>40999</v>
      </c>
      <c r="B124">
        <v>21254</v>
      </c>
      <c r="C124">
        <f>MONTH(gaz[[#This Row],[Data odczytu]])</f>
        <v>3</v>
      </c>
      <c r="D124">
        <f>gaz[[#This Row],[Odczyt licznika]]-B123</f>
        <v>254</v>
      </c>
    </row>
    <row r="125" spans="1:4" x14ac:dyDescent="0.25">
      <c r="A125" s="1">
        <v>41029</v>
      </c>
      <c r="B125">
        <v>21377</v>
      </c>
      <c r="C125">
        <f>MONTH(gaz[[#This Row],[Data odczytu]])</f>
        <v>4</v>
      </c>
      <c r="D125">
        <f>gaz[[#This Row],[Odczyt licznika]]-B124</f>
        <v>123</v>
      </c>
    </row>
    <row r="126" spans="1:4" x14ac:dyDescent="0.25">
      <c r="A126" s="1">
        <v>41060</v>
      </c>
      <c r="B126">
        <v>21487</v>
      </c>
      <c r="C126">
        <f>MONTH(gaz[[#This Row],[Data odczytu]])</f>
        <v>5</v>
      </c>
      <c r="D126">
        <f>gaz[[#This Row],[Odczyt licznika]]-B125</f>
        <v>110</v>
      </c>
    </row>
    <row r="127" spans="1:4" x14ac:dyDescent="0.25">
      <c r="A127" s="1">
        <v>41090</v>
      </c>
      <c r="B127">
        <v>21517</v>
      </c>
      <c r="C127">
        <f>MONTH(gaz[[#This Row],[Data odczytu]])</f>
        <v>6</v>
      </c>
      <c r="D127">
        <f>gaz[[#This Row],[Odczyt licznika]]-B126</f>
        <v>30</v>
      </c>
    </row>
    <row r="128" spans="1:4" x14ac:dyDescent="0.25">
      <c r="A128" s="1">
        <v>41121</v>
      </c>
      <c r="B128">
        <v>21536</v>
      </c>
      <c r="C128">
        <f>MONTH(gaz[[#This Row],[Data odczytu]])</f>
        <v>7</v>
      </c>
      <c r="D128">
        <f>gaz[[#This Row],[Odczyt licznika]]-B127</f>
        <v>19</v>
      </c>
    </row>
    <row r="129" spans="1:4" x14ac:dyDescent="0.25">
      <c r="A129" s="1">
        <v>41152</v>
      </c>
      <c r="B129">
        <v>21550</v>
      </c>
      <c r="C129">
        <f>MONTH(gaz[[#This Row],[Data odczytu]])</f>
        <v>8</v>
      </c>
      <c r="D129">
        <f>gaz[[#This Row],[Odczyt licznika]]-B128</f>
        <v>14</v>
      </c>
    </row>
    <row r="130" spans="1:4" x14ac:dyDescent="0.25">
      <c r="A130" s="1">
        <v>41182</v>
      </c>
      <c r="B130">
        <v>21695</v>
      </c>
      <c r="C130">
        <f>MONTH(gaz[[#This Row],[Data odczytu]])</f>
        <v>9</v>
      </c>
      <c r="D130">
        <f>gaz[[#This Row],[Odczyt licznika]]-B129</f>
        <v>145</v>
      </c>
    </row>
    <row r="131" spans="1:4" x14ac:dyDescent="0.25">
      <c r="A131" s="1">
        <v>41213</v>
      </c>
      <c r="B131">
        <v>21878</v>
      </c>
      <c r="C131">
        <f>MONTH(gaz[[#This Row],[Data odczytu]])</f>
        <v>10</v>
      </c>
      <c r="D131">
        <f>gaz[[#This Row],[Odczyt licznika]]-B130</f>
        <v>183</v>
      </c>
    </row>
    <row r="132" spans="1:4" x14ac:dyDescent="0.25">
      <c r="A132" s="1">
        <v>41243</v>
      </c>
      <c r="B132">
        <v>22208</v>
      </c>
      <c r="C132">
        <f>MONTH(gaz[[#This Row],[Data odczytu]])</f>
        <v>11</v>
      </c>
      <c r="D132">
        <f>gaz[[#This Row],[Odczyt licznika]]-B131</f>
        <v>330</v>
      </c>
    </row>
    <row r="133" spans="1:4" x14ac:dyDescent="0.25">
      <c r="A133" s="1">
        <v>41274</v>
      </c>
      <c r="B133">
        <v>22516</v>
      </c>
      <c r="C133">
        <f>MONTH(gaz[[#This Row],[Data odczytu]])</f>
        <v>12</v>
      </c>
      <c r="D133">
        <f>gaz[[#This Row],[Odczyt licznika]]-B132</f>
        <v>308</v>
      </c>
    </row>
    <row r="134" spans="1:4" x14ac:dyDescent="0.25">
      <c r="A134" s="1">
        <v>41305</v>
      </c>
      <c r="B134">
        <v>22811</v>
      </c>
      <c r="C134">
        <f>MONTH(gaz[[#This Row],[Data odczytu]])</f>
        <v>1</v>
      </c>
      <c r="D134">
        <f>gaz[[#This Row],[Odczyt licznika]]-B133</f>
        <v>295</v>
      </c>
    </row>
    <row r="135" spans="1:4" x14ac:dyDescent="0.25">
      <c r="A135" s="1">
        <v>41333</v>
      </c>
      <c r="B135">
        <v>23173</v>
      </c>
      <c r="C135">
        <f>MONTH(gaz[[#This Row],[Data odczytu]])</f>
        <v>2</v>
      </c>
      <c r="D135">
        <f>gaz[[#This Row],[Odczyt licznika]]-B134</f>
        <v>362</v>
      </c>
    </row>
    <row r="136" spans="1:4" x14ac:dyDescent="0.25">
      <c r="A136" s="1">
        <v>41364</v>
      </c>
      <c r="B136">
        <v>23392</v>
      </c>
      <c r="C136">
        <f>MONTH(gaz[[#This Row],[Data odczytu]])</f>
        <v>3</v>
      </c>
      <c r="D136">
        <f>gaz[[#This Row],[Odczyt licznika]]-B135</f>
        <v>219</v>
      </c>
    </row>
    <row r="137" spans="1:4" x14ac:dyDescent="0.25">
      <c r="A137" s="1">
        <v>41394</v>
      </c>
      <c r="B137">
        <v>23533</v>
      </c>
      <c r="C137">
        <f>MONTH(gaz[[#This Row],[Data odczytu]])</f>
        <v>4</v>
      </c>
      <c r="D137">
        <f>gaz[[#This Row],[Odczyt licznika]]-B136</f>
        <v>141</v>
      </c>
    </row>
    <row r="138" spans="1:4" x14ac:dyDescent="0.25">
      <c r="A138" s="1">
        <v>41425</v>
      </c>
      <c r="B138">
        <v>23699</v>
      </c>
      <c r="C138">
        <f>MONTH(gaz[[#This Row],[Data odczytu]])</f>
        <v>5</v>
      </c>
      <c r="D138">
        <f>gaz[[#This Row],[Odczyt licznika]]-B137</f>
        <v>166</v>
      </c>
    </row>
    <row r="139" spans="1:4" x14ac:dyDescent="0.25">
      <c r="A139" s="1">
        <v>41455</v>
      </c>
      <c r="B139">
        <v>23793</v>
      </c>
      <c r="C139">
        <f>MONTH(gaz[[#This Row],[Data odczytu]])</f>
        <v>6</v>
      </c>
      <c r="D139">
        <f>gaz[[#This Row],[Odczyt licznika]]-B138</f>
        <v>94</v>
      </c>
    </row>
    <row r="140" spans="1:4" x14ac:dyDescent="0.25">
      <c r="A140" s="1">
        <v>41486</v>
      </c>
      <c r="B140">
        <v>23809</v>
      </c>
      <c r="C140">
        <f>MONTH(gaz[[#This Row],[Data odczytu]])</f>
        <v>7</v>
      </c>
      <c r="D140">
        <f>gaz[[#This Row],[Odczyt licznika]]-B139</f>
        <v>16</v>
      </c>
    </row>
    <row r="141" spans="1:4" x14ac:dyDescent="0.25">
      <c r="A141" s="1">
        <v>41517</v>
      </c>
      <c r="B141">
        <v>23825</v>
      </c>
      <c r="C141">
        <f>MONTH(gaz[[#This Row],[Data odczytu]])</f>
        <v>8</v>
      </c>
      <c r="D141">
        <f>gaz[[#This Row],[Odczyt licznika]]-B140</f>
        <v>16</v>
      </c>
    </row>
    <row r="142" spans="1:4" x14ac:dyDescent="0.25">
      <c r="A142" s="1">
        <v>41547</v>
      </c>
      <c r="B142">
        <v>23902</v>
      </c>
      <c r="C142">
        <f>MONTH(gaz[[#This Row],[Data odczytu]])</f>
        <v>9</v>
      </c>
      <c r="D142">
        <f>gaz[[#This Row],[Odczyt licznika]]-B141</f>
        <v>77</v>
      </c>
    </row>
    <row r="143" spans="1:4" x14ac:dyDescent="0.25">
      <c r="A143" s="1">
        <v>41578</v>
      </c>
      <c r="B143">
        <v>24028</v>
      </c>
      <c r="C143">
        <f>MONTH(gaz[[#This Row],[Data odczytu]])</f>
        <v>10</v>
      </c>
      <c r="D143">
        <f>gaz[[#This Row],[Odczyt licznika]]-B142</f>
        <v>126</v>
      </c>
    </row>
    <row r="144" spans="1:4" x14ac:dyDescent="0.25">
      <c r="A144" s="1">
        <v>41608</v>
      </c>
      <c r="B144">
        <v>24158</v>
      </c>
      <c r="C144">
        <f>MONTH(gaz[[#This Row],[Data odczytu]])</f>
        <v>11</v>
      </c>
      <c r="D144">
        <f>gaz[[#This Row],[Odczyt licznika]]-B143</f>
        <v>130</v>
      </c>
    </row>
    <row r="145" spans="1:4" x14ac:dyDescent="0.25">
      <c r="A145" s="1">
        <v>41639</v>
      </c>
      <c r="B145">
        <v>24390</v>
      </c>
      <c r="C145">
        <f>MONTH(gaz[[#This Row],[Data odczytu]])</f>
        <v>12</v>
      </c>
      <c r="D145">
        <f>gaz[[#This Row],[Odczyt licznika]]-B144</f>
        <v>232</v>
      </c>
    </row>
    <row r="146" spans="1:4" x14ac:dyDescent="0.25">
      <c r="A146" s="1">
        <v>41670</v>
      </c>
      <c r="B146">
        <v>24707</v>
      </c>
      <c r="C146">
        <f>MONTH(gaz[[#This Row],[Data odczytu]])</f>
        <v>1</v>
      </c>
      <c r="D146">
        <f>gaz[[#This Row],[Odczyt licznika]]-B145</f>
        <v>317</v>
      </c>
    </row>
    <row r="147" spans="1:4" x14ac:dyDescent="0.25">
      <c r="A147" s="1">
        <v>41698</v>
      </c>
      <c r="B147">
        <v>25040</v>
      </c>
      <c r="C147">
        <f>MONTH(gaz[[#This Row],[Data odczytu]])</f>
        <v>2</v>
      </c>
      <c r="D147">
        <f>gaz[[#This Row],[Odczyt licznika]]-B146</f>
        <v>333</v>
      </c>
    </row>
    <row r="148" spans="1:4" x14ac:dyDescent="0.25">
      <c r="A148" s="1">
        <v>41729</v>
      </c>
      <c r="B148">
        <v>25284</v>
      </c>
      <c r="C148">
        <f>MONTH(gaz[[#This Row],[Data odczytu]])</f>
        <v>3</v>
      </c>
      <c r="D148">
        <f>gaz[[#This Row],[Odczyt licznika]]-B147</f>
        <v>244</v>
      </c>
    </row>
    <row r="149" spans="1:4" x14ac:dyDescent="0.25">
      <c r="A149" s="1">
        <v>41759</v>
      </c>
      <c r="B149">
        <v>25403</v>
      </c>
      <c r="C149">
        <f>MONTH(gaz[[#This Row],[Data odczytu]])</f>
        <v>4</v>
      </c>
      <c r="D149">
        <f>gaz[[#This Row],[Odczyt licznika]]-B148</f>
        <v>119</v>
      </c>
    </row>
    <row r="150" spans="1:4" x14ac:dyDescent="0.25">
      <c r="A150" s="1">
        <v>41790</v>
      </c>
      <c r="B150">
        <v>25508</v>
      </c>
      <c r="C150">
        <f>MONTH(gaz[[#This Row],[Data odczytu]])</f>
        <v>5</v>
      </c>
      <c r="D150">
        <f>gaz[[#This Row],[Odczyt licznika]]-B149</f>
        <v>105</v>
      </c>
    </row>
    <row r="151" spans="1:4" x14ac:dyDescent="0.25">
      <c r="A151" s="1">
        <v>41820</v>
      </c>
      <c r="B151">
        <v>25537</v>
      </c>
      <c r="C151">
        <f>MONTH(gaz[[#This Row],[Data odczytu]])</f>
        <v>6</v>
      </c>
      <c r="D151">
        <f>gaz[[#This Row],[Odczyt licznika]]-B150</f>
        <v>29</v>
      </c>
    </row>
    <row r="152" spans="1:4" x14ac:dyDescent="0.25">
      <c r="A152" s="1">
        <v>41851</v>
      </c>
      <c r="B152">
        <v>25556</v>
      </c>
      <c r="C152">
        <f>MONTH(gaz[[#This Row],[Data odczytu]])</f>
        <v>7</v>
      </c>
      <c r="D152">
        <f>gaz[[#This Row],[Odczyt licznika]]-B151</f>
        <v>19</v>
      </c>
    </row>
    <row r="153" spans="1:4" x14ac:dyDescent="0.25">
      <c r="A153" s="1">
        <v>41882</v>
      </c>
      <c r="B153">
        <v>25569</v>
      </c>
      <c r="C153">
        <f>MONTH(gaz[[#This Row],[Data odczytu]])</f>
        <v>8</v>
      </c>
      <c r="D153">
        <f>gaz[[#This Row],[Odczyt licznika]]-B152</f>
        <v>13</v>
      </c>
    </row>
    <row r="154" spans="1:4" x14ac:dyDescent="0.25">
      <c r="A154" s="1">
        <v>41912</v>
      </c>
      <c r="B154">
        <v>25708</v>
      </c>
      <c r="C154">
        <f>MONTH(gaz[[#This Row],[Data odczytu]])</f>
        <v>9</v>
      </c>
      <c r="D154">
        <f>gaz[[#This Row],[Odczyt licznika]]-B153</f>
        <v>139</v>
      </c>
    </row>
    <row r="155" spans="1:4" x14ac:dyDescent="0.25">
      <c r="A155" s="1">
        <v>41943</v>
      </c>
      <c r="B155">
        <v>25883</v>
      </c>
      <c r="C155">
        <f>MONTH(gaz[[#This Row],[Data odczytu]])</f>
        <v>10</v>
      </c>
      <c r="D155">
        <f>gaz[[#This Row],[Odczyt licznika]]-B154</f>
        <v>175</v>
      </c>
    </row>
    <row r="156" spans="1:4" x14ac:dyDescent="0.25">
      <c r="A156" s="1">
        <v>41973</v>
      </c>
      <c r="B156">
        <v>26183</v>
      </c>
      <c r="C156">
        <f>MONTH(gaz[[#This Row],[Data odczytu]])</f>
        <v>11</v>
      </c>
      <c r="D156">
        <f>gaz[[#This Row],[Odczyt licznika]]-B155</f>
        <v>300</v>
      </c>
    </row>
    <row r="157" spans="1:4" x14ac:dyDescent="0.25">
      <c r="A157" s="1">
        <v>42004</v>
      </c>
      <c r="B157">
        <v>26478</v>
      </c>
      <c r="C157">
        <f>MONTH(gaz[[#This Row],[Data odczytu]])</f>
        <v>12</v>
      </c>
      <c r="D157">
        <f>gaz[[#This Row],[Odczyt licznika]]-B156</f>
        <v>295</v>
      </c>
    </row>
    <row r="158" spans="1:4" x14ac:dyDescent="0.25">
      <c r="A158" s="1">
        <v>42035</v>
      </c>
      <c r="B158">
        <v>26808</v>
      </c>
      <c r="C158">
        <f>MONTH(gaz[[#This Row],[Data odczytu]])</f>
        <v>1</v>
      </c>
      <c r="D158">
        <f>gaz[[#This Row],[Odczyt licznika]]-B157</f>
        <v>330</v>
      </c>
    </row>
    <row r="159" spans="1:4" x14ac:dyDescent="0.25">
      <c r="A159" s="1">
        <v>42063</v>
      </c>
      <c r="B159">
        <v>27156</v>
      </c>
      <c r="C159">
        <f>MONTH(gaz[[#This Row],[Data odczytu]])</f>
        <v>2</v>
      </c>
      <c r="D159">
        <f>gaz[[#This Row],[Odczyt licznika]]-B158</f>
        <v>348</v>
      </c>
    </row>
    <row r="160" spans="1:4" x14ac:dyDescent="0.25">
      <c r="A160" s="1">
        <v>42094</v>
      </c>
      <c r="B160">
        <v>27366</v>
      </c>
      <c r="C160">
        <f>MONTH(gaz[[#This Row],[Data odczytu]])</f>
        <v>3</v>
      </c>
      <c r="D160">
        <f>gaz[[#This Row],[Odczyt licznika]]-B159</f>
        <v>210</v>
      </c>
    </row>
    <row r="161" spans="1:4" x14ac:dyDescent="0.25">
      <c r="A161" s="1">
        <v>42124</v>
      </c>
      <c r="B161">
        <v>27501</v>
      </c>
      <c r="C161">
        <f>MONTH(gaz[[#This Row],[Data odczytu]])</f>
        <v>4</v>
      </c>
      <c r="D161">
        <f>gaz[[#This Row],[Odczyt licznika]]-B160</f>
        <v>135</v>
      </c>
    </row>
    <row r="162" spans="1:4" x14ac:dyDescent="0.25">
      <c r="A162" s="1">
        <v>42155</v>
      </c>
      <c r="B162">
        <v>27661</v>
      </c>
      <c r="C162">
        <f>MONTH(gaz[[#This Row],[Data odczytu]])</f>
        <v>5</v>
      </c>
      <c r="D162">
        <f>gaz[[#This Row],[Odczyt licznika]]-B161</f>
        <v>160</v>
      </c>
    </row>
    <row r="163" spans="1:4" x14ac:dyDescent="0.25">
      <c r="A163" s="1">
        <v>42185</v>
      </c>
      <c r="B163">
        <v>27752</v>
      </c>
      <c r="C163">
        <f>MONTH(gaz[[#This Row],[Data odczytu]])</f>
        <v>6</v>
      </c>
      <c r="D163">
        <f>gaz[[#This Row],[Odczyt licznika]]-B162</f>
        <v>91</v>
      </c>
    </row>
    <row r="164" spans="1:4" x14ac:dyDescent="0.25">
      <c r="A164" s="1">
        <v>42216</v>
      </c>
      <c r="B164">
        <v>27767</v>
      </c>
      <c r="C164">
        <f>MONTH(gaz[[#This Row],[Data odczytu]])</f>
        <v>7</v>
      </c>
      <c r="D164">
        <f>gaz[[#This Row],[Odczyt licznika]]-B163</f>
        <v>15</v>
      </c>
    </row>
    <row r="165" spans="1:4" x14ac:dyDescent="0.25">
      <c r="A165" s="1">
        <v>42247</v>
      </c>
      <c r="B165">
        <v>27783</v>
      </c>
      <c r="C165">
        <f>MONTH(gaz[[#This Row],[Data odczytu]])</f>
        <v>8</v>
      </c>
      <c r="D165">
        <f>gaz[[#This Row],[Odczyt licznika]]-B164</f>
        <v>16</v>
      </c>
    </row>
    <row r="166" spans="1:4" x14ac:dyDescent="0.25">
      <c r="A166" s="1">
        <v>42277</v>
      </c>
      <c r="B166">
        <v>27857</v>
      </c>
      <c r="C166">
        <f>MONTH(gaz[[#This Row],[Data odczytu]])</f>
        <v>9</v>
      </c>
      <c r="D166">
        <f>gaz[[#This Row],[Odczyt licznika]]-B165</f>
        <v>74</v>
      </c>
    </row>
    <row r="167" spans="1:4" x14ac:dyDescent="0.25">
      <c r="A167" s="1">
        <v>42308</v>
      </c>
      <c r="B167">
        <v>27978</v>
      </c>
      <c r="C167">
        <f>MONTH(gaz[[#This Row],[Data odczytu]])</f>
        <v>10</v>
      </c>
      <c r="D167">
        <f>gaz[[#This Row],[Odczyt licznika]]-B166</f>
        <v>121</v>
      </c>
    </row>
    <row r="168" spans="1:4" x14ac:dyDescent="0.25">
      <c r="A168" s="1">
        <v>42338</v>
      </c>
      <c r="B168">
        <v>28103</v>
      </c>
      <c r="C168">
        <f>MONTH(gaz[[#This Row],[Data odczytu]])</f>
        <v>11</v>
      </c>
      <c r="D168">
        <f>gaz[[#This Row],[Odczyt licznika]]-B167</f>
        <v>125</v>
      </c>
    </row>
    <row r="169" spans="1:4" x14ac:dyDescent="0.25">
      <c r="A169" s="1">
        <v>42369</v>
      </c>
      <c r="B169">
        <v>28326</v>
      </c>
      <c r="C169">
        <f>MONTH(gaz[[#This Row],[Data odczytu]])</f>
        <v>12</v>
      </c>
      <c r="D169">
        <f>gaz[[#This Row],[Odczyt licznika]]-B168</f>
        <v>223</v>
      </c>
    </row>
    <row r="170" spans="1:4" x14ac:dyDescent="0.25">
      <c r="A170" s="1">
        <v>42400</v>
      </c>
      <c r="B170">
        <v>28631</v>
      </c>
      <c r="C170">
        <f>MONTH(gaz[[#This Row],[Data odczytu]])</f>
        <v>1</v>
      </c>
      <c r="D170">
        <f>gaz[[#This Row],[Odczyt licznika]]-B169</f>
        <v>305</v>
      </c>
    </row>
    <row r="171" spans="1:4" x14ac:dyDescent="0.25">
      <c r="A171" s="1">
        <v>42428</v>
      </c>
      <c r="B171">
        <v>28931</v>
      </c>
      <c r="C171">
        <f>MONTH(gaz[[#This Row],[Data odczytu]])</f>
        <v>2</v>
      </c>
      <c r="D171">
        <f>gaz[[#This Row],[Odczyt licznika]]-B170</f>
        <v>300</v>
      </c>
    </row>
    <row r="172" spans="1:4" x14ac:dyDescent="0.25">
      <c r="A172" s="1">
        <v>42460</v>
      </c>
      <c r="B172">
        <v>29165</v>
      </c>
      <c r="C172">
        <f>MONTH(gaz[[#This Row],[Data odczytu]])</f>
        <v>3</v>
      </c>
      <c r="D172">
        <f>gaz[[#This Row],[Odczyt licznika]]-B171</f>
        <v>234</v>
      </c>
    </row>
    <row r="173" spans="1:4" x14ac:dyDescent="0.25">
      <c r="A173" s="1">
        <v>42490</v>
      </c>
      <c r="B173">
        <v>29279</v>
      </c>
      <c r="C173">
        <f>MONTH(gaz[[#This Row],[Data odczytu]])</f>
        <v>4</v>
      </c>
      <c r="D173">
        <f>gaz[[#This Row],[Odczyt licznika]]-B172</f>
        <v>114</v>
      </c>
    </row>
    <row r="174" spans="1:4" x14ac:dyDescent="0.25">
      <c r="A174" s="1">
        <v>42521</v>
      </c>
      <c r="B174">
        <v>29381</v>
      </c>
      <c r="C174">
        <f>MONTH(gaz[[#This Row],[Data odczytu]])</f>
        <v>5</v>
      </c>
      <c r="D174">
        <f>gaz[[#This Row],[Odczyt licznika]]-B173</f>
        <v>102</v>
      </c>
    </row>
    <row r="175" spans="1:4" x14ac:dyDescent="0.25">
      <c r="A175" s="1">
        <v>42551</v>
      </c>
      <c r="B175">
        <v>29409</v>
      </c>
      <c r="C175">
        <f>MONTH(gaz[[#This Row],[Data odczytu]])</f>
        <v>6</v>
      </c>
      <c r="D175">
        <f>gaz[[#This Row],[Odczyt licznika]]-B174</f>
        <v>28</v>
      </c>
    </row>
    <row r="176" spans="1:4" x14ac:dyDescent="0.25">
      <c r="A176" s="1">
        <v>42582</v>
      </c>
      <c r="B176">
        <v>29427</v>
      </c>
      <c r="C176">
        <f>MONTH(gaz[[#This Row],[Data odczytu]])</f>
        <v>7</v>
      </c>
      <c r="D176">
        <f>gaz[[#This Row],[Odczyt licznika]]-B175</f>
        <v>18</v>
      </c>
    </row>
    <row r="177" spans="1:4" x14ac:dyDescent="0.25">
      <c r="A177" s="1">
        <v>42613</v>
      </c>
      <c r="B177">
        <v>29440</v>
      </c>
      <c r="C177">
        <f>MONTH(gaz[[#This Row],[Data odczytu]])</f>
        <v>8</v>
      </c>
      <c r="D177">
        <f>gaz[[#This Row],[Odczyt licznika]]-B176</f>
        <v>13</v>
      </c>
    </row>
    <row r="178" spans="1:4" x14ac:dyDescent="0.25">
      <c r="A178" s="1">
        <v>42643</v>
      </c>
      <c r="B178">
        <v>29574</v>
      </c>
      <c r="C178">
        <f>MONTH(gaz[[#This Row],[Data odczytu]])</f>
        <v>9</v>
      </c>
      <c r="D178">
        <f>gaz[[#This Row],[Odczyt licznika]]-B177</f>
        <v>134</v>
      </c>
    </row>
    <row r="179" spans="1:4" x14ac:dyDescent="0.25">
      <c r="A179" s="1">
        <v>42674</v>
      </c>
      <c r="B179">
        <v>29743</v>
      </c>
      <c r="C179">
        <f>MONTH(gaz[[#This Row],[Data odczytu]])</f>
        <v>10</v>
      </c>
      <c r="D179">
        <f>gaz[[#This Row],[Odczyt licznika]]-B178</f>
        <v>169</v>
      </c>
    </row>
    <row r="180" spans="1:4" x14ac:dyDescent="0.25">
      <c r="A180" s="1">
        <v>42704</v>
      </c>
      <c r="B180">
        <v>30031</v>
      </c>
      <c r="C180">
        <f>MONTH(gaz[[#This Row],[Data odczytu]])</f>
        <v>11</v>
      </c>
      <c r="D180">
        <f>gaz[[#This Row],[Odczyt licznika]]-B179</f>
        <v>288</v>
      </c>
    </row>
    <row r="181" spans="1:4" x14ac:dyDescent="0.25">
      <c r="A181" s="1">
        <v>42735</v>
      </c>
      <c r="B181">
        <v>30314</v>
      </c>
      <c r="C181">
        <f>MONTH(gaz[[#This Row],[Data odczytu]])</f>
        <v>12</v>
      </c>
      <c r="D181">
        <f>gaz[[#This Row],[Odczyt licznika]]-B180</f>
        <v>283</v>
      </c>
    </row>
    <row r="182" spans="1:4" x14ac:dyDescent="0.25">
      <c r="A182" s="1">
        <v>42766</v>
      </c>
      <c r="B182">
        <v>30630</v>
      </c>
      <c r="C182">
        <f>MONTH(gaz[[#This Row],[Data odczytu]])</f>
        <v>1</v>
      </c>
      <c r="D182">
        <f>gaz[[#This Row],[Odczyt licznika]]-B181</f>
        <v>316</v>
      </c>
    </row>
    <row r="183" spans="1:4" x14ac:dyDescent="0.25">
      <c r="A183" s="1">
        <v>42794</v>
      </c>
      <c r="B183">
        <v>30964</v>
      </c>
      <c r="C183">
        <f>MONTH(gaz[[#This Row],[Data odczytu]])</f>
        <v>2</v>
      </c>
      <c r="D183">
        <f>gaz[[#This Row],[Odczyt licznika]]-B182</f>
        <v>334</v>
      </c>
    </row>
    <row r="184" spans="1:4" x14ac:dyDescent="0.25">
      <c r="A184" s="1">
        <v>42825</v>
      </c>
      <c r="B184">
        <v>31166</v>
      </c>
      <c r="C184">
        <f>MONTH(gaz[[#This Row],[Data odczytu]])</f>
        <v>3</v>
      </c>
      <c r="D184">
        <f>gaz[[#This Row],[Odczyt licznika]]-B183</f>
        <v>202</v>
      </c>
    </row>
    <row r="185" spans="1:4" x14ac:dyDescent="0.25">
      <c r="A185" s="1">
        <v>42855</v>
      </c>
      <c r="B185">
        <v>31296</v>
      </c>
      <c r="C185">
        <f>MONTH(gaz[[#This Row],[Data odczytu]])</f>
        <v>4</v>
      </c>
      <c r="D185">
        <f>gaz[[#This Row],[Odczyt licznika]]-B184</f>
        <v>130</v>
      </c>
    </row>
    <row r="186" spans="1:4" x14ac:dyDescent="0.25">
      <c r="A186" s="1">
        <v>42886</v>
      </c>
      <c r="B186">
        <v>31449</v>
      </c>
      <c r="C186">
        <f>MONTH(gaz[[#This Row],[Data odczytu]])</f>
        <v>5</v>
      </c>
      <c r="D186">
        <f>gaz[[#This Row],[Odczyt licznika]]-B185</f>
        <v>153</v>
      </c>
    </row>
    <row r="187" spans="1:4" x14ac:dyDescent="0.25">
      <c r="A187" s="1">
        <v>42916</v>
      </c>
      <c r="B187">
        <v>31535</v>
      </c>
      <c r="C187">
        <f>MONTH(gaz[[#This Row],[Data odczytu]])</f>
        <v>6</v>
      </c>
      <c r="D187">
        <f>gaz[[#This Row],[Odczyt licznika]]-B186</f>
        <v>86</v>
      </c>
    </row>
    <row r="188" spans="1:4" x14ac:dyDescent="0.25">
      <c r="A188" s="1">
        <v>42947</v>
      </c>
      <c r="B188">
        <v>31550</v>
      </c>
      <c r="C188">
        <f>MONTH(gaz[[#This Row],[Data odczytu]])</f>
        <v>7</v>
      </c>
      <c r="D188">
        <f>gaz[[#This Row],[Odczyt licznika]]-B187</f>
        <v>15</v>
      </c>
    </row>
    <row r="189" spans="1:4" x14ac:dyDescent="0.25">
      <c r="A189" s="1">
        <v>42978</v>
      </c>
      <c r="B189">
        <v>31565</v>
      </c>
      <c r="C189">
        <f>MONTH(gaz[[#This Row],[Data odczytu]])</f>
        <v>8</v>
      </c>
      <c r="D189">
        <f>gaz[[#This Row],[Odczyt licznika]]-B188</f>
        <v>15</v>
      </c>
    </row>
    <row r="190" spans="1:4" x14ac:dyDescent="0.25">
      <c r="A190" s="1">
        <v>43008</v>
      </c>
      <c r="B190">
        <v>31635</v>
      </c>
      <c r="C190">
        <f>MONTH(gaz[[#This Row],[Data odczytu]])</f>
        <v>9</v>
      </c>
      <c r="D190">
        <f>gaz[[#This Row],[Odczyt licznika]]-B189</f>
        <v>70</v>
      </c>
    </row>
    <row r="191" spans="1:4" x14ac:dyDescent="0.25">
      <c r="A191" s="1">
        <v>43039</v>
      </c>
      <c r="B191">
        <v>31751</v>
      </c>
      <c r="C191">
        <f>MONTH(gaz[[#This Row],[Data odczytu]])</f>
        <v>10</v>
      </c>
      <c r="D191">
        <f>gaz[[#This Row],[Odczyt licznika]]-B190</f>
        <v>116</v>
      </c>
    </row>
    <row r="192" spans="1:4" x14ac:dyDescent="0.25">
      <c r="A192" s="1">
        <v>43069</v>
      </c>
      <c r="B192">
        <v>31871</v>
      </c>
      <c r="C192">
        <f>MONTH(gaz[[#This Row],[Data odczytu]])</f>
        <v>11</v>
      </c>
      <c r="D192">
        <f>gaz[[#This Row],[Odczyt licznika]]-B191</f>
        <v>120</v>
      </c>
    </row>
    <row r="193" spans="1:4" x14ac:dyDescent="0.25">
      <c r="A193" s="1">
        <v>43100</v>
      </c>
      <c r="B193">
        <v>32085</v>
      </c>
      <c r="C193">
        <f>MONTH(gaz[[#This Row],[Data odczytu]])</f>
        <v>12</v>
      </c>
      <c r="D193">
        <f>gaz[[#This Row],[Odczyt licznika]]-B192</f>
        <v>214</v>
      </c>
    </row>
    <row r="194" spans="1:4" x14ac:dyDescent="0.25">
      <c r="A194" s="1">
        <v>43131</v>
      </c>
      <c r="B194">
        <v>32376</v>
      </c>
      <c r="C194">
        <f>MONTH(gaz[[#This Row],[Data odczytu]])</f>
        <v>1</v>
      </c>
      <c r="D194">
        <f>gaz[[#This Row],[Odczyt licznika]]-B193</f>
        <v>291</v>
      </c>
    </row>
    <row r="195" spans="1:4" x14ac:dyDescent="0.25">
      <c r="A195" s="1">
        <v>43159</v>
      </c>
      <c r="B195">
        <v>32621</v>
      </c>
      <c r="C195">
        <f>MONTH(gaz[[#This Row],[Data odczytu]])</f>
        <v>2</v>
      </c>
      <c r="D195">
        <f>gaz[[#This Row],[Odczyt licznika]]-B194</f>
        <v>245</v>
      </c>
    </row>
    <row r="196" spans="1:4" x14ac:dyDescent="0.25">
      <c r="A196" s="1">
        <v>43190</v>
      </c>
      <c r="B196">
        <v>32846</v>
      </c>
      <c r="C196">
        <f>MONTH(gaz[[#This Row],[Data odczytu]])</f>
        <v>3</v>
      </c>
      <c r="D196">
        <f>gaz[[#This Row],[Odczyt licznika]]-B195</f>
        <v>225</v>
      </c>
    </row>
    <row r="197" spans="1:4" x14ac:dyDescent="0.25">
      <c r="A197" s="1">
        <v>43220</v>
      </c>
      <c r="B197">
        <v>32955</v>
      </c>
      <c r="C197">
        <f>MONTH(gaz[[#This Row],[Data odczytu]])</f>
        <v>4</v>
      </c>
      <c r="D197">
        <f>gaz[[#This Row],[Odczyt licznika]]-B196</f>
        <v>109</v>
      </c>
    </row>
    <row r="198" spans="1:4" x14ac:dyDescent="0.25">
      <c r="A198" s="1">
        <v>43251</v>
      </c>
      <c r="B198">
        <v>33003</v>
      </c>
      <c r="C198">
        <f>MONTH(gaz[[#This Row],[Data odczytu]])</f>
        <v>5</v>
      </c>
      <c r="D198">
        <f>gaz[[#This Row],[Odczyt licznika]]-B197</f>
        <v>48</v>
      </c>
    </row>
    <row r="199" spans="1:4" x14ac:dyDescent="0.25">
      <c r="A199" s="1">
        <v>43281</v>
      </c>
      <c r="B199">
        <v>33030</v>
      </c>
      <c r="C199">
        <f>MONTH(gaz[[#This Row],[Data odczytu]])</f>
        <v>6</v>
      </c>
      <c r="D199">
        <f>gaz[[#This Row],[Odczyt licznika]]-B198</f>
        <v>27</v>
      </c>
    </row>
    <row r="200" spans="1:4" x14ac:dyDescent="0.25">
      <c r="A200" s="1">
        <v>43312</v>
      </c>
      <c r="B200">
        <v>33046</v>
      </c>
      <c r="C200">
        <f>MONTH(gaz[[#This Row],[Data odczytu]])</f>
        <v>7</v>
      </c>
      <c r="D200">
        <f>gaz[[#This Row],[Odczyt licznika]]-B199</f>
        <v>16</v>
      </c>
    </row>
    <row r="201" spans="1:4" x14ac:dyDescent="0.25">
      <c r="A201" s="1">
        <v>43343</v>
      </c>
      <c r="B201">
        <v>33058</v>
      </c>
      <c r="C201">
        <f>MONTH(gaz[[#This Row],[Data odczytu]])</f>
        <v>8</v>
      </c>
      <c r="D201">
        <f>gaz[[#This Row],[Odczyt licznika]]-B200</f>
        <v>12</v>
      </c>
    </row>
    <row r="202" spans="1:4" x14ac:dyDescent="0.25">
      <c r="A202" s="1">
        <v>43373</v>
      </c>
      <c r="B202">
        <v>33186</v>
      </c>
      <c r="C202">
        <f>MONTH(gaz[[#This Row],[Data odczytu]])</f>
        <v>9</v>
      </c>
      <c r="D202">
        <f>gaz[[#This Row],[Odczyt licznika]]-B201</f>
        <v>128</v>
      </c>
    </row>
    <row r="203" spans="1:4" x14ac:dyDescent="0.25">
      <c r="A203" s="1">
        <v>43404</v>
      </c>
      <c r="B203">
        <v>33323</v>
      </c>
      <c r="C203">
        <f>MONTH(gaz[[#This Row],[Data odczytu]])</f>
        <v>10</v>
      </c>
      <c r="D203">
        <f>gaz[[#This Row],[Odczyt licznika]]-B202</f>
        <v>137</v>
      </c>
    </row>
    <row r="204" spans="1:4" x14ac:dyDescent="0.25">
      <c r="A204" s="1">
        <v>43434</v>
      </c>
      <c r="B204">
        <v>33483</v>
      </c>
      <c r="C204">
        <f>MONTH(gaz[[#This Row],[Data odczytu]])</f>
        <v>11</v>
      </c>
      <c r="D204">
        <f>gaz[[#This Row],[Odczyt licznika]]-B203</f>
        <v>160</v>
      </c>
    </row>
    <row r="205" spans="1:4" x14ac:dyDescent="0.25">
      <c r="A205" s="1">
        <v>43465</v>
      </c>
      <c r="B205">
        <v>33734</v>
      </c>
      <c r="C205">
        <f>MONTH(gaz[[#This Row],[Data odczytu]])</f>
        <v>12</v>
      </c>
      <c r="D205">
        <f>gaz[[#This Row],[Odczyt licznika]]-B204</f>
        <v>251</v>
      </c>
    </row>
  </sheetData>
  <phoneticPr fontId="1" type="noConversion"/>
  <pageMargins left="0.7" right="0.7" top="0.75" bottom="0.75" header="0.3" footer="0.3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28C3F3-2D99-4A12-91C6-F99945BF7D93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3869FF-C367-4389-85F1-62A56B4E003A}">
  <dimension ref="A1:T205"/>
  <sheetViews>
    <sheetView tabSelected="1" topLeftCell="B1" workbookViewId="0">
      <selection activeCell="S6" sqref="S6"/>
    </sheetView>
  </sheetViews>
  <sheetFormatPr defaultRowHeight="15" x14ac:dyDescent="0.25"/>
  <cols>
    <col min="1" max="1" width="14.5703125" bestFit="1" customWidth="1"/>
    <col min="2" max="2" width="16.42578125" bestFit="1" customWidth="1"/>
    <col min="4" max="4" width="10.85546875" customWidth="1"/>
    <col min="5" max="5" width="9.5703125" customWidth="1"/>
    <col min="6" max="6" width="16.140625" bestFit="1" customWidth="1"/>
    <col min="7" max="7" width="10.7109375" customWidth="1"/>
    <col min="8" max="8" width="15.5703125" customWidth="1"/>
    <col min="19" max="19" width="17.7109375" bestFit="1" customWidth="1"/>
    <col min="20" max="20" width="13.5703125" bestFit="1" customWidth="1"/>
  </cols>
  <sheetData>
    <row r="1" spans="1:20" x14ac:dyDescent="0.25">
      <c r="A1" t="s">
        <v>0</v>
      </c>
      <c r="B1" t="s">
        <v>1</v>
      </c>
      <c r="C1" t="s">
        <v>2</v>
      </c>
      <c r="D1" t="s">
        <v>3</v>
      </c>
      <c r="E1" t="s">
        <v>9</v>
      </c>
      <c r="F1" t="s">
        <v>10</v>
      </c>
      <c r="G1" t="s">
        <v>8</v>
      </c>
      <c r="H1" t="s">
        <v>11</v>
      </c>
      <c r="L1" t="s">
        <v>7</v>
      </c>
      <c r="M1" t="s">
        <v>8</v>
      </c>
      <c r="O1" t="s">
        <v>9</v>
      </c>
      <c r="P1" t="s">
        <v>12</v>
      </c>
    </row>
    <row r="2" spans="1:20" x14ac:dyDescent="0.25">
      <c r="A2" s="1">
        <v>37287</v>
      </c>
      <c r="B2">
        <v>2283</v>
      </c>
      <c r="C2">
        <f>MONTH(gaz_3[[#This Row],[Data odczytu]])</f>
        <v>1</v>
      </c>
      <c r="D2">
        <v>200</v>
      </c>
      <c r="E2">
        <f>YEAR(gaz_3[[#This Row],[Data odczytu]])</f>
        <v>2002</v>
      </c>
      <c r="F2" s="4">
        <f>IF(gaz_3[[#This Row],[Zuzycie]]&gt;100,IF(gaz_3[[#This Row],[Zuzycie]]&gt;200,120,90),70)</f>
        <v>90</v>
      </c>
      <c r="G2" s="4">
        <f>VLOOKUP(gaz_3[[#This Row],[Rok]],$L$1:$M$18,2)</f>
        <v>0.99</v>
      </c>
      <c r="H2" s="4">
        <f>gaz_3[[#This Row],[cena]]*gaz_3[[#This Row],[Zuzycie]]+gaz_3[[#This Row],[taryfa]]</f>
        <v>288</v>
      </c>
      <c r="L2">
        <v>2001</v>
      </c>
      <c r="M2">
        <v>0.97</v>
      </c>
      <c r="O2">
        <f>gaz_3[[#This Row],[Rok]]</f>
        <v>2002</v>
      </c>
      <c r="P2">
        <f>gaz_3[[#This Row],[laczna oplata]]</f>
        <v>288</v>
      </c>
    </row>
    <row r="3" spans="1:20" x14ac:dyDescent="0.25">
      <c r="A3" s="1">
        <v>37315</v>
      </c>
      <c r="B3">
        <v>2518</v>
      </c>
      <c r="C3">
        <f>MONTH(gaz_3[[#This Row],[Data odczytu]])</f>
        <v>2</v>
      </c>
      <c r="D3">
        <f>gaz_3[[#This Row],[Odczyt licznika]]-B2</f>
        <v>235</v>
      </c>
      <c r="E3">
        <f>YEAR(gaz_3[[#This Row],[Data odczytu]])</f>
        <v>2002</v>
      </c>
      <c r="F3" s="4">
        <f>IF(gaz_3[[#This Row],[Zuzycie]]&gt;100,IF(gaz_3[[#This Row],[Zuzycie]]&gt;200,120,90),70)</f>
        <v>120</v>
      </c>
      <c r="G3" s="4">
        <f>VLOOKUP(gaz_3[[#This Row],[Rok]],$L$1:$M$18,2)</f>
        <v>0.99</v>
      </c>
      <c r="H3" s="4">
        <f>gaz_3[[#This Row],[cena]]*gaz_3[[#This Row],[Zuzycie]]+gaz_3[[#This Row],[taryfa]]</f>
        <v>352.65</v>
      </c>
      <c r="L3">
        <v>2002</v>
      </c>
      <c r="M3">
        <v>0.99</v>
      </c>
      <c r="O3">
        <f>gaz_3[[#This Row],[Rok]]</f>
        <v>2002</v>
      </c>
      <c r="P3">
        <f>gaz_3[[#This Row],[laczna oplata]]</f>
        <v>352.65</v>
      </c>
    </row>
    <row r="4" spans="1:20" x14ac:dyDescent="0.25">
      <c r="A4" s="1">
        <v>37346</v>
      </c>
      <c r="B4">
        <v>2696</v>
      </c>
      <c r="C4">
        <f>MONTH(gaz_3[[#This Row],[Data odczytu]])</f>
        <v>3</v>
      </c>
      <c r="D4">
        <f>gaz_3[[#This Row],[Odczyt licznika]]-B3</f>
        <v>178</v>
      </c>
      <c r="E4">
        <f>YEAR(gaz_3[[#This Row],[Data odczytu]])</f>
        <v>2002</v>
      </c>
      <c r="F4" s="4">
        <f>IF(gaz_3[[#This Row],[Zuzycie]]&gt;100,IF(gaz_3[[#This Row],[Zuzycie]]&gt;200,120,90),70)</f>
        <v>90</v>
      </c>
      <c r="G4" s="4">
        <f>VLOOKUP(gaz_3[[#This Row],[Rok]],L2:M19,2)</f>
        <v>0.99</v>
      </c>
      <c r="H4" s="4">
        <f>gaz_3[[#This Row],[cena]]*gaz_3[[#This Row],[Zuzycie]]+gaz_3[[#This Row],[taryfa]]</f>
        <v>266.22000000000003</v>
      </c>
      <c r="L4">
        <v>2003</v>
      </c>
      <c r="M4">
        <v>0.99</v>
      </c>
      <c r="O4">
        <f>gaz_3[[#This Row],[Rok]]</f>
        <v>2002</v>
      </c>
      <c r="P4">
        <f>gaz_3[[#This Row],[laczna oplata]]</f>
        <v>266.22000000000003</v>
      </c>
    </row>
    <row r="5" spans="1:20" x14ac:dyDescent="0.25">
      <c r="A5" s="1">
        <v>37376</v>
      </c>
      <c r="B5">
        <v>2857</v>
      </c>
      <c r="C5">
        <f>MONTH(gaz_3[[#This Row],[Data odczytu]])</f>
        <v>4</v>
      </c>
      <c r="D5">
        <f>gaz_3[[#This Row],[Odczyt licznika]]-B4</f>
        <v>161</v>
      </c>
      <c r="E5">
        <f>YEAR(gaz_3[[#This Row],[Data odczytu]])</f>
        <v>2002</v>
      </c>
      <c r="F5" s="4">
        <f>IF(gaz_3[[#This Row],[Zuzycie]]&gt;100,IF(gaz_3[[#This Row],[Zuzycie]]&gt;200,120,90),70)</f>
        <v>90</v>
      </c>
      <c r="G5" s="4">
        <f>VLOOKUP(gaz_3[[#This Row],[Rok]],$L$3:$M$20,2)</f>
        <v>0.99</v>
      </c>
      <c r="H5" s="4">
        <f>gaz_3[[#This Row],[cena]]*gaz_3[[#This Row],[Zuzycie]]+gaz_3[[#This Row],[taryfa]]</f>
        <v>249.39</v>
      </c>
      <c r="L5">
        <v>2004</v>
      </c>
      <c r="M5">
        <v>0.98</v>
      </c>
      <c r="O5">
        <f>gaz_3[[#This Row],[Rok]]</f>
        <v>2002</v>
      </c>
      <c r="P5">
        <f>gaz_3[[#This Row],[laczna oplata]]</f>
        <v>249.39</v>
      </c>
    </row>
    <row r="6" spans="1:20" x14ac:dyDescent="0.25">
      <c r="A6" s="1">
        <v>37407</v>
      </c>
      <c r="B6">
        <v>2917</v>
      </c>
      <c r="C6">
        <f>MONTH(gaz_3[[#This Row],[Data odczytu]])</f>
        <v>5</v>
      </c>
      <c r="D6">
        <f>gaz_3[[#This Row],[Odczyt licznika]]-B5</f>
        <v>60</v>
      </c>
      <c r="E6">
        <f>YEAR(gaz_3[[#This Row],[Data odczytu]])</f>
        <v>2002</v>
      </c>
      <c r="F6" s="4">
        <f>IF(gaz_3[[#This Row],[Zuzycie]]&gt;100,IF(gaz_3[[#This Row],[Zuzycie]]&gt;200,120,90),70)</f>
        <v>70</v>
      </c>
      <c r="G6" s="4">
        <f>VLOOKUP(gaz_3[[#This Row],[Rok]],$L$3:$M$20,2)</f>
        <v>0.99</v>
      </c>
      <c r="H6" s="4">
        <f>gaz_3[[#This Row],[cena]]*gaz_3[[#This Row],[Zuzycie]]+gaz_3[[#This Row],[taryfa]]</f>
        <v>129.4</v>
      </c>
      <c r="L6">
        <v>2005</v>
      </c>
      <c r="M6">
        <v>1.02</v>
      </c>
      <c r="O6">
        <f>gaz_3[[#This Row],[Rok]]</f>
        <v>2002</v>
      </c>
      <c r="P6">
        <f>gaz_3[[#This Row],[laczna oplata]]</f>
        <v>129.4</v>
      </c>
      <c r="S6" s="2" t="s">
        <v>4</v>
      </c>
      <c r="T6" t="s">
        <v>13</v>
      </c>
    </row>
    <row r="7" spans="1:20" x14ac:dyDescent="0.25">
      <c r="A7" s="1">
        <v>37437</v>
      </c>
      <c r="B7">
        <v>2952</v>
      </c>
      <c r="C7">
        <f>MONTH(gaz_3[[#This Row],[Data odczytu]])</f>
        <v>6</v>
      </c>
      <c r="D7">
        <f>gaz_3[[#This Row],[Odczyt licznika]]-B6</f>
        <v>35</v>
      </c>
      <c r="E7">
        <f>YEAR(gaz_3[[#This Row],[Data odczytu]])</f>
        <v>2002</v>
      </c>
      <c r="F7" s="4">
        <f>IF(gaz_3[[#This Row],[Zuzycie]]&gt;100,IF(gaz_3[[#This Row],[Zuzycie]]&gt;200,120,90),70)</f>
        <v>70</v>
      </c>
      <c r="G7" s="4">
        <f>VLOOKUP(gaz_3[[#This Row],[Rok]],$L$3:$M$20,2)</f>
        <v>0.99</v>
      </c>
      <c r="H7" s="4">
        <f>gaz_3[[#This Row],[cena]]*gaz_3[[#This Row],[Zuzycie]]+gaz_3[[#This Row],[taryfa]]</f>
        <v>104.65</v>
      </c>
      <c r="L7">
        <v>2006</v>
      </c>
      <c r="M7">
        <v>1.02</v>
      </c>
      <c r="O7">
        <f>gaz_3[[#This Row],[Rok]]</f>
        <v>2002</v>
      </c>
      <c r="P7">
        <f>gaz_3[[#This Row],[laczna oplata]]</f>
        <v>104.65</v>
      </c>
      <c r="S7" s="3">
        <v>2002</v>
      </c>
      <c r="T7" s="4">
        <v>2286.9000000000005</v>
      </c>
    </row>
    <row r="8" spans="1:20" x14ac:dyDescent="0.25">
      <c r="A8" s="1">
        <v>37468</v>
      </c>
      <c r="B8">
        <v>2979</v>
      </c>
      <c r="C8">
        <f>MONTH(gaz_3[[#This Row],[Data odczytu]])</f>
        <v>7</v>
      </c>
      <c r="D8">
        <f>gaz_3[[#This Row],[Odczyt licznika]]-B7</f>
        <v>27</v>
      </c>
      <c r="E8">
        <f>YEAR(gaz_3[[#This Row],[Data odczytu]])</f>
        <v>2002</v>
      </c>
      <c r="F8" s="4">
        <f>IF(gaz_3[[#This Row],[Zuzycie]]&gt;100,IF(gaz_3[[#This Row],[Zuzycie]]&gt;200,120,90),70)</f>
        <v>70</v>
      </c>
      <c r="G8" s="4">
        <f>VLOOKUP(gaz_3[[#This Row],[Rok]],$L$3:$M$20,2)</f>
        <v>0.99</v>
      </c>
      <c r="H8" s="4">
        <f>gaz_3[[#This Row],[cena]]*gaz_3[[#This Row],[Zuzycie]]+gaz_3[[#This Row],[taryfa]]</f>
        <v>96.73</v>
      </c>
      <c r="L8">
        <v>2007</v>
      </c>
      <c r="M8">
        <v>1.04</v>
      </c>
      <c r="O8">
        <f>gaz_3[[#This Row],[Rok]]</f>
        <v>2002</v>
      </c>
      <c r="P8">
        <f>gaz_3[[#This Row],[laczna oplata]]</f>
        <v>96.73</v>
      </c>
      <c r="S8" s="3">
        <v>2003</v>
      </c>
      <c r="T8" s="4">
        <v>2988.3299999999995</v>
      </c>
    </row>
    <row r="9" spans="1:20" x14ac:dyDescent="0.25">
      <c r="A9" s="1">
        <v>37499</v>
      </c>
      <c r="B9">
        <v>3009</v>
      </c>
      <c r="C9">
        <f>MONTH(gaz_3[[#This Row],[Data odczytu]])</f>
        <v>8</v>
      </c>
      <c r="D9">
        <f>gaz_3[[#This Row],[Odczyt licznika]]-B8</f>
        <v>30</v>
      </c>
      <c r="E9">
        <f>YEAR(gaz_3[[#This Row],[Data odczytu]])</f>
        <v>2002</v>
      </c>
      <c r="F9" s="4">
        <f>IF(gaz_3[[#This Row],[Zuzycie]]&gt;100,IF(gaz_3[[#This Row],[Zuzycie]]&gt;200,120,90),70)</f>
        <v>70</v>
      </c>
      <c r="G9" s="4">
        <f>VLOOKUP(gaz_3[[#This Row],[Rok]],$L$3:$M$20,2)</f>
        <v>0.99</v>
      </c>
      <c r="H9" s="4">
        <f>gaz_3[[#This Row],[cena]]*gaz_3[[#This Row],[Zuzycie]]+gaz_3[[#This Row],[taryfa]]</f>
        <v>99.7</v>
      </c>
      <c r="L9">
        <v>2008</v>
      </c>
      <c r="M9">
        <v>1.05</v>
      </c>
      <c r="O9">
        <f>gaz_3[[#This Row],[Rok]]</f>
        <v>2002</v>
      </c>
      <c r="P9">
        <f>gaz_3[[#This Row],[laczna oplata]]</f>
        <v>99.7</v>
      </c>
      <c r="S9" s="3">
        <v>2004</v>
      </c>
      <c r="T9" s="4">
        <v>2822.2599999999993</v>
      </c>
    </row>
    <row r="10" spans="1:20" x14ac:dyDescent="0.25">
      <c r="A10" s="1">
        <v>37529</v>
      </c>
      <c r="B10">
        <v>3040</v>
      </c>
      <c r="C10">
        <f>MONTH(gaz_3[[#This Row],[Data odczytu]])</f>
        <v>9</v>
      </c>
      <c r="D10">
        <f>gaz_3[[#This Row],[Odczyt licznika]]-B9</f>
        <v>31</v>
      </c>
      <c r="E10">
        <f>YEAR(gaz_3[[#This Row],[Data odczytu]])</f>
        <v>2002</v>
      </c>
      <c r="F10" s="4">
        <f>IF(gaz_3[[#This Row],[Zuzycie]]&gt;100,IF(gaz_3[[#This Row],[Zuzycie]]&gt;200,120,90),70)</f>
        <v>70</v>
      </c>
      <c r="G10" s="4">
        <f>VLOOKUP(gaz_3[[#This Row],[Rok]],$L$3:$M$20,2)</f>
        <v>0.99</v>
      </c>
      <c r="H10" s="4">
        <f>gaz_3[[#This Row],[cena]]*gaz_3[[#This Row],[Zuzycie]]+gaz_3[[#This Row],[taryfa]]</f>
        <v>100.69</v>
      </c>
      <c r="L10">
        <v>2009</v>
      </c>
      <c r="M10">
        <v>1.07</v>
      </c>
      <c r="O10">
        <f>gaz_3[[#This Row],[Rok]]</f>
        <v>2002</v>
      </c>
      <c r="P10">
        <f>gaz_3[[#This Row],[laczna oplata]]</f>
        <v>100.69</v>
      </c>
      <c r="S10" s="3">
        <v>2005</v>
      </c>
      <c r="T10" s="4">
        <v>2958.4400000000005</v>
      </c>
    </row>
    <row r="11" spans="1:20" x14ac:dyDescent="0.25">
      <c r="A11" s="1">
        <v>37560</v>
      </c>
      <c r="B11">
        <v>3116</v>
      </c>
      <c r="C11">
        <f>MONTH(gaz_3[[#This Row],[Data odczytu]])</f>
        <v>10</v>
      </c>
      <c r="D11">
        <f>gaz_3[[#This Row],[Odczyt licznika]]-B10</f>
        <v>76</v>
      </c>
      <c r="E11">
        <f>YEAR(gaz_3[[#This Row],[Data odczytu]])</f>
        <v>2002</v>
      </c>
      <c r="F11" s="4">
        <f>IF(gaz_3[[#This Row],[Zuzycie]]&gt;100,IF(gaz_3[[#This Row],[Zuzycie]]&gt;200,120,90),70)</f>
        <v>70</v>
      </c>
      <c r="G11" s="4">
        <f>VLOOKUP(gaz_3[[#This Row],[Rok]],$L$3:$M$20,2)</f>
        <v>0.99</v>
      </c>
      <c r="H11" s="4">
        <f>gaz_3[[#This Row],[cena]]*gaz_3[[#This Row],[Zuzycie]]+gaz_3[[#This Row],[taryfa]]</f>
        <v>145.24</v>
      </c>
      <c r="L11">
        <v>2010</v>
      </c>
      <c r="M11">
        <v>1.1100000000000001</v>
      </c>
      <c r="O11">
        <f>gaz_3[[#This Row],[Rok]]</f>
        <v>2002</v>
      </c>
      <c r="P11">
        <f>gaz_3[[#This Row],[laczna oplata]]</f>
        <v>145.24</v>
      </c>
      <c r="S11" s="3">
        <v>2006</v>
      </c>
      <c r="T11" s="4">
        <v>3131.4599999999996</v>
      </c>
    </row>
    <row r="12" spans="1:20" x14ac:dyDescent="0.25">
      <c r="A12" s="1">
        <v>37590</v>
      </c>
      <c r="B12">
        <v>3222</v>
      </c>
      <c r="C12">
        <f>MONTH(gaz_3[[#This Row],[Data odczytu]])</f>
        <v>11</v>
      </c>
      <c r="D12">
        <f>gaz_3[[#This Row],[Odczyt licznika]]-B11</f>
        <v>106</v>
      </c>
      <c r="E12">
        <f>YEAR(gaz_3[[#This Row],[Data odczytu]])</f>
        <v>2002</v>
      </c>
      <c r="F12" s="4">
        <f>IF(gaz_3[[#This Row],[Zuzycie]]&gt;100,IF(gaz_3[[#This Row],[Zuzycie]]&gt;200,120,90),70)</f>
        <v>90</v>
      </c>
      <c r="G12" s="4">
        <f>VLOOKUP(gaz_3[[#This Row],[Rok]],$L$3:$M$20,2)</f>
        <v>0.99</v>
      </c>
      <c r="H12" s="4">
        <f>gaz_3[[#This Row],[cena]]*gaz_3[[#This Row],[Zuzycie]]+gaz_3[[#This Row],[taryfa]]</f>
        <v>194.94</v>
      </c>
      <c r="L12">
        <v>2011</v>
      </c>
      <c r="M12">
        <v>1.18</v>
      </c>
      <c r="O12">
        <f>gaz_3[[#This Row],[Rok]]</f>
        <v>2002</v>
      </c>
      <c r="P12">
        <f>gaz_3[[#This Row],[laczna oplata]]</f>
        <v>194.94</v>
      </c>
      <c r="S12" s="3">
        <v>2007</v>
      </c>
      <c r="T12" s="4">
        <v>2799.12</v>
      </c>
    </row>
    <row r="13" spans="1:20" x14ac:dyDescent="0.25">
      <c r="A13" s="1">
        <v>37621</v>
      </c>
      <c r="B13">
        <v>3393</v>
      </c>
      <c r="C13">
        <f>MONTH(gaz_3[[#This Row],[Data odczytu]])</f>
        <v>12</v>
      </c>
      <c r="D13">
        <f>gaz_3[[#This Row],[Odczyt licznika]]-B12</f>
        <v>171</v>
      </c>
      <c r="E13">
        <f>YEAR(gaz_3[[#This Row],[Data odczytu]])</f>
        <v>2002</v>
      </c>
      <c r="F13" s="4">
        <f>IF(gaz_3[[#This Row],[Zuzycie]]&gt;100,IF(gaz_3[[#This Row],[Zuzycie]]&gt;200,120,90),70)</f>
        <v>90</v>
      </c>
      <c r="G13" s="4">
        <f>VLOOKUP(gaz_3[[#This Row],[Rok]],$L$3:$M$20,2)</f>
        <v>0.99</v>
      </c>
      <c r="H13" s="4">
        <f>gaz_3[[#This Row],[cena]]*gaz_3[[#This Row],[Zuzycie]]+gaz_3[[#This Row],[taryfa]]</f>
        <v>259.28999999999996</v>
      </c>
      <c r="L13">
        <v>2012</v>
      </c>
      <c r="M13">
        <v>1.23</v>
      </c>
      <c r="O13">
        <f>gaz_3[[#This Row],[Rok]]</f>
        <v>2002</v>
      </c>
      <c r="P13">
        <f>gaz_3[[#This Row],[laczna oplata]]</f>
        <v>259.28999999999996</v>
      </c>
      <c r="S13" s="3">
        <v>2008</v>
      </c>
      <c r="T13" s="4">
        <v>3171.3000000000006</v>
      </c>
    </row>
    <row r="14" spans="1:20" x14ac:dyDescent="0.25">
      <c r="A14" s="1">
        <v>37652</v>
      </c>
      <c r="B14">
        <v>3613</v>
      </c>
      <c r="C14">
        <f>MONTH(gaz_3[[#This Row],[Data odczytu]])</f>
        <v>1</v>
      </c>
      <c r="D14">
        <f>gaz_3[[#This Row],[Odczyt licznika]]-B13</f>
        <v>220</v>
      </c>
      <c r="E14">
        <f>YEAR(gaz_3[[#This Row],[Data odczytu]])</f>
        <v>2003</v>
      </c>
      <c r="F14" s="4">
        <f>IF(gaz_3[[#This Row],[Zuzycie]]&gt;100,IF(gaz_3[[#This Row],[Zuzycie]]&gt;200,120,90),70)</f>
        <v>120</v>
      </c>
      <c r="G14" s="4">
        <f>VLOOKUP(gaz_3[[#This Row],[Rok]],$L$3:$M$20,2)</f>
        <v>0.99</v>
      </c>
      <c r="H14" s="4">
        <f>gaz_3[[#This Row],[cena]]*gaz_3[[#This Row],[Zuzycie]]+gaz_3[[#This Row],[taryfa]]</f>
        <v>337.8</v>
      </c>
      <c r="L14">
        <v>2013</v>
      </c>
      <c r="M14">
        <v>1.23</v>
      </c>
      <c r="O14">
        <f>gaz_3[[#This Row],[Rok]]</f>
        <v>2003</v>
      </c>
      <c r="P14">
        <f>gaz_3[[#This Row],[laczna oplata]]</f>
        <v>337.8</v>
      </c>
      <c r="S14" s="3">
        <v>2009</v>
      </c>
      <c r="T14" s="4">
        <v>3021.02</v>
      </c>
    </row>
    <row r="15" spans="1:20" x14ac:dyDescent="0.25">
      <c r="A15" s="1">
        <v>37680</v>
      </c>
      <c r="B15">
        <v>3891</v>
      </c>
      <c r="C15">
        <f>MONTH(gaz_3[[#This Row],[Data odczytu]])</f>
        <v>2</v>
      </c>
      <c r="D15">
        <f>gaz_3[[#This Row],[Odczyt licznika]]-B14</f>
        <v>278</v>
      </c>
      <c r="E15">
        <f>YEAR(gaz_3[[#This Row],[Data odczytu]])</f>
        <v>2003</v>
      </c>
      <c r="F15" s="4">
        <f>IF(gaz_3[[#This Row],[Zuzycie]]&gt;100,IF(gaz_3[[#This Row],[Zuzycie]]&gt;200,120,90),70)</f>
        <v>120</v>
      </c>
      <c r="G15" s="4">
        <f>VLOOKUP(gaz_3[[#This Row],[Rok]],$L$3:$M$20,2)</f>
        <v>0.99</v>
      </c>
      <c r="H15" s="4">
        <f>gaz_3[[#This Row],[cena]]*gaz_3[[#This Row],[Zuzycie]]+gaz_3[[#This Row],[taryfa]]</f>
        <v>395.21999999999997</v>
      </c>
      <c r="L15">
        <v>2014</v>
      </c>
      <c r="M15">
        <v>1.23</v>
      </c>
      <c r="O15">
        <f>gaz_3[[#This Row],[Rok]]</f>
        <v>2003</v>
      </c>
      <c r="P15">
        <f>gaz_3[[#This Row],[laczna oplata]]</f>
        <v>395.21999999999997</v>
      </c>
      <c r="S15" s="3">
        <v>2010</v>
      </c>
      <c r="T15" s="4">
        <v>3706.3500000000004</v>
      </c>
    </row>
    <row r="16" spans="1:20" x14ac:dyDescent="0.25">
      <c r="A16" s="1">
        <v>37711</v>
      </c>
      <c r="B16">
        <v>4151</v>
      </c>
      <c r="C16">
        <f>MONTH(gaz_3[[#This Row],[Data odczytu]])</f>
        <v>3</v>
      </c>
      <c r="D16">
        <f>gaz_3[[#This Row],[Odczyt licznika]]-B15</f>
        <v>260</v>
      </c>
      <c r="E16">
        <f>YEAR(gaz_3[[#This Row],[Data odczytu]])</f>
        <v>2003</v>
      </c>
      <c r="F16" s="4">
        <f>IF(gaz_3[[#This Row],[Zuzycie]]&gt;100,IF(gaz_3[[#This Row],[Zuzycie]]&gt;200,120,90),70)</f>
        <v>120</v>
      </c>
      <c r="G16" s="4">
        <f>VLOOKUP(gaz_3[[#This Row],[Rok]],$L$3:$M$20,2)</f>
        <v>0.99</v>
      </c>
      <c r="H16" s="4">
        <f>gaz_3[[#This Row],[cena]]*gaz_3[[#This Row],[Zuzycie]]+gaz_3[[#This Row],[taryfa]]</f>
        <v>377.4</v>
      </c>
      <c r="L16">
        <v>2015</v>
      </c>
      <c r="M16">
        <v>1.2</v>
      </c>
      <c r="O16">
        <f>gaz_3[[#This Row],[Rok]]</f>
        <v>2003</v>
      </c>
      <c r="P16">
        <f>gaz_3[[#This Row],[laczna oplata]]</f>
        <v>377.4</v>
      </c>
      <c r="S16" s="3">
        <v>2011</v>
      </c>
      <c r="T16" s="4">
        <v>3422.18</v>
      </c>
    </row>
    <row r="17" spans="1:20" x14ac:dyDescent="0.25">
      <c r="A17" s="1">
        <v>37741</v>
      </c>
      <c r="B17">
        <v>4401</v>
      </c>
      <c r="C17">
        <f>MONTH(gaz_3[[#This Row],[Data odczytu]])</f>
        <v>4</v>
      </c>
      <c r="D17">
        <f>gaz_3[[#This Row],[Odczyt licznika]]-B16</f>
        <v>250</v>
      </c>
      <c r="E17">
        <f>YEAR(gaz_3[[#This Row],[Data odczytu]])</f>
        <v>2003</v>
      </c>
      <c r="F17" s="4">
        <f>IF(gaz_3[[#This Row],[Zuzycie]]&gt;100,IF(gaz_3[[#This Row],[Zuzycie]]&gt;200,120,90),70)</f>
        <v>120</v>
      </c>
      <c r="G17" s="4">
        <f>VLOOKUP(gaz_3[[#This Row],[Rok]],$L$3:$M$20,2)</f>
        <v>0.99</v>
      </c>
      <c r="H17" s="4">
        <f>gaz_3[[#This Row],[cena]]*gaz_3[[#This Row],[Zuzycie]]+gaz_3[[#This Row],[taryfa]]</f>
        <v>367.5</v>
      </c>
      <c r="L17">
        <v>2016</v>
      </c>
      <c r="M17">
        <v>1.21</v>
      </c>
      <c r="O17">
        <f>gaz_3[[#This Row],[Rok]]</f>
        <v>2003</v>
      </c>
      <c r="P17">
        <f>gaz_3[[#This Row],[laczna oplata]]</f>
        <v>367.5</v>
      </c>
      <c r="S17" s="3">
        <v>2012</v>
      </c>
      <c r="T17" s="4">
        <v>3867.39</v>
      </c>
    </row>
    <row r="18" spans="1:20" x14ac:dyDescent="0.25">
      <c r="A18" s="1">
        <v>37772</v>
      </c>
      <c r="B18">
        <v>4553</v>
      </c>
      <c r="C18">
        <f>MONTH(gaz_3[[#This Row],[Data odczytu]])</f>
        <v>5</v>
      </c>
      <c r="D18">
        <f>gaz_3[[#This Row],[Odczyt licznika]]-B17</f>
        <v>152</v>
      </c>
      <c r="E18">
        <f>YEAR(gaz_3[[#This Row],[Data odczytu]])</f>
        <v>2003</v>
      </c>
      <c r="F18" s="4">
        <f>IF(gaz_3[[#This Row],[Zuzycie]]&gt;100,IF(gaz_3[[#This Row],[Zuzycie]]&gt;200,120,90),70)</f>
        <v>90</v>
      </c>
      <c r="G18" s="4">
        <f>VLOOKUP(gaz_3[[#This Row],[Rok]],$L$3:$M$20,2)</f>
        <v>0.99</v>
      </c>
      <c r="H18" s="4">
        <f>gaz_3[[#This Row],[cena]]*gaz_3[[#This Row],[Zuzycie]]+gaz_3[[#This Row],[taryfa]]</f>
        <v>240.48</v>
      </c>
      <c r="L18">
        <v>2017</v>
      </c>
      <c r="M18">
        <v>1.21</v>
      </c>
      <c r="O18">
        <f>gaz_3[[#This Row],[Rok]]</f>
        <v>2003</v>
      </c>
      <c r="P18">
        <f>gaz_3[[#This Row],[laczna oplata]]</f>
        <v>240.48</v>
      </c>
      <c r="S18" s="3">
        <v>2013</v>
      </c>
      <c r="T18" s="4">
        <v>3425.02</v>
      </c>
    </row>
    <row r="19" spans="1:20" x14ac:dyDescent="0.25">
      <c r="A19" s="1">
        <v>37802</v>
      </c>
      <c r="B19">
        <v>4639</v>
      </c>
      <c r="C19">
        <f>MONTH(gaz_3[[#This Row],[Data odczytu]])</f>
        <v>6</v>
      </c>
      <c r="D19">
        <f>gaz_3[[#This Row],[Odczyt licznika]]-B18</f>
        <v>86</v>
      </c>
      <c r="E19">
        <f>YEAR(gaz_3[[#This Row],[Data odczytu]])</f>
        <v>2003</v>
      </c>
      <c r="F19" s="4">
        <f>IF(gaz_3[[#This Row],[Zuzycie]]&gt;100,IF(gaz_3[[#This Row],[Zuzycie]]&gt;200,120,90),70)</f>
        <v>70</v>
      </c>
      <c r="G19" s="4">
        <f>VLOOKUP(gaz_3[[#This Row],[Rok]],$L$3:$M$20,2)</f>
        <v>0.99</v>
      </c>
      <c r="H19" s="4">
        <f>gaz_3[[#This Row],[cena]]*gaz_3[[#This Row],[Zuzycie]]+gaz_3[[#This Row],[taryfa]]</f>
        <v>155.13999999999999</v>
      </c>
      <c r="L19">
        <v>2018</v>
      </c>
      <c r="M19">
        <v>1.22</v>
      </c>
      <c r="O19">
        <f>gaz_3[[#This Row],[Rok]]</f>
        <v>2003</v>
      </c>
      <c r="P19">
        <f>gaz_3[[#This Row],[laczna oplata]]</f>
        <v>155.13999999999999</v>
      </c>
      <c r="S19" s="3">
        <v>2014</v>
      </c>
      <c r="T19" s="4">
        <v>3738.2399999999993</v>
      </c>
    </row>
    <row r="20" spans="1:20" x14ac:dyDescent="0.25">
      <c r="A20" s="1">
        <v>37833</v>
      </c>
      <c r="B20">
        <v>4654</v>
      </c>
      <c r="C20">
        <f>MONTH(gaz_3[[#This Row],[Data odczytu]])</f>
        <v>7</v>
      </c>
      <c r="D20">
        <f>gaz_3[[#This Row],[Odczyt licznika]]-B19</f>
        <v>15</v>
      </c>
      <c r="E20">
        <f>YEAR(gaz_3[[#This Row],[Data odczytu]])</f>
        <v>2003</v>
      </c>
      <c r="F20" s="4">
        <f>IF(gaz_3[[#This Row],[Zuzycie]]&gt;100,IF(gaz_3[[#This Row],[Zuzycie]]&gt;200,120,90),70)</f>
        <v>70</v>
      </c>
      <c r="G20" s="4">
        <f>VLOOKUP(gaz_3[[#This Row],[Rok]],$L$3:$M$20,2)</f>
        <v>0.99</v>
      </c>
      <c r="H20" s="4">
        <f>gaz_3[[#This Row],[cena]]*gaz_3[[#This Row],[Zuzycie]]+gaz_3[[#This Row],[taryfa]]</f>
        <v>84.85</v>
      </c>
      <c r="O20">
        <f>gaz_3[[#This Row],[Rok]]</f>
        <v>2003</v>
      </c>
      <c r="P20">
        <f>gaz_3[[#This Row],[laczna oplata]]</f>
        <v>84.85</v>
      </c>
      <c r="S20" s="3">
        <v>2015</v>
      </c>
      <c r="T20" s="4">
        <v>3337.5999999999995</v>
      </c>
    </row>
    <row r="21" spans="1:20" x14ac:dyDescent="0.25">
      <c r="A21" s="1">
        <v>37864</v>
      </c>
      <c r="B21">
        <v>4669</v>
      </c>
      <c r="C21">
        <f>MONTH(gaz_3[[#This Row],[Data odczytu]])</f>
        <v>8</v>
      </c>
      <c r="D21">
        <f>gaz_3[[#This Row],[Odczyt licznika]]-B20</f>
        <v>15</v>
      </c>
      <c r="E21">
        <f>YEAR(gaz_3[[#This Row],[Data odczytu]])</f>
        <v>2003</v>
      </c>
      <c r="F21" s="4">
        <f>IF(gaz_3[[#This Row],[Zuzycie]]&gt;100,IF(gaz_3[[#This Row],[Zuzycie]]&gt;200,120,90),70)</f>
        <v>70</v>
      </c>
      <c r="G21" s="4">
        <f>VLOOKUP(gaz_3[[#This Row],[Rok]],$L$3:$M$20,2)</f>
        <v>0.99</v>
      </c>
      <c r="H21" s="4">
        <f>gaz_3[[#This Row],[cena]]*gaz_3[[#This Row],[Zuzycie]]+gaz_3[[#This Row],[taryfa]]</f>
        <v>84.85</v>
      </c>
      <c r="O21">
        <f>gaz_3[[#This Row],[Rok]]</f>
        <v>2003</v>
      </c>
      <c r="P21">
        <f>gaz_3[[#This Row],[laczna oplata]]</f>
        <v>84.85</v>
      </c>
      <c r="S21" s="3">
        <v>2016</v>
      </c>
      <c r="T21" s="4">
        <v>3575.4799999999996</v>
      </c>
    </row>
    <row r="22" spans="1:20" x14ac:dyDescent="0.25">
      <c r="A22" s="1">
        <v>37894</v>
      </c>
      <c r="B22">
        <v>4819</v>
      </c>
      <c r="C22">
        <f>MONTH(gaz_3[[#This Row],[Data odczytu]])</f>
        <v>9</v>
      </c>
      <c r="D22">
        <f>gaz_3[[#This Row],[Odczyt licznika]]-B21</f>
        <v>150</v>
      </c>
      <c r="E22">
        <f>YEAR(gaz_3[[#This Row],[Data odczytu]])</f>
        <v>2003</v>
      </c>
      <c r="F22" s="4">
        <f>IF(gaz_3[[#This Row],[Zuzycie]]&gt;100,IF(gaz_3[[#This Row],[Zuzycie]]&gt;200,120,90),70)</f>
        <v>90</v>
      </c>
      <c r="G22" s="4">
        <f>VLOOKUP(gaz_3[[#This Row],[Rok]],$L$3:$M$20,2)</f>
        <v>0.99</v>
      </c>
      <c r="H22" s="4">
        <f>gaz_3[[#This Row],[cena]]*gaz_3[[#This Row],[Zuzycie]]+gaz_3[[#This Row],[taryfa]]</f>
        <v>238.5</v>
      </c>
      <c r="O22">
        <f>gaz_3[[#This Row],[Rok]]</f>
        <v>2003</v>
      </c>
      <c r="P22">
        <f>gaz_3[[#This Row],[laczna oplata]]</f>
        <v>238.5</v>
      </c>
      <c r="S22" s="3">
        <v>2017</v>
      </c>
      <c r="T22" s="4">
        <v>3262.91</v>
      </c>
    </row>
    <row r="23" spans="1:20" x14ac:dyDescent="0.25">
      <c r="A23" s="1">
        <v>37925</v>
      </c>
      <c r="B23">
        <v>4976</v>
      </c>
      <c r="C23">
        <f>MONTH(gaz_3[[#This Row],[Data odczytu]])</f>
        <v>10</v>
      </c>
      <c r="D23">
        <f>gaz_3[[#This Row],[Odczyt licznika]]-B22</f>
        <v>157</v>
      </c>
      <c r="E23">
        <f>YEAR(gaz_3[[#This Row],[Data odczytu]])</f>
        <v>2003</v>
      </c>
      <c r="F23" s="4">
        <f>IF(gaz_3[[#This Row],[Zuzycie]]&gt;100,IF(gaz_3[[#This Row],[Zuzycie]]&gt;200,120,90),70)</f>
        <v>90</v>
      </c>
      <c r="G23" s="4">
        <f>VLOOKUP(gaz_3[[#This Row],[Rok]],$L$3:$M$20,2)</f>
        <v>0.99</v>
      </c>
      <c r="H23" s="4">
        <f>gaz_3[[#This Row],[cena]]*gaz_3[[#This Row],[Zuzycie]]+gaz_3[[#This Row],[taryfa]]</f>
        <v>245.43</v>
      </c>
      <c r="O23">
        <f>gaz_3[[#This Row],[Rok]]</f>
        <v>2003</v>
      </c>
      <c r="P23">
        <f>gaz_3[[#This Row],[laczna oplata]]</f>
        <v>245.43</v>
      </c>
      <c r="S23" s="3">
        <v>2018</v>
      </c>
      <c r="T23" s="4">
        <v>3131.7799999999997</v>
      </c>
    </row>
    <row r="24" spans="1:20" x14ac:dyDescent="0.25">
      <c r="A24" s="1">
        <v>37955</v>
      </c>
      <c r="B24">
        <v>5078</v>
      </c>
      <c r="C24">
        <f>MONTH(gaz_3[[#This Row],[Data odczytu]])</f>
        <v>11</v>
      </c>
      <c r="D24">
        <f>gaz_3[[#This Row],[Odczyt licznika]]-B23</f>
        <v>102</v>
      </c>
      <c r="E24">
        <f>YEAR(gaz_3[[#This Row],[Data odczytu]])</f>
        <v>2003</v>
      </c>
      <c r="F24" s="4">
        <f>IF(gaz_3[[#This Row],[Zuzycie]]&gt;100,IF(gaz_3[[#This Row],[Zuzycie]]&gt;200,120,90),70)</f>
        <v>90</v>
      </c>
      <c r="G24" s="4">
        <f>VLOOKUP(gaz_3[[#This Row],[Rok]],$L$3:$M$20,2)</f>
        <v>0.99</v>
      </c>
      <c r="H24" s="4">
        <f>gaz_3[[#This Row],[cena]]*gaz_3[[#This Row],[Zuzycie]]+gaz_3[[#This Row],[taryfa]]</f>
        <v>190.98000000000002</v>
      </c>
      <c r="O24">
        <f>gaz_3[[#This Row],[Rok]]</f>
        <v>2003</v>
      </c>
      <c r="P24">
        <f>gaz_3[[#This Row],[laczna oplata]]</f>
        <v>190.98000000000002</v>
      </c>
      <c r="S24" s="3" t="s">
        <v>5</v>
      </c>
      <c r="T24" s="4">
        <v>54645.78</v>
      </c>
    </row>
    <row r="25" spans="1:20" x14ac:dyDescent="0.25">
      <c r="A25" s="1">
        <v>37986</v>
      </c>
      <c r="B25">
        <v>5260</v>
      </c>
      <c r="C25">
        <f>MONTH(gaz_3[[#This Row],[Data odczytu]])</f>
        <v>12</v>
      </c>
      <c r="D25">
        <f>gaz_3[[#This Row],[Odczyt licznika]]-B24</f>
        <v>182</v>
      </c>
      <c r="E25">
        <f>YEAR(gaz_3[[#This Row],[Data odczytu]])</f>
        <v>2003</v>
      </c>
      <c r="F25" s="4">
        <f>IF(gaz_3[[#This Row],[Zuzycie]]&gt;100,IF(gaz_3[[#This Row],[Zuzycie]]&gt;200,120,90),70)</f>
        <v>90</v>
      </c>
      <c r="G25" s="4">
        <f>VLOOKUP(gaz_3[[#This Row],[Rok]],$L$3:$M$20,2)</f>
        <v>0.99</v>
      </c>
      <c r="H25" s="4">
        <f>gaz_3[[#This Row],[cena]]*gaz_3[[#This Row],[Zuzycie]]+gaz_3[[#This Row],[taryfa]]</f>
        <v>270.18</v>
      </c>
      <c r="O25">
        <f>gaz_3[[#This Row],[Rok]]</f>
        <v>2003</v>
      </c>
      <c r="P25">
        <f>gaz_3[[#This Row],[laczna oplata]]</f>
        <v>270.18</v>
      </c>
    </row>
    <row r="26" spans="1:20" x14ac:dyDescent="0.25">
      <c r="A26" s="1">
        <v>38017</v>
      </c>
      <c r="B26">
        <v>5508</v>
      </c>
      <c r="C26">
        <f>MONTH(gaz_3[[#This Row],[Data odczytu]])</f>
        <v>1</v>
      </c>
      <c r="D26">
        <f>gaz_3[[#This Row],[Odczyt licznika]]-B25</f>
        <v>248</v>
      </c>
      <c r="E26">
        <f>YEAR(gaz_3[[#This Row],[Data odczytu]])</f>
        <v>2004</v>
      </c>
      <c r="F26" s="4">
        <f>IF(gaz_3[[#This Row],[Zuzycie]]&gt;100,IF(gaz_3[[#This Row],[Zuzycie]]&gt;200,120,90),70)</f>
        <v>120</v>
      </c>
      <c r="G26" s="4">
        <f>VLOOKUP(gaz_3[[#This Row],[Rok]],$L$3:$M$20,2)</f>
        <v>0.98</v>
      </c>
      <c r="H26" s="4">
        <f>gaz_3[[#This Row],[cena]]*gaz_3[[#This Row],[Zuzycie]]+gaz_3[[#This Row],[taryfa]]</f>
        <v>363.03999999999996</v>
      </c>
      <c r="O26">
        <f>gaz_3[[#This Row],[Rok]]</f>
        <v>2004</v>
      </c>
      <c r="P26">
        <f>gaz_3[[#This Row],[laczna oplata]]</f>
        <v>363.03999999999996</v>
      </c>
    </row>
    <row r="27" spans="1:20" x14ac:dyDescent="0.25">
      <c r="A27" s="1">
        <v>38045</v>
      </c>
      <c r="B27">
        <v>5754</v>
      </c>
      <c r="C27">
        <f>MONTH(gaz_3[[#This Row],[Data odczytu]])</f>
        <v>2</v>
      </c>
      <c r="D27">
        <f>gaz_3[[#This Row],[Odczyt licznika]]-B26</f>
        <v>246</v>
      </c>
      <c r="E27">
        <f>YEAR(gaz_3[[#This Row],[Data odczytu]])</f>
        <v>2004</v>
      </c>
      <c r="F27" s="4">
        <f>IF(gaz_3[[#This Row],[Zuzycie]]&gt;100,IF(gaz_3[[#This Row],[Zuzycie]]&gt;200,120,90),70)</f>
        <v>120</v>
      </c>
      <c r="G27" s="4">
        <f>VLOOKUP(gaz_3[[#This Row],[Rok]],$L$3:$M$20,2)</f>
        <v>0.98</v>
      </c>
      <c r="H27" s="4">
        <f>gaz_3[[#This Row],[cena]]*gaz_3[[#This Row],[Zuzycie]]+gaz_3[[#This Row],[taryfa]]</f>
        <v>361.08</v>
      </c>
      <c r="O27">
        <f>gaz_3[[#This Row],[Rok]]</f>
        <v>2004</v>
      </c>
      <c r="P27">
        <f>gaz_3[[#This Row],[laczna oplata]]</f>
        <v>361.08</v>
      </c>
    </row>
    <row r="28" spans="1:20" x14ac:dyDescent="0.25">
      <c r="A28" s="1">
        <v>38077</v>
      </c>
      <c r="B28">
        <v>5945</v>
      </c>
      <c r="C28">
        <f>MONTH(gaz_3[[#This Row],[Data odczytu]])</f>
        <v>3</v>
      </c>
      <c r="D28">
        <f>gaz_3[[#This Row],[Odczyt licznika]]-B27</f>
        <v>191</v>
      </c>
      <c r="E28">
        <f>YEAR(gaz_3[[#This Row],[Data odczytu]])</f>
        <v>2004</v>
      </c>
      <c r="F28" s="4">
        <f>IF(gaz_3[[#This Row],[Zuzycie]]&gt;100,IF(gaz_3[[#This Row],[Zuzycie]]&gt;200,120,90),70)</f>
        <v>90</v>
      </c>
      <c r="G28" s="4">
        <f>VLOOKUP(gaz_3[[#This Row],[Rok]],$L$3:$M$20,2)</f>
        <v>0.98</v>
      </c>
      <c r="H28" s="4">
        <f>gaz_3[[#This Row],[cena]]*gaz_3[[#This Row],[Zuzycie]]+gaz_3[[#This Row],[taryfa]]</f>
        <v>277.18</v>
      </c>
      <c r="O28">
        <f>gaz_3[[#This Row],[Rok]]</f>
        <v>2004</v>
      </c>
      <c r="P28">
        <f>gaz_3[[#This Row],[laczna oplata]]</f>
        <v>277.18</v>
      </c>
    </row>
    <row r="29" spans="1:20" x14ac:dyDescent="0.25">
      <c r="A29" s="1">
        <v>38107</v>
      </c>
      <c r="B29">
        <v>6050</v>
      </c>
      <c r="C29">
        <f>MONTH(gaz_3[[#This Row],[Data odczytu]])</f>
        <v>4</v>
      </c>
      <c r="D29">
        <f>gaz_3[[#This Row],[Odczyt licznika]]-B28</f>
        <v>105</v>
      </c>
      <c r="E29">
        <f>YEAR(gaz_3[[#This Row],[Data odczytu]])</f>
        <v>2004</v>
      </c>
      <c r="F29" s="4">
        <f>IF(gaz_3[[#This Row],[Zuzycie]]&gt;100,IF(gaz_3[[#This Row],[Zuzycie]]&gt;200,120,90),70)</f>
        <v>90</v>
      </c>
      <c r="G29" s="4">
        <f>VLOOKUP(gaz_3[[#This Row],[Rok]],$L$3:$M$20,2)</f>
        <v>0.98</v>
      </c>
      <c r="H29" s="4">
        <f>gaz_3[[#This Row],[cena]]*gaz_3[[#This Row],[Zuzycie]]+gaz_3[[#This Row],[taryfa]]</f>
        <v>192.89999999999998</v>
      </c>
      <c r="O29">
        <f>gaz_3[[#This Row],[Rok]]</f>
        <v>2004</v>
      </c>
      <c r="P29">
        <f>gaz_3[[#This Row],[laczna oplata]]</f>
        <v>192.89999999999998</v>
      </c>
    </row>
    <row r="30" spans="1:20" x14ac:dyDescent="0.25">
      <c r="A30" s="1">
        <v>38138</v>
      </c>
      <c r="B30">
        <v>6146</v>
      </c>
      <c r="C30">
        <f>MONTH(gaz_3[[#This Row],[Data odczytu]])</f>
        <v>5</v>
      </c>
      <c r="D30">
        <f>gaz_3[[#This Row],[Odczyt licznika]]-B29</f>
        <v>96</v>
      </c>
      <c r="E30">
        <f>YEAR(gaz_3[[#This Row],[Data odczytu]])</f>
        <v>2004</v>
      </c>
      <c r="F30" s="4">
        <f>IF(gaz_3[[#This Row],[Zuzycie]]&gt;100,IF(gaz_3[[#This Row],[Zuzycie]]&gt;200,120,90),70)</f>
        <v>70</v>
      </c>
      <c r="G30" s="4">
        <f>VLOOKUP(gaz_3[[#This Row],[Rok]],$L$3:$M$20,2)</f>
        <v>0.98</v>
      </c>
      <c r="H30" s="4">
        <f>gaz_3[[#This Row],[cena]]*gaz_3[[#This Row],[Zuzycie]]+gaz_3[[#This Row],[taryfa]]</f>
        <v>164.07999999999998</v>
      </c>
      <c r="O30">
        <f>gaz_3[[#This Row],[Rok]]</f>
        <v>2004</v>
      </c>
      <c r="P30">
        <f>gaz_3[[#This Row],[laczna oplata]]</f>
        <v>164.07999999999998</v>
      </c>
    </row>
    <row r="31" spans="1:20" x14ac:dyDescent="0.25">
      <c r="A31" s="1">
        <v>38168</v>
      </c>
      <c r="B31">
        <v>6173</v>
      </c>
      <c r="C31">
        <f>MONTH(gaz_3[[#This Row],[Data odczytu]])</f>
        <v>6</v>
      </c>
      <c r="D31">
        <f>gaz_3[[#This Row],[Odczyt licznika]]-B30</f>
        <v>27</v>
      </c>
      <c r="E31">
        <f>YEAR(gaz_3[[#This Row],[Data odczytu]])</f>
        <v>2004</v>
      </c>
      <c r="F31" s="4">
        <f>IF(gaz_3[[#This Row],[Zuzycie]]&gt;100,IF(gaz_3[[#This Row],[Zuzycie]]&gt;200,120,90),70)</f>
        <v>70</v>
      </c>
      <c r="G31" s="4">
        <f>VLOOKUP(gaz_3[[#This Row],[Rok]],$L$3:$M$20,2)</f>
        <v>0.98</v>
      </c>
      <c r="H31" s="4">
        <f>gaz_3[[#This Row],[cena]]*gaz_3[[#This Row],[Zuzycie]]+gaz_3[[#This Row],[taryfa]]</f>
        <v>96.460000000000008</v>
      </c>
      <c r="O31">
        <f>gaz_3[[#This Row],[Rok]]</f>
        <v>2004</v>
      </c>
      <c r="P31">
        <f>gaz_3[[#This Row],[laczna oplata]]</f>
        <v>96.460000000000008</v>
      </c>
    </row>
    <row r="32" spans="1:20" x14ac:dyDescent="0.25">
      <c r="A32" s="1">
        <v>38199</v>
      </c>
      <c r="B32">
        <v>6183</v>
      </c>
      <c r="C32">
        <f>MONTH(gaz_3[[#This Row],[Data odczytu]])</f>
        <v>7</v>
      </c>
      <c r="D32">
        <f>gaz_3[[#This Row],[Odczyt licznika]]-B31</f>
        <v>10</v>
      </c>
      <c r="E32">
        <f>YEAR(gaz_3[[#This Row],[Data odczytu]])</f>
        <v>2004</v>
      </c>
      <c r="F32" s="4">
        <f>IF(gaz_3[[#This Row],[Zuzycie]]&gt;100,IF(gaz_3[[#This Row],[Zuzycie]]&gt;200,120,90),70)</f>
        <v>70</v>
      </c>
      <c r="G32" s="4">
        <f>VLOOKUP(gaz_3[[#This Row],[Rok]],$L$3:$M$20,2)</f>
        <v>0.98</v>
      </c>
      <c r="H32" s="4">
        <f>gaz_3[[#This Row],[cena]]*gaz_3[[#This Row],[Zuzycie]]+gaz_3[[#This Row],[taryfa]]</f>
        <v>79.8</v>
      </c>
      <c r="O32">
        <f>gaz_3[[#This Row],[Rok]]</f>
        <v>2004</v>
      </c>
      <c r="P32">
        <f>gaz_3[[#This Row],[laczna oplata]]</f>
        <v>79.8</v>
      </c>
    </row>
    <row r="33" spans="1:16" x14ac:dyDescent="0.25">
      <c r="A33" s="1">
        <v>38230</v>
      </c>
      <c r="B33">
        <v>6195</v>
      </c>
      <c r="C33">
        <f>MONTH(gaz_3[[#This Row],[Data odczytu]])</f>
        <v>8</v>
      </c>
      <c r="D33">
        <f>gaz_3[[#This Row],[Odczyt licznika]]-B32</f>
        <v>12</v>
      </c>
      <c r="E33">
        <f>YEAR(gaz_3[[#This Row],[Data odczytu]])</f>
        <v>2004</v>
      </c>
      <c r="F33" s="4">
        <f>IF(gaz_3[[#This Row],[Zuzycie]]&gt;100,IF(gaz_3[[#This Row],[Zuzycie]]&gt;200,120,90),70)</f>
        <v>70</v>
      </c>
      <c r="G33" s="4">
        <f>VLOOKUP(gaz_3[[#This Row],[Rok]],$L$3:$M$20,2)</f>
        <v>0.98</v>
      </c>
      <c r="H33" s="4">
        <f>gaz_3[[#This Row],[cena]]*gaz_3[[#This Row],[Zuzycie]]+gaz_3[[#This Row],[taryfa]]</f>
        <v>81.760000000000005</v>
      </c>
      <c r="O33">
        <f>gaz_3[[#This Row],[Rok]]</f>
        <v>2004</v>
      </c>
      <c r="P33">
        <f>gaz_3[[#This Row],[laczna oplata]]</f>
        <v>81.760000000000005</v>
      </c>
    </row>
    <row r="34" spans="1:16" x14ac:dyDescent="0.25">
      <c r="A34" s="1">
        <v>38260</v>
      </c>
      <c r="B34">
        <v>6304</v>
      </c>
      <c r="C34">
        <f>MONTH(gaz_3[[#This Row],[Data odczytu]])</f>
        <v>9</v>
      </c>
      <c r="D34">
        <f>gaz_3[[#This Row],[Odczyt licznika]]-B33</f>
        <v>109</v>
      </c>
      <c r="E34">
        <f>YEAR(gaz_3[[#This Row],[Data odczytu]])</f>
        <v>2004</v>
      </c>
      <c r="F34" s="4">
        <f>IF(gaz_3[[#This Row],[Zuzycie]]&gt;100,IF(gaz_3[[#This Row],[Zuzycie]]&gt;200,120,90),70)</f>
        <v>90</v>
      </c>
      <c r="G34" s="4">
        <f>VLOOKUP(gaz_3[[#This Row],[Rok]],$L$3:$M$20,2)</f>
        <v>0.98</v>
      </c>
      <c r="H34" s="4">
        <f>gaz_3[[#This Row],[cena]]*gaz_3[[#This Row],[Zuzycie]]+gaz_3[[#This Row],[taryfa]]</f>
        <v>196.82</v>
      </c>
      <c r="O34">
        <f>gaz_3[[#This Row],[Rok]]</f>
        <v>2004</v>
      </c>
      <c r="P34">
        <f>gaz_3[[#This Row],[laczna oplata]]</f>
        <v>196.82</v>
      </c>
    </row>
    <row r="35" spans="1:16" x14ac:dyDescent="0.25">
      <c r="A35" s="1">
        <v>38291</v>
      </c>
      <c r="B35">
        <v>6459</v>
      </c>
      <c r="C35">
        <f>MONTH(gaz_3[[#This Row],[Data odczytu]])</f>
        <v>10</v>
      </c>
      <c r="D35">
        <f>gaz_3[[#This Row],[Odczyt licznika]]-B34</f>
        <v>155</v>
      </c>
      <c r="E35">
        <f>YEAR(gaz_3[[#This Row],[Data odczytu]])</f>
        <v>2004</v>
      </c>
      <c r="F35" s="4">
        <f>IF(gaz_3[[#This Row],[Zuzycie]]&gt;100,IF(gaz_3[[#This Row],[Zuzycie]]&gt;200,120,90),70)</f>
        <v>90</v>
      </c>
      <c r="G35" s="4">
        <f>VLOOKUP(gaz_3[[#This Row],[Rok]],$L$3:$M$20,2)</f>
        <v>0.98</v>
      </c>
      <c r="H35" s="4">
        <f>gaz_3[[#This Row],[cena]]*gaz_3[[#This Row],[Zuzycie]]+gaz_3[[#This Row],[taryfa]]</f>
        <v>241.9</v>
      </c>
      <c r="O35">
        <f>gaz_3[[#This Row],[Rok]]</f>
        <v>2004</v>
      </c>
      <c r="P35">
        <f>gaz_3[[#This Row],[laczna oplata]]</f>
        <v>241.9</v>
      </c>
    </row>
    <row r="36" spans="1:16" x14ac:dyDescent="0.25">
      <c r="A36" s="1">
        <v>38321</v>
      </c>
      <c r="B36">
        <v>6737</v>
      </c>
      <c r="C36">
        <f>MONTH(gaz_3[[#This Row],[Data odczytu]])</f>
        <v>11</v>
      </c>
      <c r="D36">
        <f>gaz_3[[#This Row],[Odczyt licznika]]-B35</f>
        <v>278</v>
      </c>
      <c r="E36">
        <f>YEAR(gaz_3[[#This Row],[Data odczytu]])</f>
        <v>2004</v>
      </c>
      <c r="F36" s="4">
        <f>IF(gaz_3[[#This Row],[Zuzycie]]&gt;100,IF(gaz_3[[#This Row],[Zuzycie]]&gt;200,120,90),70)</f>
        <v>120</v>
      </c>
      <c r="G36" s="4">
        <f>VLOOKUP(gaz_3[[#This Row],[Rok]],$L$3:$M$20,2)</f>
        <v>0.98</v>
      </c>
      <c r="H36" s="4">
        <f>gaz_3[[#This Row],[cena]]*gaz_3[[#This Row],[Zuzycie]]+gaz_3[[#This Row],[taryfa]]</f>
        <v>392.44</v>
      </c>
      <c r="O36">
        <f>gaz_3[[#This Row],[Rok]]</f>
        <v>2004</v>
      </c>
      <c r="P36">
        <f>gaz_3[[#This Row],[laczna oplata]]</f>
        <v>392.44</v>
      </c>
    </row>
    <row r="37" spans="1:16" x14ac:dyDescent="0.25">
      <c r="A37" s="1">
        <v>38352</v>
      </c>
      <c r="B37">
        <v>6997</v>
      </c>
      <c r="C37">
        <f>MONTH(gaz_3[[#This Row],[Data odczytu]])</f>
        <v>12</v>
      </c>
      <c r="D37">
        <f>gaz_3[[#This Row],[Odczyt licznika]]-B36</f>
        <v>260</v>
      </c>
      <c r="E37">
        <f>YEAR(gaz_3[[#This Row],[Data odczytu]])</f>
        <v>2004</v>
      </c>
      <c r="F37" s="4">
        <f>IF(gaz_3[[#This Row],[Zuzycie]]&gt;100,IF(gaz_3[[#This Row],[Zuzycie]]&gt;200,120,90),70)</f>
        <v>120</v>
      </c>
      <c r="G37" s="4">
        <f>VLOOKUP(gaz_3[[#This Row],[Rok]],$L$3:$M$20,2)</f>
        <v>0.98</v>
      </c>
      <c r="H37" s="4">
        <f>gaz_3[[#This Row],[cena]]*gaz_3[[#This Row],[Zuzycie]]+gaz_3[[#This Row],[taryfa]]</f>
        <v>374.79999999999995</v>
      </c>
      <c r="O37">
        <f>gaz_3[[#This Row],[Rok]]</f>
        <v>2004</v>
      </c>
      <c r="P37">
        <f>gaz_3[[#This Row],[laczna oplata]]</f>
        <v>374.79999999999995</v>
      </c>
    </row>
    <row r="38" spans="1:16" x14ac:dyDescent="0.25">
      <c r="A38" s="1">
        <v>38383</v>
      </c>
      <c r="B38">
        <v>7247</v>
      </c>
      <c r="C38">
        <f>MONTH(gaz_3[[#This Row],[Data odczytu]])</f>
        <v>1</v>
      </c>
      <c r="D38">
        <f>gaz_3[[#This Row],[Odczyt licznika]]-B37</f>
        <v>250</v>
      </c>
      <c r="E38">
        <f>YEAR(gaz_3[[#This Row],[Data odczytu]])</f>
        <v>2005</v>
      </c>
      <c r="F38" s="4">
        <f>IF(gaz_3[[#This Row],[Zuzycie]]&gt;100,IF(gaz_3[[#This Row],[Zuzycie]]&gt;200,120,90),70)</f>
        <v>120</v>
      </c>
      <c r="G38" s="4">
        <f>VLOOKUP(gaz_3[[#This Row],[Rok]],$L$3:$M$20,2)</f>
        <v>1.02</v>
      </c>
      <c r="H38" s="4">
        <f>gaz_3[[#This Row],[cena]]*gaz_3[[#This Row],[Zuzycie]]+gaz_3[[#This Row],[taryfa]]</f>
        <v>375</v>
      </c>
      <c r="O38">
        <f>gaz_3[[#This Row],[Rok]]</f>
        <v>2005</v>
      </c>
      <c r="P38">
        <f>gaz_3[[#This Row],[laczna oplata]]</f>
        <v>375</v>
      </c>
    </row>
    <row r="39" spans="1:16" x14ac:dyDescent="0.25">
      <c r="A39" s="1">
        <v>38411</v>
      </c>
      <c r="B39">
        <v>7399</v>
      </c>
      <c r="C39">
        <f>MONTH(gaz_3[[#This Row],[Data odczytu]])</f>
        <v>2</v>
      </c>
      <c r="D39">
        <f>gaz_3[[#This Row],[Odczyt licznika]]-B38</f>
        <v>152</v>
      </c>
      <c r="E39">
        <f>YEAR(gaz_3[[#This Row],[Data odczytu]])</f>
        <v>2005</v>
      </c>
      <c r="F39" s="4">
        <f>IF(gaz_3[[#This Row],[Zuzycie]]&gt;100,IF(gaz_3[[#This Row],[Zuzycie]]&gt;200,120,90),70)</f>
        <v>90</v>
      </c>
      <c r="G39" s="4">
        <f>VLOOKUP(gaz_3[[#This Row],[Rok]],$L$3:$M$20,2)</f>
        <v>1.02</v>
      </c>
      <c r="H39" s="4">
        <f>gaz_3[[#This Row],[cena]]*gaz_3[[#This Row],[Zuzycie]]+gaz_3[[#This Row],[taryfa]]</f>
        <v>245.04</v>
      </c>
      <c r="O39">
        <f>gaz_3[[#This Row],[Rok]]</f>
        <v>2005</v>
      </c>
      <c r="P39">
        <f>gaz_3[[#This Row],[laczna oplata]]</f>
        <v>245.04</v>
      </c>
    </row>
    <row r="40" spans="1:16" x14ac:dyDescent="0.25">
      <c r="A40" s="1">
        <v>38442</v>
      </c>
      <c r="B40">
        <v>7584</v>
      </c>
      <c r="C40">
        <f>MONTH(gaz_3[[#This Row],[Data odczytu]])</f>
        <v>3</v>
      </c>
      <c r="D40">
        <f>gaz_3[[#This Row],[Odczyt licznika]]-B39</f>
        <v>185</v>
      </c>
      <c r="E40">
        <f>YEAR(gaz_3[[#This Row],[Data odczytu]])</f>
        <v>2005</v>
      </c>
      <c r="F40" s="4">
        <f>IF(gaz_3[[#This Row],[Zuzycie]]&gt;100,IF(gaz_3[[#This Row],[Zuzycie]]&gt;200,120,90),70)</f>
        <v>90</v>
      </c>
      <c r="G40" s="4">
        <f>VLOOKUP(gaz_3[[#This Row],[Rok]],$L$3:$M$20,2)</f>
        <v>1.02</v>
      </c>
      <c r="H40" s="4">
        <f>gaz_3[[#This Row],[cena]]*gaz_3[[#This Row],[Zuzycie]]+gaz_3[[#This Row],[taryfa]]</f>
        <v>278.70000000000005</v>
      </c>
      <c r="O40">
        <f>gaz_3[[#This Row],[Rok]]</f>
        <v>2005</v>
      </c>
      <c r="P40">
        <f>gaz_3[[#This Row],[laczna oplata]]</f>
        <v>278.70000000000005</v>
      </c>
    </row>
    <row r="41" spans="1:16" x14ac:dyDescent="0.25">
      <c r="A41" s="1">
        <v>38472</v>
      </c>
      <c r="B41">
        <v>7745</v>
      </c>
      <c r="C41">
        <f>MONTH(gaz_3[[#This Row],[Data odczytu]])</f>
        <v>4</v>
      </c>
      <c r="D41">
        <f>gaz_3[[#This Row],[Odczyt licznika]]-B40</f>
        <v>161</v>
      </c>
      <c r="E41">
        <f>YEAR(gaz_3[[#This Row],[Data odczytu]])</f>
        <v>2005</v>
      </c>
      <c r="F41" s="4">
        <f>IF(gaz_3[[#This Row],[Zuzycie]]&gt;100,IF(gaz_3[[#This Row],[Zuzycie]]&gt;200,120,90),70)</f>
        <v>90</v>
      </c>
      <c r="G41" s="4">
        <f>VLOOKUP(gaz_3[[#This Row],[Rok]],$L$3:$M$20,2)</f>
        <v>1.02</v>
      </c>
      <c r="H41" s="4">
        <f>gaz_3[[#This Row],[cena]]*gaz_3[[#This Row],[Zuzycie]]+gaz_3[[#This Row],[taryfa]]</f>
        <v>254.22</v>
      </c>
      <c r="O41">
        <f>gaz_3[[#This Row],[Rok]]</f>
        <v>2005</v>
      </c>
      <c r="P41">
        <f>gaz_3[[#This Row],[laczna oplata]]</f>
        <v>254.22</v>
      </c>
    </row>
    <row r="42" spans="1:16" x14ac:dyDescent="0.25">
      <c r="A42" s="1">
        <v>38503</v>
      </c>
      <c r="B42">
        <v>7935</v>
      </c>
      <c r="C42">
        <f>MONTH(gaz_3[[#This Row],[Data odczytu]])</f>
        <v>5</v>
      </c>
      <c r="D42">
        <f>gaz_3[[#This Row],[Odczyt licznika]]-B41</f>
        <v>190</v>
      </c>
      <c r="E42">
        <f>YEAR(gaz_3[[#This Row],[Data odczytu]])</f>
        <v>2005</v>
      </c>
      <c r="F42" s="4">
        <f>IF(gaz_3[[#This Row],[Zuzycie]]&gt;100,IF(gaz_3[[#This Row],[Zuzycie]]&gt;200,120,90),70)</f>
        <v>90</v>
      </c>
      <c r="G42" s="4">
        <f>VLOOKUP(gaz_3[[#This Row],[Rok]],$L$3:$M$20,2)</f>
        <v>1.02</v>
      </c>
      <c r="H42" s="4">
        <f>gaz_3[[#This Row],[cena]]*gaz_3[[#This Row],[Zuzycie]]+gaz_3[[#This Row],[taryfa]]</f>
        <v>283.8</v>
      </c>
      <c r="O42">
        <f>gaz_3[[#This Row],[Rok]]</f>
        <v>2005</v>
      </c>
      <c r="P42">
        <f>gaz_3[[#This Row],[laczna oplata]]</f>
        <v>283.8</v>
      </c>
    </row>
    <row r="43" spans="1:16" x14ac:dyDescent="0.25">
      <c r="A43" s="1">
        <v>38533</v>
      </c>
      <c r="B43">
        <v>8043</v>
      </c>
      <c r="C43">
        <f>MONTH(gaz_3[[#This Row],[Data odczytu]])</f>
        <v>6</v>
      </c>
      <c r="D43">
        <f>gaz_3[[#This Row],[Odczyt licznika]]-B42</f>
        <v>108</v>
      </c>
      <c r="E43">
        <f>YEAR(gaz_3[[#This Row],[Data odczytu]])</f>
        <v>2005</v>
      </c>
      <c r="F43" s="4">
        <f>IF(gaz_3[[#This Row],[Zuzycie]]&gt;100,IF(gaz_3[[#This Row],[Zuzycie]]&gt;200,120,90),70)</f>
        <v>90</v>
      </c>
      <c r="G43" s="4">
        <f>VLOOKUP(gaz_3[[#This Row],[Rok]],$L$3:$M$20,2)</f>
        <v>1.02</v>
      </c>
      <c r="H43" s="4">
        <f>gaz_3[[#This Row],[cena]]*gaz_3[[#This Row],[Zuzycie]]+gaz_3[[#This Row],[taryfa]]</f>
        <v>200.16</v>
      </c>
      <c r="O43">
        <f>gaz_3[[#This Row],[Rok]]</f>
        <v>2005</v>
      </c>
      <c r="P43">
        <f>gaz_3[[#This Row],[laczna oplata]]</f>
        <v>200.16</v>
      </c>
    </row>
    <row r="44" spans="1:16" x14ac:dyDescent="0.25">
      <c r="A44" s="1">
        <v>38564</v>
      </c>
      <c r="B44">
        <v>8062</v>
      </c>
      <c r="C44">
        <f>MONTH(gaz_3[[#This Row],[Data odczytu]])</f>
        <v>7</v>
      </c>
      <c r="D44">
        <f>gaz_3[[#This Row],[Odczyt licznika]]-B43</f>
        <v>19</v>
      </c>
      <c r="E44">
        <f>YEAR(gaz_3[[#This Row],[Data odczytu]])</f>
        <v>2005</v>
      </c>
      <c r="F44" s="4">
        <f>IF(gaz_3[[#This Row],[Zuzycie]]&gt;100,IF(gaz_3[[#This Row],[Zuzycie]]&gt;200,120,90),70)</f>
        <v>70</v>
      </c>
      <c r="G44" s="4">
        <f>VLOOKUP(gaz_3[[#This Row],[Rok]],$L$3:$M$20,2)</f>
        <v>1.02</v>
      </c>
      <c r="H44" s="4">
        <f>gaz_3[[#This Row],[cena]]*gaz_3[[#This Row],[Zuzycie]]+gaz_3[[#This Row],[taryfa]]</f>
        <v>89.38</v>
      </c>
      <c r="O44">
        <f>gaz_3[[#This Row],[Rok]]</f>
        <v>2005</v>
      </c>
      <c r="P44">
        <f>gaz_3[[#This Row],[laczna oplata]]</f>
        <v>89.38</v>
      </c>
    </row>
    <row r="45" spans="1:16" x14ac:dyDescent="0.25">
      <c r="A45" s="1">
        <v>38595</v>
      </c>
      <c r="B45">
        <v>8081</v>
      </c>
      <c r="C45">
        <f>MONTH(gaz_3[[#This Row],[Data odczytu]])</f>
        <v>8</v>
      </c>
      <c r="D45">
        <f>gaz_3[[#This Row],[Odczyt licznika]]-B44</f>
        <v>19</v>
      </c>
      <c r="E45">
        <f>YEAR(gaz_3[[#This Row],[Data odczytu]])</f>
        <v>2005</v>
      </c>
      <c r="F45" s="4">
        <f>IF(gaz_3[[#This Row],[Zuzycie]]&gt;100,IF(gaz_3[[#This Row],[Zuzycie]]&gt;200,120,90),70)</f>
        <v>70</v>
      </c>
      <c r="G45" s="4">
        <f>VLOOKUP(gaz_3[[#This Row],[Rok]],$L$3:$M$20,2)</f>
        <v>1.02</v>
      </c>
      <c r="H45" s="4">
        <f>gaz_3[[#This Row],[cena]]*gaz_3[[#This Row],[Zuzycie]]+gaz_3[[#This Row],[taryfa]]</f>
        <v>89.38</v>
      </c>
      <c r="O45">
        <f>gaz_3[[#This Row],[Rok]]</f>
        <v>2005</v>
      </c>
      <c r="P45">
        <f>gaz_3[[#This Row],[laczna oplata]]</f>
        <v>89.38</v>
      </c>
    </row>
    <row r="46" spans="1:16" x14ac:dyDescent="0.25">
      <c r="A46" s="1">
        <v>38625</v>
      </c>
      <c r="B46">
        <v>8269</v>
      </c>
      <c r="C46">
        <f>MONTH(gaz_3[[#This Row],[Data odczytu]])</f>
        <v>9</v>
      </c>
      <c r="D46">
        <f>gaz_3[[#This Row],[Odczyt licznika]]-B45</f>
        <v>188</v>
      </c>
      <c r="E46">
        <f>YEAR(gaz_3[[#This Row],[Data odczytu]])</f>
        <v>2005</v>
      </c>
      <c r="F46" s="4">
        <f>IF(gaz_3[[#This Row],[Zuzycie]]&gt;100,IF(gaz_3[[#This Row],[Zuzycie]]&gt;200,120,90),70)</f>
        <v>90</v>
      </c>
      <c r="G46" s="4">
        <f>VLOOKUP(gaz_3[[#This Row],[Rok]],$L$3:$M$20,2)</f>
        <v>1.02</v>
      </c>
      <c r="H46" s="4">
        <f>gaz_3[[#This Row],[cena]]*gaz_3[[#This Row],[Zuzycie]]+gaz_3[[#This Row],[taryfa]]</f>
        <v>281.76</v>
      </c>
      <c r="O46">
        <f>gaz_3[[#This Row],[Rok]]</f>
        <v>2005</v>
      </c>
      <c r="P46">
        <f>gaz_3[[#This Row],[laczna oplata]]</f>
        <v>281.76</v>
      </c>
    </row>
    <row r="47" spans="1:16" x14ac:dyDescent="0.25">
      <c r="A47" s="1">
        <v>38656</v>
      </c>
      <c r="B47">
        <v>8465</v>
      </c>
      <c r="C47">
        <f>MONTH(gaz_3[[#This Row],[Data odczytu]])</f>
        <v>10</v>
      </c>
      <c r="D47">
        <f>gaz_3[[#This Row],[Odczyt licznika]]-B46</f>
        <v>196</v>
      </c>
      <c r="E47">
        <f>YEAR(gaz_3[[#This Row],[Data odczytu]])</f>
        <v>2005</v>
      </c>
      <c r="F47" s="4">
        <f>IF(gaz_3[[#This Row],[Zuzycie]]&gt;100,IF(gaz_3[[#This Row],[Zuzycie]]&gt;200,120,90),70)</f>
        <v>90</v>
      </c>
      <c r="G47" s="4">
        <f>VLOOKUP(gaz_3[[#This Row],[Rok]],$L$3:$M$20,2)</f>
        <v>1.02</v>
      </c>
      <c r="H47" s="4">
        <f>gaz_3[[#This Row],[cena]]*gaz_3[[#This Row],[Zuzycie]]+gaz_3[[#This Row],[taryfa]]</f>
        <v>289.92</v>
      </c>
      <c r="O47">
        <f>gaz_3[[#This Row],[Rok]]</f>
        <v>2005</v>
      </c>
      <c r="P47">
        <f>gaz_3[[#This Row],[laczna oplata]]</f>
        <v>289.92</v>
      </c>
    </row>
    <row r="48" spans="1:16" x14ac:dyDescent="0.25">
      <c r="A48" s="1">
        <v>38686</v>
      </c>
      <c r="B48">
        <v>8592</v>
      </c>
      <c r="C48">
        <f>MONTH(gaz_3[[#This Row],[Data odczytu]])</f>
        <v>11</v>
      </c>
      <c r="D48">
        <f>gaz_3[[#This Row],[Odczyt licznika]]-B47</f>
        <v>127</v>
      </c>
      <c r="E48">
        <f>YEAR(gaz_3[[#This Row],[Data odczytu]])</f>
        <v>2005</v>
      </c>
      <c r="F48" s="4">
        <f>IF(gaz_3[[#This Row],[Zuzycie]]&gt;100,IF(gaz_3[[#This Row],[Zuzycie]]&gt;200,120,90),70)</f>
        <v>90</v>
      </c>
      <c r="G48" s="4">
        <f>VLOOKUP(gaz_3[[#This Row],[Rok]],$L$3:$M$20,2)</f>
        <v>1.02</v>
      </c>
      <c r="H48" s="4">
        <f>gaz_3[[#This Row],[cena]]*gaz_3[[#This Row],[Zuzycie]]+gaz_3[[#This Row],[taryfa]]</f>
        <v>219.54</v>
      </c>
      <c r="O48">
        <f>gaz_3[[#This Row],[Rok]]</f>
        <v>2005</v>
      </c>
      <c r="P48">
        <f>gaz_3[[#This Row],[laczna oplata]]</f>
        <v>219.54</v>
      </c>
    </row>
    <row r="49" spans="1:16" x14ac:dyDescent="0.25">
      <c r="A49" s="1">
        <v>38717</v>
      </c>
      <c r="B49">
        <v>8819</v>
      </c>
      <c r="C49">
        <f>MONTH(gaz_3[[#This Row],[Data odczytu]])</f>
        <v>12</v>
      </c>
      <c r="D49">
        <f>gaz_3[[#This Row],[Odczyt licznika]]-B48</f>
        <v>227</v>
      </c>
      <c r="E49">
        <f>YEAR(gaz_3[[#This Row],[Data odczytu]])</f>
        <v>2005</v>
      </c>
      <c r="F49" s="4">
        <f>IF(gaz_3[[#This Row],[Zuzycie]]&gt;100,IF(gaz_3[[#This Row],[Zuzycie]]&gt;200,120,90),70)</f>
        <v>120</v>
      </c>
      <c r="G49" s="4">
        <f>VLOOKUP(gaz_3[[#This Row],[Rok]],$L$3:$M$20,2)</f>
        <v>1.02</v>
      </c>
      <c r="H49" s="4">
        <f>gaz_3[[#This Row],[cena]]*gaz_3[[#This Row],[Zuzycie]]+gaz_3[[#This Row],[taryfa]]</f>
        <v>351.53999999999996</v>
      </c>
      <c r="O49">
        <f>gaz_3[[#This Row],[Rok]]</f>
        <v>2005</v>
      </c>
      <c r="P49">
        <f>gaz_3[[#This Row],[laczna oplata]]</f>
        <v>351.53999999999996</v>
      </c>
    </row>
    <row r="50" spans="1:16" x14ac:dyDescent="0.25">
      <c r="A50" s="1">
        <v>38748</v>
      </c>
      <c r="B50">
        <v>9129</v>
      </c>
      <c r="C50">
        <f>MONTH(gaz_3[[#This Row],[Data odczytu]])</f>
        <v>1</v>
      </c>
      <c r="D50">
        <f>gaz_3[[#This Row],[Odczyt licznika]]-B49</f>
        <v>310</v>
      </c>
      <c r="E50">
        <f>YEAR(gaz_3[[#This Row],[Data odczytu]])</f>
        <v>2006</v>
      </c>
      <c r="F50" s="4">
        <f>IF(gaz_3[[#This Row],[Zuzycie]]&gt;100,IF(gaz_3[[#This Row],[Zuzycie]]&gt;200,120,90),70)</f>
        <v>120</v>
      </c>
      <c r="G50" s="4">
        <f>VLOOKUP(gaz_3[[#This Row],[Rok]],$L$3:$M$20,2)</f>
        <v>1.02</v>
      </c>
      <c r="H50" s="4">
        <f>gaz_3[[#This Row],[cena]]*gaz_3[[#This Row],[Zuzycie]]+gaz_3[[#This Row],[taryfa]]</f>
        <v>436.2</v>
      </c>
      <c r="O50">
        <f>gaz_3[[#This Row],[Rok]]</f>
        <v>2006</v>
      </c>
      <c r="P50">
        <f>gaz_3[[#This Row],[laczna oplata]]</f>
        <v>436.2</v>
      </c>
    </row>
    <row r="51" spans="1:16" x14ac:dyDescent="0.25">
      <c r="A51" s="1">
        <v>38776</v>
      </c>
      <c r="B51">
        <v>9424</v>
      </c>
      <c r="C51">
        <f>MONTH(gaz_3[[#This Row],[Data odczytu]])</f>
        <v>2</v>
      </c>
      <c r="D51">
        <f>gaz_3[[#This Row],[Odczyt licznika]]-B50</f>
        <v>295</v>
      </c>
      <c r="E51">
        <f>YEAR(gaz_3[[#This Row],[Data odczytu]])</f>
        <v>2006</v>
      </c>
      <c r="F51" s="4">
        <f>IF(gaz_3[[#This Row],[Zuzycie]]&gt;100,IF(gaz_3[[#This Row],[Zuzycie]]&gt;200,120,90),70)</f>
        <v>120</v>
      </c>
      <c r="G51" s="4">
        <f>VLOOKUP(gaz_3[[#This Row],[Rok]],$L$3:$M$20,2)</f>
        <v>1.02</v>
      </c>
      <c r="H51" s="4">
        <f>gaz_3[[#This Row],[cena]]*gaz_3[[#This Row],[Zuzycie]]+gaz_3[[#This Row],[taryfa]]</f>
        <v>420.9</v>
      </c>
      <c r="O51">
        <f>gaz_3[[#This Row],[Rok]]</f>
        <v>2006</v>
      </c>
      <c r="P51">
        <f>gaz_3[[#This Row],[laczna oplata]]</f>
        <v>420.9</v>
      </c>
    </row>
    <row r="52" spans="1:16" x14ac:dyDescent="0.25">
      <c r="A52" s="1">
        <v>38807</v>
      </c>
      <c r="B52">
        <v>9662</v>
      </c>
      <c r="C52">
        <f>MONTH(gaz_3[[#This Row],[Data odczytu]])</f>
        <v>3</v>
      </c>
      <c r="D52">
        <f>gaz_3[[#This Row],[Odczyt licznika]]-B51</f>
        <v>238</v>
      </c>
      <c r="E52">
        <f>YEAR(gaz_3[[#This Row],[Data odczytu]])</f>
        <v>2006</v>
      </c>
      <c r="F52" s="4">
        <f>IF(gaz_3[[#This Row],[Zuzycie]]&gt;100,IF(gaz_3[[#This Row],[Zuzycie]]&gt;200,120,90),70)</f>
        <v>120</v>
      </c>
      <c r="G52" s="4">
        <f>VLOOKUP(gaz_3[[#This Row],[Rok]],$L$3:$M$20,2)</f>
        <v>1.02</v>
      </c>
      <c r="H52" s="4">
        <f>gaz_3[[#This Row],[cena]]*gaz_3[[#This Row],[Zuzycie]]+gaz_3[[#This Row],[taryfa]]</f>
        <v>362.76</v>
      </c>
      <c r="O52">
        <f>gaz_3[[#This Row],[Rok]]</f>
        <v>2006</v>
      </c>
      <c r="P52">
        <f>gaz_3[[#This Row],[laczna oplata]]</f>
        <v>362.76</v>
      </c>
    </row>
    <row r="53" spans="1:16" x14ac:dyDescent="0.25">
      <c r="A53" s="1">
        <v>38837</v>
      </c>
      <c r="B53">
        <v>9778</v>
      </c>
      <c r="C53">
        <f>MONTH(gaz_3[[#This Row],[Data odczytu]])</f>
        <v>4</v>
      </c>
      <c r="D53">
        <f>gaz_3[[#This Row],[Odczyt licznika]]-B52</f>
        <v>116</v>
      </c>
      <c r="E53">
        <f>YEAR(gaz_3[[#This Row],[Data odczytu]])</f>
        <v>2006</v>
      </c>
      <c r="F53" s="4">
        <f>IF(gaz_3[[#This Row],[Zuzycie]]&gt;100,IF(gaz_3[[#This Row],[Zuzycie]]&gt;200,120,90),70)</f>
        <v>90</v>
      </c>
      <c r="G53" s="4">
        <f>VLOOKUP(gaz_3[[#This Row],[Rok]],$L$3:$M$20,2)</f>
        <v>1.02</v>
      </c>
      <c r="H53" s="4">
        <f>gaz_3[[#This Row],[cena]]*gaz_3[[#This Row],[Zuzycie]]+gaz_3[[#This Row],[taryfa]]</f>
        <v>208.32</v>
      </c>
      <c r="O53">
        <f>gaz_3[[#This Row],[Rok]]</f>
        <v>2006</v>
      </c>
      <c r="P53">
        <f>gaz_3[[#This Row],[laczna oplata]]</f>
        <v>208.32</v>
      </c>
    </row>
    <row r="54" spans="1:16" x14ac:dyDescent="0.25">
      <c r="A54" s="1">
        <v>38868</v>
      </c>
      <c r="B54">
        <v>9884</v>
      </c>
      <c r="C54">
        <f>MONTH(gaz_3[[#This Row],[Data odczytu]])</f>
        <v>5</v>
      </c>
      <c r="D54">
        <f>gaz_3[[#This Row],[Odczyt licznika]]-B53</f>
        <v>106</v>
      </c>
      <c r="E54">
        <f>YEAR(gaz_3[[#This Row],[Data odczytu]])</f>
        <v>2006</v>
      </c>
      <c r="F54" s="4">
        <f>IF(gaz_3[[#This Row],[Zuzycie]]&gt;100,IF(gaz_3[[#This Row],[Zuzycie]]&gt;200,120,90),70)</f>
        <v>90</v>
      </c>
      <c r="G54" s="4">
        <f>VLOOKUP(gaz_3[[#This Row],[Rok]],$L$3:$M$20,2)</f>
        <v>1.02</v>
      </c>
      <c r="H54" s="4">
        <f>gaz_3[[#This Row],[cena]]*gaz_3[[#This Row],[Zuzycie]]+gaz_3[[#This Row],[taryfa]]</f>
        <v>198.12</v>
      </c>
      <c r="O54">
        <f>gaz_3[[#This Row],[Rok]]</f>
        <v>2006</v>
      </c>
      <c r="P54">
        <f>gaz_3[[#This Row],[laczna oplata]]</f>
        <v>198.12</v>
      </c>
    </row>
    <row r="55" spans="1:16" x14ac:dyDescent="0.25">
      <c r="A55" s="1">
        <v>38898</v>
      </c>
      <c r="B55">
        <v>9914</v>
      </c>
      <c r="C55">
        <f>MONTH(gaz_3[[#This Row],[Data odczytu]])</f>
        <v>6</v>
      </c>
      <c r="D55">
        <f>gaz_3[[#This Row],[Odczyt licznika]]-B54</f>
        <v>30</v>
      </c>
      <c r="E55">
        <f>YEAR(gaz_3[[#This Row],[Data odczytu]])</f>
        <v>2006</v>
      </c>
      <c r="F55" s="4">
        <f>IF(gaz_3[[#This Row],[Zuzycie]]&gt;100,IF(gaz_3[[#This Row],[Zuzycie]]&gt;200,120,90),70)</f>
        <v>70</v>
      </c>
      <c r="G55" s="4">
        <f>VLOOKUP(gaz_3[[#This Row],[Rok]],$L$3:$M$20,2)</f>
        <v>1.02</v>
      </c>
      <c r="H55" s="4">
        <f>gaz_3[[#This Row],[cena]]*gaz_3[[#This Row],[Zuzycie]]+gaz_3[[#This Row],[taryfa]]</f>
        <v>100.6</v>
      </c>
      <c r="O55">
        <f>gaz_3[[#This Row],[Rok]]</f>
        <v>2006</v>
      </c>
      <c r="P55">
        <f>gaz_3[[#This Row],[laczna oplata]]</f>
        <v>100.6</v>
      </c>
    </row>
    <row r="56" spans="1:16" x14ac:dyDescent="0.25">
      <c r="A56" s="1">
        <v>38929</v>
      </c>
      <c r="B56">
        <v>9925</v>
      </c>
      <c r="C56">
        <f>MONTH(gaz_3[[#This Row],[Data odczytu]])</f>
        <v>7</v>
      </c>
      <c r="D56">
        <f>gaz_3[[#This Row],[Odczyt licznika]]-B55</f>
        <v>11</v>
      </c>
      <c r="E56">
        <f>YEAR(gaz_3[[#This Row],[Data odczytu]])</f>
        <v>2006</v>
      </c>
      <c r="F56" s="4">
        <f>IF(gaz_3[[#This Row],[Zuzycie]]&gt;100,IF(gaz_3[[#This Row],[Zuzycie]]&gt;200,120,90),70)</f>
        <v>70</v>
      </c>
      <c r="G56" s="4">
        <f>VLOOKUP(gaz_3[[#This Row],[Rok]],$L$3:$M$20,2)</f>
        <v>1.02</v>
      </c>
      <c r="H56" s="4">
        <f>gaz_3[[#This Row],[cena]]*gaz_3[[#This Row],[Zuzycie]]+gaz_3[[#This Row],[taryfa]]</f>
        <v>81.22</v>
      </c>
      <c r="O56">
        <f>gaz_3[[#This Row],[Rok]]</f>
        <v>2006</v>
      </c>
      <c r="P56">
        <f>gaz_3[[#This Row],[laczna oplata]]</f>
        <v>81.22</v>
      </c>
    </row>
    <row r="57" spans="1:16" x14ac:dyDescent="0.25">
      <c r="A57" s="1">
        <v>38960</v>
      </c>
      <c r="B57">
        <v>9938</v>
      </c>
      <c r="C57">
        <f>MONTH(gaz_3[[#This Row],[Data odczytu]])</f>
        <v>8</v>
      </c>
      <c r="D57">
        <f>gaz_3[[#This Row],[Odczyt licznika]]-B56</f>
        <v>13</v>
      </c>
      <c r="E57">
        <f>YEAR(gaz_3[[#This Row],[Data odczytu]])</f>
        <v>2006</v>
      </c>
      <c r="F57" s="4">
        <f>IF(gaz_3[[#This Row],[Zuzycie]]&gt;100,IF(gaz_3[[#This Row],[Zuzycie]]&gt;200,120,90),70)</f>
        <v>70</v>
      </c>
      <c r="G57" s="4">
        <f>VLOOKUP(gaz_3[[#This Row],[Rok]],$L$3:$M$20,2)</f>
        <v>1.02</v>
      </c>
      <c r="H57" s="4">
        <f>gaz_3[[#This Row],[cena]]*gaz_3[[#This Row],[Zuzycie]]+gaz_3[[#This Row],[taryfa]]</f>
        <v>83.26</v>
      </c>
      <c r="O57">
        <f>gaz_3[[#This Row],[Rok]]</f>
        <v>2006</v>
      </c>
      <c r="P57">
        <f>gaz_3[[#This Row],[laczna oplata]]</f>
        <v>83.26</v>
      </c>
    </row>
    <row r="58" spans="1:16" x14ac:dyDescent="0.25">
      <c r="A58" s="1">
        <v>38990</v>
      </c>
      <c r="B58">
        <v>10059</v>
      </c>
      <c r="C58">
        <f>MONTH(gaz_3[[#This Row],[Data odczytu]])</f>
        <v>9</v>
      </c>
      <c r="D58">
        <f>gaz_3[[#This Row],[Odczyt licznika]]-B57</f>
        <v>121</v>
      </c>
      <c r="E58">
        <f>YEAR(gaz_3[[#This Row],[Data odczytu]])</f>
        <v>2006</v>
      </c>
      <c r="F58" s="4">
        <f>IF(gaz_3[[#This Row],[Zuzycie]]&gt;100,IF(gaz_3[[#This Row],[Zuzycie]]&gt;200,120,90),70)</f>
        <v>90</v>
      </c>
      <c r="G58" s="4">
        <f>VLOOKUP(gaz_3[[#This Row],[Rok]],$L$3:$M$20,2)</f>
        <v>1.02</v>
      </c>
      <c r="H58" s="4">
        <f>gaz_3[[#This Row],[cena]]*gaz_3[[#This Row],[Zuzycie]]+gaz_3[[#This Row],[taryfa]]</f>
        <v>213.42000000000002</v>
      </c>
      <c r="O58">
        <f>gaz_3[[#This Row],[Rok]]</f>
        <v>2006</v>
      </c>
      <c r="P58">
        <f>gaz_3[[#This Row],[laczna oplata]]</f>
        <v>213.42000000000002</v>
      </c>
    </row>
    <row r="59" spans="1:16" x14ac:dyDescent="0.25">
      <c r="A59" s="1">
        <v>39021</v>
      </c>
      <c r="B59">
        <v>10211</v>
      </c>
      <c r="C59">
        <f>MONTH(gaz_3[[#This Row],[Data odczytu]])</f>
        <v>10</v>
      </c>
      <c r="D59">
        <f>gaz_3[[#This Row],[Odczyt licznika]]-B58</f>
        <v>152</v>
      </c>
      <c r="E59">
        <f>YEAR(gaz_3[[#This Row],[Data odczytu]])</f>
        <v>2006</v>
      </c>
      <c r="F59" s="4">
        <f>IF(gaz_3[[#This Row],[Zuzycie]]&gt;100,IF(gaz_3[[#This Row],[Zuzycie]]&gt;200,120,90),70)</f>
        <v>90</v>
      </c>
      <c r="G59" s="4">
        <f>VLOOKUP(gaz_3[[#This Row],[Rok]],$L$3:$M$20,2)</f>
        <v>1.02</v>
      </c>
      <c r="H59" s="4">
        <f>gaz_3[[#This Row],[cena]]*gaz_3[[#This Row],[Zuzycie]]+gaz_3[[#This Row],[taryfa]]</f>
        <v>245.04</v>
      </c>
      <c r="O59">
        <f>gaz_3[[#This Row],[Rok]]</f>
        <v>2006</v>
      </c>
      <c r="P59">
        <f>gaz_3[[#This Row],[laczna oplata]]</f>
        <v>245.04</v>
      </c>
    </row>
    <row r="60" spans="1:16" x14ac:dyDescent="0.25">
      <c r="A60" s="1">
        <v>39051</v>
      </c>
      <c r="B60">
        <v>10486</v>
      </c>
      <c r="C60">
        <f>MONTH(gaz_3[[#This Row],[Data odczytu]])</f>
        <v>11</v>
      </c>
      <c r="D60">
        <f>gaz_3[[#This Row],[Odczyt licznika]]-B59</f>
        <v>275</v>
      </c>
      <c r="E60">
        <f>YEAR(gaz_3[[#This Row],[Data odczytu]])</f>
        <v>2006</v>
      </c>
      <c r="F60" s="4">
        <f>IF(gaz_3[[#This Row],[Zuzycie]]&gt;100,IF(gaz_3[[#This Row],[Zuzycie]]&gt;200,120,90),70)</f>
        <v>120</v>
      </c>
      <c r="G60" s="4">
        <f>VLOOKUP(gaz_3[[#This Row],[Rok]],$L$3:$M$20,2)</f>
        <v>1.02</v>
      </c>
      <c r="H60" s="4">
        <f>gaz_3[[#This Row],[cena]]*gaz_3[[#This Row],[Zuzycie]]+gaz_3[[#This Row],[taryfa]]</f>
        <v>400.5</v>
      </c>
      <c r="O60">
        <f>gaz_3[[#This Row],[Rok]]</f>
        <v>2006</v>
      </c>
      <c r="P60">
        <f>gaz_3[[#This Row],[laczna oplata]]</f>
        <v>400.5</v>
      </c>
    </row>
    <row r="61" spans="1:16" x14ac:dyDescent="0.25">
      <c r="A61" s="1">
        <v>39082</v>
      </c>
      <c r="B61">
        <v>10742</v>
      </c>
      <c r="C61">
        <f>MONTH(gaz_3[[#This Row],[Data odczytu]])</f>
        <v>12</v>
      </c>
      <c r="D61">
        <f>gaz_3[[#This Row],[Odczyt licznika]]-B60</f>
        <v>256</v>
      </c>
      <c r="E61">
        <f>YEAR(gaz_3[[#This Row],[Data odczytu]])</f>
        <v>2006</v>
      </c>
      <c r="F61" s="4">
        <f>IF(gaz_3[[#This Row],[Zuzycie]]&gt;100,IF(gaz_3[[#This Row],[Zuzycie]]&gt;200,120,90),70)</f>
        <v>120</v>
      </c>
      <c r="G61" s="4">
        <f>VLOOKUP(gaz_3[[#This Row],[Rok]],$L$3:$M$20,2)</f>
        <v>1.02</v>
      </c>
      <c r="H61" s="4">
        <f>gaz_3[[#This Row],[cena]]*gaz_3[[#This Row],[Zuzycie]]+gaz_3[[#This Row],[taryfa]]</f>
        <v>381.12</v>
      </c>
      <c r="O61">
        <f>gaz_3[[#This Row],[Rok]]</f>
        <v>2006</v>
      </c>
      <c r="P61">
        <f>gaz_3[[#This Row],[laczna oplata]]</f>
        <v>381.12</v>
      </c>
    </row>
    <row r="62" spans="1:16" x14ac:dyDescent="0.25">
      <c r="A62" s="1">
        <v>39113</v>
      </c>
      <c r="B62">
        <v>10988</v>
      </c>
      <c r="C62">
        <f>MONTH(gaz_3[[#This Row],[Data odczytu]])</f>
        <v>1</v>
      </c>
      <c r="D62">
        <f>gaz_3[[#This Row],[Odczyt licznika]]-B61</f>
        <v>246</v>
      </c>
      <c r="E62">
        <f>YEAR(gaz_3[[#This Row],[Data odczytu]])</f>
        <v>2007</v>
      </c>
      <c r="F62" s="4">
        <f>IF(gaz_3[[#This Row],[Zuzycie]]&gt;100,IF(gaz_3[[#This Row],[Zuzycie]]&gt;200,120,90),70)</f>
        <v>120</v>
      </c>
      <c r="G62" s="4">
        <f>VLOOKUP(gaz_3[[#This Row],[Rok]],$L$3:$M$20,2)</f>
        <v>1.04</v>
      </c>
      <c r="H62" s="4">
        <f>gaz_3[[#This Row],[cena]]*gaz_3[[#This Row],[Zuzycie]]+gaz_3[[#This Row],[taryfa]]</f>
        <v>375.84000000000003</v>
      </c>
      <c r="O62">
        <f>gaz_3[[#This Row],[Rok]]</f>
        <v>2007</v>
      </c>
      <c r="P62">
        <f>gaz_3[[#This Row],[laczna oplata]]</f>
        <v>375.84000000000003</v>
      </c>
    </row>
    <row r="63" spans="1:16" x14ac:dyDescent="0.25">
      <c r="A63" s="1">
        <v>39141</v>
      </c>
      <c r="B63">
        <v>11138</v>
      </c>
      <c r="C63">
        <f>MONTH(gaz_3[[#This Row],[Data odczytu]])</f>
        <v>2</v>
      </c>
      <c r="D63">
        <f>gaz_3[[#This Row],[Odczyt licznika]]-B62</f>
        <v>150</v>
      </c>
      <c r="E63">
        <f>YEAR(gaz_3[[#This Row],[Data odczytu]])</f>
        <v>2007</v>
      </c>
      <c r="F63" s="4">
        <f>IF(gaz_3[[#This Row],[Zuzycie]]&gt;100,IF(gaz_3[[#This Row],[Zuzycie]]&gt;200,120,90),70)</f>
        <v>90</v>
      </c>
      <c r="G63" s="4">
        <f>VLOOKUP(gaz_3[[#This Row],[Rok]],$L$3:$M$20,2)</f>
        <v>1.04</v>
      </c>
      <c r="H63" s="4">
        <f>gaz_3[[#This Row],[cena]]*gaz_3[[#This Row],[Zuzycie]]+gaz_3[[#This Row],[taryfa]]</f>
        <v>246</v>
      </c>
      <c r="O63">
        <f>gaz_3[[#This Row],[Rok]]</f>
        <v>2007</v>
      </c>
      <c r="P63">
        <f>gaz_3[[#This Row],[laczna oplata]]</f>
        <v>246</v>
      </c>
    </row>
    <row r="64" spans="1:16" x14ac:dyDescent="0.25">
      <c r="A64" s="1">
        <v>39172</v>
      </c>
      <c r="B64">
        <v>11321</v>
      </c>
      <c r="C64">
        <f>MONTH(gaz_3[[#This Row],[Data odczytu]])</f>
        <v>3</v>
      </c>
      <c r="D64">
        <f>gaz_3[[#This Row],[Odczyt licznika]]-B63</f>
        <v>183</v>
      </c>
      <c r="E64">
        <f>YEAR(gaz_3[[#This Row],[Data odczytu]])</f>
        <v>2007</v>
      </c>
      <c r="F64" s="4">
        <f>IF(gaz_3[[#This Row],[Zuzycie]]&gt;100,IF(gaz_3[[#This Row],[Zuzycie]]&gt;200,120,90),70)</f>
        <v>90</v>
      </c>
      <c r="G64" s="4">
        <f>VLOOKUP(gaz_3[[#This Row],[Rok]],$L$3:$M$20,2)</f>
        <v>1.04</v>
      </c>
      <c r="H64" s="4">
        <f>gaz_3[[#This Row],[cena]]*gaz_3[[#This Row],[Zuzycie]]+gaz_3[[#This Row],[taryfa]]</f>
        <v>280.32</v>
      </c>
      <c r="O64">
        <f>gaz_3[[#This Row],[Rok]]</f>
        <v>2007</v>
      </c>
      <c r="P64">
        <f>gaz_3[[#This Row],[laczna oplata]]</f>
        <v>280.32</v>
      </c>
    </row>
    <row r="65" spans="1:16" x14ac:dyDescent="0.25">
      <c r="A65" s="1">
        <v>39202</v>
      </c>
      <c r="B65">
        <v>11481</v>
      </c>
      <c r="C65">
        <f>MONTH(gaz_3[[#This Row],[Data odczytu]])</f>
        <v>4</v>
      </c>
      <c r="D65">
        <f>gaz_3[[#This Row],[Odczyt licznika]]-B64</f>
        <v>160</v>
      </c>
      <c r="E65">
        <f>YEAR(gaz_3[[#This Row],[Data odczytu]])</f>
        <v>2007</v>
      </c>
      <c r="F65" s="4">
        <f>IF(gaz_3[[#This Row],[Zuzycie]]&gt;100,IF(gaz_3[[#This Row],[Zuzycie]]&gt;200,120,90),70)</f>
        <v>90</v>
      </c>
      <c r="G65" s="4">
        <f>VLOOKUP(gaz_3[[#This Row],[Rok]],$L$3:$M$20,2)</f>
        <v>1.04</v>
      </c>
      <c r="H65" s="4">
        <f>gaz_3[[#This Row],[cena]]*gaz_3[[#This Row],[Zuzycie]]+gaz_3[[#This Row],[taryfa]]</f>
        <v>256.39999999999998</v>
      </c>
      <c r="O65">
        <f>gaz_3[[#This Row],[Rok]]</f>
        <v>2007</v>
      </c>
      <c r="P65">
        <f>gaz_3[[#This Row],[laczna oplata]]</f>
        <v>256.39999999999998</v>
      </c>
    </row>
    <row r="66" spans="1:16" x14ac:dyDescent="0.25">
      <c r="A66" s="1">
        <v>39233</v>
      </c>
      <c r="B66">
        <v>11669</v>
      </c>
      <c r="C66">
        <f>MONTH(gaz_3[[#This Row],[Data odczytu]])</f>
        <v>5</v>
      </c>
      <c r="D66">
        <f>gaz_3[[#This Row],[Odczyt licznika]]-B65</f>
        <v>188</v>
      </c>
      <c r="E66">
        <f>YEAR(gaz_3[[#This Row],[Data odczytu]])</f>
        <v>2007</v>
      </c>
      <c r="F66" s="4">
        <f>IF(gaz_3[[#This Row],[Zuzycie]]&gt;100,IF(gaz_3[[#This Row],[Zuzycie]]&gt;200,120,90),70)</f>
        <v>90</v>
      </c>
      <c r="G66" s="4">
        <f>VLOOKUP(gaz_3[[#This Row],[Rok]],$L$3:$M$20,2)</f>
        <v>1.04</v>
      </c>
      <c r="H66" s="4">
        <f>gaz_3[[#This Row],[cena]]*gaz_3[[#This Row],[Zuzycie]]+gaz_3[[#This Row],[taryfa]]</f>
        <v>285.52</v>
      </c>
      <c r="O66">
        <f>gaz_3[[#This Row],[Rok]]</f>
        <v>2007</v>
      </c>
      <c r="P66">
        <f>gaz_3[[#This Row],[laczna oplata]]</f>
        <v>285.52</v>
      </c>
    </row>
    <row r="67" spans="1:16" x14ac:dyDescent="0.25">
      <c r="A67" s="1">
        <v>39263</v>
      </c>
      <c r="B67">
        <v>11776</v>
      </c>
      <c r="C67">
        <f>MONTH(gaz_3[[#This Row],[Data odczytu]])</f>
        <v>6</v>
      </c>
      <c r="D67">
        <f>gaz_3[[#This Row],[Odczyt licznika]]-B66</f>
        <v>107</v>
      </c>
      <c r="E67">
        <f>YEAR(gaz_3[[#This Row],[Data odczytu]])</f>
        <v>2007</v>
      </c>
      <c r="F67" s="4">
        <f>IF(gaz_3[[#This Row],[Zuzycie]]&gt;100,IF(gaz_3[[#This Row],[Zuzycie]]&gt;200,120,90),70)</f>
        <v>90</v>
      </c>
      <c r="G67" s="4">
        <f>VLOOKUP(gaz_3[[#This Row],[Rok]],$L$3:$M$20,2)</f>
        <v>1.04</v>
      </c>
      <c r="H67" s="4">
        <f>gaz_3[[#This Row],[cena]]*gaz_3[[#This Row],[Zuzycie]]+gaz_3[[#This Row],[taryfa]]</f>
        <v>201.28</v>
      </c>
      <c r="O67">
        <f>gaz_3[[#This Row],[Rok]]</f>
        <v>2007</v>
      </c>
      <c r="P67">
        <f>gaz_3[[#This Row],[laczna oplata]]</f>
        <v>201.28</v>
      </c>
    </row>
    <row r="68" spans="1:16" x14ac:dyDescent="0.25">
      <c r="A68" s="1">
        <v>39294</v>
      </c>
      <c r="B68">
        <v>11795</v>
      </c>
      <c r="C68">
        <f>MONTH(gaz_3[[#This Row],[Data odczytu]])</f>
        <v>7</v>
      </c>
      <c r="D68">
        <f>gaz_3[[#This Row],[Odczyt licznika]]-B67</f>
        <v>19</v>
      </c>
      <c r="E68">
        <f>YEAR(gaz_3[[#This Row],[Data odczytu]])</f>
        <v>2007</v>
      </c>
      <c r="F68" s="4">
        <f>IF(gaz_3[[#This Row],[Zuzycie]]&gt;100,IF(gaz_3[[#This Row],[Zuzycie]]&gt;200,120,90),70)</f>
        <v>70</v>
      </c>
      <c r="G68" s="4">
        <f>VLOOKUP(gaz_3[[#This Row],[Rok]],$L$3:$M$20,2)</f>
        <v>1.04</v>
      </c>
      <c r="H68" s="4">
        <f>gaz_3[[#This Row],[cena]]*gaz_3[[#This Row],[Zuzycie]]+gaz_3[[#This Row],[taryfa]]</f>
        <v>89.76</v>
      </c>
      <c r="O68">
        <f>gaz_3[[#This Row],[Rok]]</f>
        <v>2007</v>
      </c>
      <c r="P68">
        <f>gaz_3[[#This Row],[laczna oplata]]</f>
        <v>89.76</v>
      </c>
    </row>
    <row r="69" spans="1:16" x14ac:dyDescent="0.25">
      <c r="A69" s="1">
        <v>39325</v>
      </c>
      <c r="B69">
        <v>11814</v>
      </c>
      <c r="C69">
        <f>MONTH(gaz_3[[#This Row],[Data odczytu]])</f>
        <v>8</v>
      </c>
      <c r="D69">
        <f>gaz_3[[#This Row],[Odczyt licznika]]-B68</f>
        <v>19</v>
      </c>
      <c r="E69">
        <f>YEAR(gaz_3[[#This Row],[Data odczytu]])</f>
        <v>2007</v>
      </c>
      <c r="F69" s="4">
        <f>IF(gaz_3[[#This Row],[Zuzycie]]&gt;100,IF(gaz_3[[#This Row],[Zuzycie]]&gt;200,120,90),70)</f>
        <v>70</v>
      </c>
      <c r="G69" s="4">
        <f>VLOOKUP(gaz_3[[#This Row],[Rok]],$L$3:$M$20,2)</f>
        <v>1.04</v>
      </c>
      <c r="H69" s="4">
        <f>gaz_3[[#This Row],[cena]]*gaz_3[[#This Row],[Zuzycie]]+gaz_3[[#This Row],[taryfa]]</f>
        <v>89.76</v>
      </c>
      <c r="O69">
        <f>gaz_3[[#This Row],[Rok]]</f>
        <v>2007</v>
      </c>
      <c r="P69">
        <f>gaz_3[[#This Row],[laczna oplata]]</f>
        <v>89.76</v>
      </c>
    </row>
    <row r="70" spans="1:16" x14ac:dyDescent="0.25">
      <c r="A70" s="1">
        <v>39355</v>
      </c>
      <c r="B70">
        <v>11901</v>
      </c>
      <c r="C70">
        <f>MONTH(gaz_3[[#This Row],[Data odczytu]])</f>
        <v>9</v>
      </c>
      <c r="D70">
        <f>gaz_3[[#This Row],[Odczyt licznika]]-B69</f>
        <v>87</v>
      </c>
      <c r="E70">
        <f>YEAR(gaz_3[[#This Row],[Data odczytu]])</f>
        <v>2007</v>
      </c>
      <c r="F70" s="4">
        <f>IF(gaz_3[[#This Row],[Zuzycie]]&gt;100,IF(gaz_3[[#This Row],[Zuzycie]]&gt;200,120,90),70)</f>
        <v>70</v>
      </c>
      <c r="G70" s="4">
        <f>VLOOKUP(gaz_3[[#This Row],[Rok]],$L$3:$M$20,2)</f>
        <v>1.04</v>
      </c>
      <c r="H70" s="4">
        <f>gaz_3[[#This Row],[cena]]*gaz_3[[#This Row],[Zuzycie]]+gaz_3[[#This Row],[taryfa]]</f>
        <v>160.48000000000002</v>
      </c>
      <c r="O70">
        <f>gaz_3[[#This Row],[Rok]]</f>
        <v>2007</v>
      </c>
      <c r="P70">
        <f>gaz_3[[#This Row],[laczna oplata]]</f>
        <v>160.48000000000002</v>
      </c>
    </row>
    <row r="71" spans="1:16" x14ac:dyDescent="0.25">
      <c r="A71" s="1">
        <v>39386</v>
      </c>
      <c r="B71">
        <v>12044</v>
      </c>
      <c r="C71">
        <f>MONTH(gaz_3[[#This Row],[Data odczytu]])</f>
        <v>10</v>
      </c>
      <c r="D71">
        <f>gaz_3[[#This Row],[Odczyt licznika]]-B70</f>
        <v>143</v>
      </c>
      <c r="E71">
        <f>YEAR(gaz_3[[#This Row],[Data odczytu]])</f>
        <v>2007</v>
      </c>
      <c r="F71" s="4">
        <f>IF(gaz_3[[#This Row],[Zuzycie]]&gt;100,IF(gaz_3[[#This Row],[Zuzycie]]&gt;200,120,90),70)</f>
        <v>90</v>
      </c>
      <c r="G71" s="4">
        <f>VLOOKUP(gaz_3[[#This Row],[Rok]],$L$3:$M$20,2)</f>
        <v>1.04</v>
      </c>
      <c r="H71" s="4">
        <f>gaz_3[[#This Row],[cena]]*gaz_3[[#This Row],[Zuzycie]]+gaz_3[[#This Row],[taryfa]]</f>
        <v>238.72</v>
      </c>
      <c r="O71">
        <f>gaz_3[[#This Row],[Rok]]</f>
        <v>2007</v>
      </c>
      <c r="P71">
        <f>gaz_3[[#This Row],[laczna oplata]]</f>
        <v>238.72</v>
      </c>
    </row>
    <row r="72" spans="1:16" x14ac:dyDescent="0.25">
      <c r="A72" s="1">
        <v>39416</v>
      </c>
      <c r="B72">
        <v>12170</v>
      </c>
      <c r="C72">
        <f>MONTH(gaz_3[[#This Row],[Data odczytu]])</f>
        <v>11</v>
      </c>
      <c r="D72">
        <f>gaz_3[[#This Row],[Odczyt licznika]]-B71</f>
        <v>126</v>
      </c>
      <c r="E72">
        <f>YEAR(gaz_3[[#This Row],[Data odczytu]])</f>
        <v>2007</v>
      </c>
      <c r="F72" s="4">
        <f>IF(gaz_3[[#This Row],[Zuzycie]]&gt;100,IF(gaz_3[[#This Row],[Zuzycie]]&gt;200,120,90),70)</f>
        <v>90</v>
      </c>
      <c r="G72" s="4">
        <f>VLOOKUP(gaz_3[[#This Row],[Rok]],$L$3:$M$20,2)</f>
        <v>1.04</v>
      </c>
      <c r="H72" s="4">
        <f>gaz_3[[#This Row],[cena]]*gaz_3[[#This Row],[Zuzycie]]+gaz_3[[#This Row],[taryfa]]</f>
        <v>221.04</v>
      </c>
      <c r="O72">
        <f>gaz_3[[#This Row],[Rok]]</f>
        <v>2007</v>
      </c>
      <c r="P72">
        <f>gaz_3[[#This Row],[laczna oplata]]</f>
        <v>221.04</v>
      </c>
    </row>
    <row r="73" spans="1:16" x14ac:dyDescent="0.25">
      <c r="A73" s="1">
        <v>39447</v>
      </c>
      <c r="B73">
        <v>12395</v>
      </c>
      <c r="C73">
        <f>MONTH(gaz_3[[#This Row],[Data odczytu]])</f>
        <v>12</v>
      </c>
      <c r="D73">
        <f>gaz_3[[#This Row],[Odczyt licznika]]-B72</f>
        <v>225</v>
      </c>
      <c r="E73">
        <f>YEAR(gaz_3[[#This Row],[Data odczytu]])</f>
        <v>2007</v>
      </c>
      <c r="F73" s="4">
        <f>IF(gaz_3[[#This Row],[Zuzycie]]&gt;100,IF(gaz_3[[#This Row],[Zuzycie]]&gt;200,120,90),70)</f>
        <v>120</v>
      </c>
      <c r="G73" s="4">
        <f>VLOOKUP(gaz_3[[#This Row],[Rok]],$L$3:$M$20,2)</f>
        <v>1.04</v>
      </c>
      <c r="H73" s="4">
        <f>gaz_3[[#This Row],[cena]]*gaz_3[[#This Row],[Zuzycie]]+gaz_3[[#This Row],[taryfa]]</f>
        <v>354</v>
      </c>
      <c r="O73">
        <f>gaz_3[[#This Row],[Rok]]</f>
        <v>2007</v>
      </c>
      <c r="P73">
        <f>gaz_3[[#This Row],[laczna oplata]]</f>
        <v>354</v>
      </c>
    </row>
    <row r="74" spans="1:16" x14ac:dyDescent="0.25">
      <c r="A74" s="1">
        <v>39478</v>
      </c>
      <c r="B74">
        <v>12702</v>
      </c>
      <c r="C74">
        <f>MONTH(gaz_3[[#This Row],[Data odczytu]])</f>
        <v>1</v>
      </c>
      <c r="D74">
        <f>gaz_3[[#This Row],[Odczyt licznika]]-B73</f>
        <v>307</v>
      </c>
      <c r="E74">
        <f>YEAR(gaz_3[[#This Row],[Data odczytu]])</f>
        <v>2008</v>
      </c>
      <c r="F74" s="4">
        <f>IF(gaz_3[[#This Row],[Zuzycie]]&gt;100,IF(gaz_3[[#This Row],[Zuzycie]]&gt;200,120,90),70)</f>
        <v>120</v>
      </c>
      <c r="G74" s="4">
        <f>VLOOKUP(gaz_3[[#This Row],[Rok]],$L$3:$M$20,2)</f>
        <v>1.05</v>
      </c>
      <c r="H74" s="4">
        <f>gaz_3[[#This Row],[cena]]*gaz_3[[#This Row],[Zuzycie]]+gaz_3[[#This Row],[taryfa]]</f>
        <v>442.35</v>
      </c>
      <c r="O74">
        <f>gaz_3[[#This Row],[Rok]]</f>
        <v>2008</v>
      </c>
      <c r="P74">
        <f>gaz_3[[#This Row],[laczna oplata]]</f>
        <v>442.35</v>
      </c>
    </row>
    <row r="75" spans="1:16" x14ac:dyDescent="0.25">
      <c r="A75" s="1">
        <v>39506</v>
      </c>
      <c r="B75">
        <v>13025</v>
      </c>
      <c r="C75">
        <f>MONTH(gaz_3[[#This Row],[Data odczytu]])</f>
        <v>2</v>
      </c>
      <c r="D75">
        <f>gaz_3[[#This Row],[Odczyt licznika]]-B74</f>
        <v>323</v>
      </c>
      <c r="E75">
        <f>YEAR(gaz_3[[#This Row],[Data odczytu]])</f>
        <v>2008</v>
      </c>
      <c r="F75" s="4">
        <f>IF(gaz_3[[#This Row],[Zuzycie]]&gt;100,IF(gaz_3[[#This Row],[Zuzycie]]&gt;200,120,90),70)</f>
        <v>120</v>
      </c>
      <c r="G75" s="4">
        <f>VLOOKUP(gaz_3[[#This Row],[Rok]],$L$3:$M$20,2)</f>
        <v>1.05</v>
      </c>
      <c r="H75" s="4">
        <f>gaz_3[[#This Row],[cena]]*gaz_3[[#This Row],[Zuzycie]]+gaz_3[[#This Row],[taryfa]]</f>
        <v>459.15000000000003</v>
      </c>
      <c r="O75">
        <f>gaz_3[[#This Row],[Rok]]</f>
        <v>2008</v>
      </c>
      <c r="P75">
        <f>gaz_3[[#This Row],[laczna oplata]]</f>
        <v>459.15000000000003</v>
      </c>
    </row>
    <row r="76" spans="1:16" x14ac:dyDescent="0.25">
      <c r="A76" s="1">
        <v>39538</v>
      </c>
      <c r="B76">
        <v>13261</v>
      </c>
      <c r="C76">
        <f>MONTH(gaz_3[[#This Row],[Data odczytu]])</f>
        <v>3</v>
      </c>
      <c r="D76">
        <f>gaz_3[[#This Row],[Odczyt licznika]]-B75</f>
        <v>236</v>
      </c>
      <c r="E76">
        <f>YEAR(gaz_3[[#This Row],[Data odczytu]])</f>
        <v>2008</v>
      </c>
      <c r="F76" s="4">
        <f>IF(gaz_3[[#This Row],[Zuzycie]]&gt;100,IF(gaz_3[[#This Row],[Zuzycie]]&gt;200,120,90),70)</f>
        <v>120</v>
      </c>
      <c r="G76" s="4">
        <f>VLOOKUP(gaz_3[[#This Row],[Rok]],$L$3:$M$20,2)</f>
        <v>1.05</v>
      </c>
      <c r="H76" s="4">
        <f>gaz_3[[#This Row],[cena]]*gaz_3[[#This Row],[Zuzycie]]+gaz_3[[#This Row],[taryfa]]</f>
        <v>367.8</v>
      </c>
      <c r="O76">
        <f>gaz_3[[#This Row],[Rok]]</f>
        <v>2008</v>
      </c>
      <c r="P76">
        <f>gaz_3[[#This Row],[laczna oplata]]</f>
        <v>367.8</v>
      </c>
    </row>
    <row r="77" spans="1:16" x14ac:dyDescent="0.25">
      <c r="A77" s="1">
        <v>39568</v>
      </c>
      <c r="B77">
        <v>13376</v>
      </c>
      <c r="C77">
        <f>MONTH(gaz_3[[#This Row],[Data odczytu]])</f>
        <v>4</v>
      </c>
      <c r="D77">
        <f>gaz_3[[#This Row],[Odczyt licznika]]-B76</f>
        <v>115</v>
      </c>
      <c r="E77">
        <f>YEAR(gaz_3[[#This Row],[Data odczytu]])</f>
        <v>2008</v>
      </c>
      <c r="F77" s="4">
        <f>IF(gaz_3[[#This Row],[Zuzycie]]&gt;100,IF(gaz_3[[#This Row],[Zuzycie]]&gt;200,120,90),70)</f>
        <v>90</v>
      </c>
      <c r="G77" s="4">
        <f>VLOOKUP(gaz_3[[#This Row],[Rok]],$L$3:$M$20,2)</f>
        <v>1.05</v>
      </c>
      <c r="H77" s="4">
        <f>gaz_3[[#This Row],[cena]]*gaz_3[[#This Row],[Zuzycie]]+gaz_3[[#This Row],[taryfa]]</f>
        <v>210.75</v>
      </c>
      <c r="O77">
        <f>gaz_3[[#This Row],[Rok]]</f>
        <v>2008</v>
      </c>
      <c r="P77">
        <f>gaz_3[[#This Row],[laczna oplata]]</f>
        <v>210.75</v>
      </c>
    </row>
    <row r="78" spans="1:16" x14ac:dyDescent="0.25">
      <c r="A78" s="1">
        <v>39599</v>
      </c>
      <c r="B78">
        <v>13478</v>
      </c>
      <c r="C78">
        <f>MONTH(gaz_3[[#This Row],[Data odczytu]])</f>
        <v>5</v>
      </c>
      <c r="D78">
        <f>gaz_3[[#This Row],[Odczyt licznika]]-B77</f>
        <v>102</v>
      </c>
      <c r="E78">
        <f>YEAR(gaz_3[[#This Row],[Data odczytu]])</f>
        <v>2008</v>
      </c>
      <c r="F78" s="4">
        <f>IF(gaz_3[[#This Row],[Zuzycie]]&gt;100,IF(gaz_3[[#This Row],[Zuzycie]]&gt;200,120,90),70)</f>
        <v>90</v>
      </c>
      <c r="G78" s="4">
        <f>VLOOKUP(gaz_3[[#This Row],[Rok]],$L$3:$M$20,2)</f>
        <v>1.05</v>
      </c>
      <c r="H78" s="4">
        <f>gaz_3[[#This Row],[cena]]*gaz_3[[#This Row],[Zuzycie]]+gaz_3[[#This Row],[taryfa]]</f>
        <v>197.10000000000002</v>
      </c>
      <c r="O78">
        <f>gaz_3[[#This Row],[Rok]]</f>
        <v>2008</v>
      </c>
      <c r="P78">
        <f>gaz_3[[#This Row],[laczna oplata]]</f>
        <v>197.10000000000002</v>
      </c>
    </row>
    <row r="79" spans="1:16" x14ac:dyDescent="0.25">
      <c r="A79" s="1">
        <v>39629</v>
      </c>
      <c r="B79">
        <v>13506</v>
      </c>
      <c r="C79">
        <f>MONTH(gaz_3[[#This Row],[Data odczytu]])</f>
        <v>6</v>
      </c>
      <c r="D79">
        <f>gaz_3[[#This Row],[Odczyt licznika]]-B78</f>
        <v>28</v>
      </c>
      <c r="E79">
        <f>YEAR(gaz_3[[#This Row],[Data odczytu]])</f>
        <v>2008</v>
      </c>
      <c r="F79" s="4">
        <f>IF(gaz_3[[#This Row],[Zuzycie]]&gt;100,IF(gaz_3[[#This Row],[Zuzycie]]&gt;200,120,90),70)</f>
        <v>70</v>
      </c>
      <c r="G79" s="4">
        <f>VLOOKUP(gaz_3[[#This Row],[Rok]],$L$3:$M$20,2)</f>
        <v>1.05</v>
      </c>
      <c r="H79" s="4">
        <f>gaz_3[[#This Row],[cena]]*gaz_3[[#This Row],[Zuzycie]]+gaz_3[[#This Row],[taryfa]]</f>
        <v>99.4</v>
      </c>
      <c r="O79">
        <f>gaz_3[[#This Row],[Rok]]</f>
        <v>2008</v>
      </c>
      <c r="P79">
        <f>gaz_3[[#This Row],[laczna oplata]]</f>
        <v>99.4</v>
      </c>
    </row>
    <row r="80" spans="1:16" x14ac:dyDescent="0.25">
      <c r="A80" s="1">
        <v>39660</v>
      </c>
      <c r="B80">
        <v>13516</v>
      </c>
      <c r="C80">
        <f>MONTH(gaz_3[[#This Row],[Data odczytu]])</f>
        <v>7</v>
      </c>
      <c r="D80">
        <f>gaz_3[[#This Row],[Odczyt licznika]]-B79</f>
        <v>10</v>
      </c>
      <c r="E80">
        <f>YEAR(gaz_3[[#This Row],[Data odczytu]])</f>
        <v>2008</v>
      </c>
      <c r="F80" s="4">
        <f>IF(gaz_3[[#This Row],[Zuzycie]]&gt;100,IF(gaz_3[[#This Row],[Zuzycie]]&gt;200,120,90),70)</f>
        <v>70</v>
      </c>
      <c r="G80" s="4">
        <f>VLOOKUP(gaz_3[[#This Row],[Rok]],$L$3:$M$20,2)</f>
        <v>1.05</v>
      </c>
      <c r="H80" s="4">
        <f>gaz_3[[#This Row],[cena]]*gaz_3[[#This Row],[Zuzycie]]+gaz_3[[#This Row],[taryfa]]</f>
        <v>80.5</v>
      </c>
      <c r="O80">
        <f>gaz_3[[#This Row],[Rok]]</f>
        <v>2008</v>
      </c>
      <c r="P80">
        <f>gaz_3[[#This Row],[laczna oplata]]</f>
        <v>80.5</v>
      </c>
    </row>
    <row r="81" spans="1:16" x14ac:dyDescent="0.25">
      <c r="A81" s="1">
        <v>39691</v>
      </c>
      <c r="B81">
        <v>13529</v>
      </c>
      <c r="C81">
        <f>MONTH(gaz_3[[#This Row],[Data odczytu]])</f>
        <v>8</v>
      </c>
      <c r="D81">
        <f>gaz_3[[#This Row],[Odczyt licznika]]-B80</f>
        <v>13</v>
      </c>
      <c r="E81">
        <f>YEAR(gaz_3[[#This Row],[Data odczytu]])</f>
        <v>2008</v>
      </c>
      <c r="F81" s="4">
        <f>IF(gaz_3[[#This Row],[Zuzycie]]&gt;100,IF(gaz_3[[#This Row],[Zuzycie]]&gt;200,120,90),70)</f>
        <v>70</v>
      </c>
      <c r="G81" s="4">
        <f>VLOOKUP(gaz_3[[#This Row],[Rok]],$L$3:$M$20,2)</f>
        <v>1.05</v>
      </c>
      <c r="H81" s="4">
        <f>gaz_3[[#This Row],[cena]]*gaz_3[[#This Row],[Zuzycie]]+gaz_3[[#This Row],[taryfa]]</f>
        <v>83.65</v>
      </c>
      <c r="O81">
        <f>gaz_3[[#This Row],[Rok]]</f>
        <v>2008</v>
      </c>
      <c r="P81">
        <f>gaz_3[[#This Row],[laczna oplata]]</f>
        <v>83.65</v>
      </c>
    </row>
    <row r="82" spans="1:16" x14ac:dyDescent="0.25">
      <c r="A82" s="1">
        <v>39721</v>
      </c>
      <c r="B82">
        <v>13645</v>
      </c>
      <c r="C82">
        <f>MONTH(gaz_3[[#This Row],[Data odczytu]])</f>
        <v>9</v>
      </c>
      <c r="D82">
        <f>gaz_3[[#This Row],[Odczyt licznika]]-B81</f>
        <v>116</v>
      </c>
      <c r="E82">
        <f>YEAR(gaz_3[[#This Row],[Data odczytu]])</f>
        <v>2008</v>
      </c>
      <c r="F82" s="4">
        <f>IF(gaz_3[[#This Row],[Zuzycie]]&gt;100,IF(gaz_3[[#This Row],[Zuzycie]]&gt;200,120,90),70)</f>
        <v>90</v>
      </c>
      <c r="G82" s="4">
        <f>VLOOKUP(gaz_3[[#This Row],[Rok]],$L$3:$M$20,2)</f>
        <v>1.05</v>
      </c>
      <c r="H82" s="4">
        <f>gaz_3[[#This Row],[cena]]*gaz_3[[#This Row],[Zuzycie]]+gaz_3[[#This Row],[taryfa]]</f>
        <v>211.8</v>
      </c>
      <c r="O82">
        <f>gaz_3[[#This Row],[Rok]]</f>
        <v>2008</v>
      </c>
      <c r="P82">
        <f>gaz_3[[#This Row],[laczna oplata]]</f>
        <v>211.8</v>
      </c>
    </row>
    <row r="83" spans="1:16" x14ac:dyDescent="0.25">
      <c r="A83" s="1">
        <v>39752</v>
      </c>
      <c r="B83">
        <v>13791</v>
      </c>
      <c r="C83">
        <f>MONTH(gaz_3[[#This Row],[Data odczytu]])</f>
        <v>10</v>
      </c>
      <c r="D83">
        <f>gaz_3[[#This Row],[Odczyt licznika]]-B82</f>
        <v>146</v>
      </c>
      <c r="E83">
        <f>YEAR(gaz_3[[#This Row],[Data odczytu]])</f>
        <v>2008</v>
      </c>
      <c r="F83" s="4">
        <f>IF(gaz_3[[#This Row],[Zuzycie]]&gt;100,IF(gaz_3[[#This Row],[Zuzycie]]&gt;200,120,90),70)</f>
        <v>90</v>
      </c>
      <c r="G83" s="4">
        <f>VLOOKUP(gaz_3[[#This Row],[Rok]],$L$3:$M$20,2)</f>
        <v>1.05</v>
      </c>
      <c r="H83" s="4">
        <f>gaz_3[[#This Row],[cena]]*gaz_3[[#This Row],[Zuzycie]]+gaz_3[[#This Row],[taryfa]]</f>
        <v>243.3</v>
      </c>
      <c r="O83">
        <f>gaz_3[[#This Row],[Rok]]</f>
        <v>2008</v>
      </c>
      <c r="P83">
        <f>gaz_3[[#This Row],[laczna oplata]]</f>
        <v>243.3</v>
      </c>
    </row>
    <row r="84" spans="1:16" x14ac:dyDescent="0.25">
      <c r="A84" s="1">
        <v>39782</v>
      </c>
      <c r="B84">
        <v>14055</v>
      </c>
      <c r="C84">
        <f>MONTH(gaz_3[[#This Row],[Data odczytu]])</f>
        <v>11</v>
      </c>
      <c r="D84">
        <f>gaz_3[[#This Row],[Odczyt licznika]]-B83</f>
        <v>264</v>
      </c>
      <c r="E84">
        <f>YEAR(gaz_3[[#This Row],[Data odczytu]])</f>
        <v>2008</v>
      </c>
      <c r="F84" s="4">
        <f>IF(gaz_3[[#This Row],[Zuzycie]]&gt;100,IF(gaz_3[[#This Row],[Zuzycie]]&gt;200,120,90),70)</f>
        <v>120</v>
      </c>
      <c r="G84" s="4">
        <f>VLOOKUP(gaz_3[[#This Row],[Rok]],$L$3:$M$20,2)</f>
        <v>1.05</v>
      </c>
      <c r="H84" s="4">
        <f>gaz_3[[#This Row],[cena]]*gaz_3[[#This Row],[Zuzycie]]+gaz_3[[#This Row],[taryfa]]</f>
        <v>397.2</v>
      </c>
      <c r="O84">
        <f>gaz_3[[#This Row],[Rok]]</f>
        <v>2008</v>
      </c>
      <c r="P84">
        <f>gaz_3[[#This Row],[laczna oplata]]</f>
        <v>397.2</v>
      </c>
    </row>
    <row r="85" spans="1:16" x14ac:dyDescent="0.25">
      <c r="A85" s="1">
        <v>39813</v>
      </c>
      <c r="B85">
        <v>14301</v>
      </c>
      <c r="C85">
        <f>MONTH(gaz_3[[#This Row],[Data odczytu]])</f>
        <v>12</v>
      </c>
      <c r="D85">
        <f>gaz_3[[#This Row],[Odczyt licznika]]-B84</f>
        <v>246</v>
      </c>
      <c r="E85">
        <f>YEAR(gaz_3[[#This Row],[Data odczytu]])</f>
        <v>2008</v>
      </c>
      <c r="F85" s="4">
        <f>IF(gaz_3[[#This Row],[Zuzycie]]&gt;100,IF(gaz_3[[#This Row],[Zuzycie]]&gt;200,120,90),70)</f>
        <v>120</v>
      </c>
      <c r="G85" s="4">
        <f>VLOOKUP(gaz_3[[#This Row],[Rok]],$L$3:$M$20,2)</f>
        <v>1.05</v>
      </c>
      <c r="H85" s="4">
        <f>gaz_3[[#This Row],[cena]]*gaz_3[[#This Row],[Zuzycie]]+gaz_3[[#This Row],[taryfa]]</f>
        <v>378.3</v>
      </c>
      <c r="O85">
        <f>gaz_3[[#This Row],[Rok]]</f>
        <v>2008</v>
      </c>
      <c r="P85">
        <f>gaz_3[[#This Row],[laczna oplata]]</f>
        <v>378.3</v>
      </c>
    </row>
    <row r="86" spans="1:16" x14ac:dyDescent="0.25">
      <c r="A86" s="1">
        <v>39844</v>
      </c>
      <c r="B86">
        <v>14537</v>
      </c>
      <c r="C86">
        <f>MONTH(gaz_3[[#This Row],[Data odczytu]])</f>
        <v>1</v>
      </c>
      <c r="D86">
        <f>gaz_3[[#This Row],[Odczyt licznika]]-B85</f>
        <v>236</v>
      </c>
      <c r="E86">
        <f>YEAR(gaz_3[[#This Row],[Data odczytu]])</f>
        <v>2009</v>
      </c>
      <c r="F86" s="4">
        <f>IF(gaz_3[[#This Row],[Zuzycie]]&gt;100,IF(gaz_3[[#This Row],[Zuzycie]]&gt;200,120,90),70)</f>
        <v>120</v>
      </c>
      <c r="G86" s="4">
        <f>VLOOKUP(gaz_3[[#This Row],[Rok]],$L$3:$M$20,2)</f>
        <v>1.07</v>
      </c>
      <c r="H86" s="4">
        <f>gaz_3[[#This Row],[cena]]*gaz_3[[#This Row],[Zuzycie]]+gaz_3[[#This Row],[taryfa]]</f>
        <v>372.52</v>
      </c>
      <c r="O86">
        <f>gaz_3[[#This Row],[Rok]]</f>
        <v>2009</v>
      </c>
      <c r="P86">
        <f>gaz_3[[#This Row],[laczna oplata]]</f>
        <v>372.52</v>
      </c>
    </row>
    <row r="87" spans="1:16" x14ac:dyDescent="0.25">
      <c r="A87" s="1">
        <v>39872</v>
      </c>
      <c r="B87">
        <v>14827</v>
      </c>
      <c r="C87">
        <f>MONTH(gaz_3[[#This Row],[Data odczytu]])</f>
        <v>2</v>
      </c>
      <c r="D87">
        <f>gaz_3[[#This Row],[Odczyt licznika]]-B86</f>
        <v>290</v>
      </c>
      <c r="E87">
        <f>YEAR(gaz_3[[#This Row],[Data odczytu]])</f>
        <v>2009</v>
      </c>
      <c r="F87" s="4">
        <f>IF(gaz_3[[#This Row],[Zuzycie]]&gt;100,IF(gaz_3[[#This Row],[Zuzycie]]&gt;200,120,90),70)</f>
        <v>120</v>
      </c>
      <c r="G87" s="4">
        <f>VLOOKUP(gaz_3[[#This Row],[Rok]],$L$3:$M$20,2)</f>
        <v>1.07</v>
      </c>
      <c r="H87" s="4">
        <f>gaz_3[[#This Row],[cena]]*gaz_3[[#This Row],[Zuzycie]]+gaz_3[[#This Row],[taryfa]]</f>
        <v>430.3</v>
      </c>
      <c r="O87">
        <f>gaz_3[[#This Row],[Rok]]</f>
        <v>2009</v>
      </c>
      <c r="P87">
        <f>gaz_3[[#This Row],[laczna oplata]]</f>
        <v>430.3</v>
      </c>
    </row>
    <row r="88" spans="1:16" x14ac:dyDescent="0.25">
      <c r="A88" s="1">
        <v>39903</v>
      </c>
      <c r="B88">
        <v>15002</v>
      </c>
      <c r="C88">
        <f>MONTH(gaz_3[[#This Row],[Data odczytu]])</f>
        <v>3</v>
      </c>
      <c r="D88">
        <f>gaz_3[[#This Row],[Odczyt licznika]]-B87</f>
        <v>175</v>
      </c>
      <c r="E88">
        <f>YEAR(gaz_3[[#This Row],[Data odczytu]])</f>
        <v>2009</v>
      </c>
      <c r="F88" s="4">
        <f>IF(gaz_3[[#This Row],[Zuzycie]]&gt;100,IF(gaz_3[[#This Row],[Zuzycie]]&gt;200,120,90),70)</f>
        <v>90</v>
      </c>
      <c r="G88" s="4">
        <f>VLOOKUP(gaz_3[[#This Row],[Rok]],$L$3:$M$20,2)</f>
        <v>1.07</v>
      </c>
      <c r="H88" s="4">
        <f>gaz_3[[#This Row],[cena]]*gaz_3[[#This Row],[Zuzycie]]+gaz_3[[#This Row],[taryfa]]</f>
        <v>277.25</v>
      </c>
      <c r="O88">
        <f>gaz_3[[#This Row],[Rok]]</f>
        <v>2009</v>
      </c>
      <c r="P88">
        <f>gaz_3[[#This Row],[laczna oplata]]</f>
        <v>277.25</v>
      </c>
    </row>
    <row r="89" spans="1:16" x14ac:dyDescent="0.25">
      <c r="A89" s="1">
        <v>39933</v>
      </c>
      <c r="B89">
        <v>15155</v>
      </c>
      <c r="C89">
        <f>MONTH(gaz_3[[#This Row],[Data odczytu]])</f>
        <v>4</v>
      </c>
      <c r="D89">
        <f>gaz_3[[#This Row],[Odczyt licznika]]-B88</f>
        <v>153</v>
      </c>
      <c r="E89">
        <f>YEAR(gaz_3[[#This Row],[Data odczytu]])</f>
        <v>2009</v>
      </c>
      <c r="F89" s="4">
        <f>IF(gaz_3[[#This Row],[Zuzycie]]&gt;100,IF(gaz_3[[#This Row],[Zuzycie]]&gt;200,120,90),70)</f>
        <v>90</v>
      </c>
      <c r="G89" s="4">
        <f>VLOOKUP(gaz_3[[#This Row],[Rok]],$L$3:$M$20,2)</f>
        <v>1.07</v>
      </c>
      <c r="H89" s="4">
        <f>gaz_3[[#This Row],[cena]]*gaz_3[[#This Row],[Zuzycie]]+gaz_3[[#This Row],[taryfa]]</f>
        <v>253.71</v>
      </c>
      <c r="O89">
        <f>gaz_3[[#This Row],[Rok]]</f>
        <v>2009</v>
      </c>
      <c r="P89">
        <f>gaz_3[[#This Row],[laczna oplata]]</f>
        <v>253.71</v>
      </c>
    </row>
    <row r="90" spans="1:16" x14ac:dyDescent="0.25">
      <c r="A90" s="1">
        <v>39964</v>
      </c>
      <c r="B90">
        <v>15335</v>
      </c>
      <c r="C90">
        <f>MONTH(gaz_3[[#This Row],[Data odczytu]])</f>
        <v>5</v>
      </c>
      <c r="D90">
        <f>gaz_3[[#This Row],[Odczyt licznika]]-B89</f>
        <v>180</v>
      </c>
      <c r="E90">
        <f>YEAR(gaz_3[[#This Row],[Data odczytu]])</f>
        <v>2009</v>
      </c>
      <c r="F90" s="4">
        <f>IF(gaz_3[[#This Row],[Zuzycie]]&gt;100,IF(gaz_3[[#This Row],[Zuzycie]]&gt;200,120,90),70)</f>
        <v>90</v>
      </c>
      <c r="G90" s="4">
        <f>VLOOKUP(gaz_3[[#This Row],[Rok]],$L$3:$M$20,2)</f>
        <v>1.07</v>
      </c>
      <c r="H90" s="4">
        <f>gaz_3[[#This Row],[cena]]*gaz_3[[#This Row],[Zuzycie]]+gaz_3[[#This Row],[taryfa]]</f>
        <v>282.60000000000002</v>
      </c>
      <c r="O90">
        <f>gaz_3[[#This Row],[Rok]]</f>
        <v>2009</v>
      </c>
      <c r="P90">
        <f>gaz_3[[#This Row],[laczna oplata]]</f>
        <v>282.60000000000002</v>
      </c>
    </row>
    <row r="91" spans="1:16" x14ac:dyDescent="0.25">
      <c r="A91" s="1">
        <v>39994</v>
      </c>
      <c r="B91">
        <v>15437</v>
      </c>
      <c r="C91">
        <f>MONTH(gaz_3[[#This Row],[Data odczytu]])</f>
        <v>6</v>
      </c>
      <c r="D91">
        <f>gaz_3[[#This Row],[Odczyt licznika]]-B90</f>
        <v>102</v>
      </c>
      <c r="E91">
        <f>YEAR(gaz_3[[#This Row],[Data odczytu]])</f>
        <v>2009</v>
      </c>
      <c r="F91" s="4">
        <f>IF(gaz_3[[#This Row],[Zuzycie]]&gt;100,IF(gaz_3[[#This Row],[Zuzycie]]&gt;200,120,90),70)</f>
        <v>90</v>
      </c>
      <c r="G91" s="4">
        <f>VLOOKUP(gaz_3[[#This Row],[Rok]],$L$3:$M$20,2)</f>
        <v>1.07</v>
      </c>
      <c r="H91" s="4">
        <f>gaz_3[[#This Row],[cena]]*gaz_3[[#This Row],[Zuzycie]]+gaz_3[[#This Row],[taryfa]]</f>
        <v>199.14</v>
      </c>
      <c r="O91">
        <f>gaz_3[[#This Row],[Rok]]</f>
        <v>2009</v>
      </c>
      <c r="P91">
        <f>gaz_3[[#This Row],[laczna oplata]]</f>
        <v>199.14</v>
      </c>
    </row>
    <row r="92" spans="1:16" x14ac:dyDescent="0.25">
      <c r="A92" s="1">
        <v>40025</v>
      </c>
      <c r="B92">
        <v>15455</v>
      </c>
      <c r="C92">
        <f>MONTH(gaz_3[[#This Row],[Data odczytu]])</f>
        <v>7</v>
      </c>
      <c r="D92">
        <f>gaz_3[[#This Row],[Odczyt licznika]]-B91</f>
        <v>18</v>
      </c>
      <c r="E92">
        <f>YEAR(gaz_3[[#This Row],[Data odczytu]])</f>
        <v>2009</v>
      </c>
      <c r="F92" s="4">
        <f>IF(gaz_3[[#This Row],[Zuzycie]]&gt;100,IF(gaz_3[[#This Row],[Zuzycie]]&gt;200,120,90),70)</f>
        <v>70</v>
      </c>
      <c r="G92" s="4">
        <f>VLOOKUP(gaz_3[[#This Row],[Rok]],$L$3:$M$20,2)</f>
        <v>1.07</v>
      </c>
      <c r="H92" s="4">
        <f>gaz_3[[#This Row],[cena]]*gaz_3[[#This Row],[Zuzycie]]+gaz_3[[#This Row],[taryfa]]</f>
        <v>89.26</v>
      </c>
      <c r="O92">
        <f>gaz_3[[#This Row],[Rok]]</f>
        <v>2009</v>
      </c>
      <c r="P92">
        <f>gaz_3[[#This Row],[laczna oplata]]</f>
        <v>89.26</v>
      </c>
    </row>
    <row r="93" spans="1:16" x14ac:dyDescent="0.25">
      <c r="A93" s="1">
        <v>40056</v>
      </c>
      <c r="B93">
        <v>15474</v>
      </c>
      <c r="C93">
        <f>MONTH(gaz_3[[#This Row],[Data odczytu]])</f>
        <v>8</v>
      </c>
      <c r="D93">
        <f>gaz_3[[#This Row],[Odczyt licznika]]-B92</f>
        <v>19</v>
      </c>
      <c r="E93">
        <f>YEAR(gaz_3[[#This Row],[Data odczytu]])</f>
        <v>2009</v>
      </c>
      <c r="F93" s="4">
        <f>IF(gaz_3[[#This Row],[Zuzycie]]&gt;100,IF(gaz_3[[#This Row],[Zuzycie]]&gt;200,120,90),70)</f>
        <v>70</v>
      </c>
      <c r="G93" s="4">
        <f>VLOOKUP(gaz_3[[#This Row],[Rok]],$L$3:$M$20,2)</f>
        <v>1.07</v>
      </c>
      <c r="H93" s="4">
        <f>gaz_3[[#This Row],[cena]]*gaz_3[[#This Row],[Zuzycie]]+gaz_3[[#This Row],[taryfa]]</f>
        <v>90.33</v>
      </c>
      <c r="O93">
        <f>gaz_3[[#This Row],[Rok]]</f>
        <v>2009</v>
      </c>
      <c r="P93">
        <f>gaz_3[[#This Row],[laczna oplata]]</f>
        <v>90.33</v>
      </c>
    </row>
    <row r="94" spans="1:16" x14ac:dyDescent="0.25">
      <c r="A94" s="1">
        <v>40086</v>
      </c>
      <c r="B94">
        <v>15557</v>
      </c>
      <c r="C94">
        <f>MONTH(gaz_3[[#This Row],[Data odczytu]])</f>
        <v>9</v>
      </c>
      <c r="D94">
        <f>gaz_3[[#This Row],[Odczyt licznika]]-B93</f>
        <v>83</v>
      </c>
      <c r="E94">
        <f>YEAR(gaz_3[[#This Row],[Data odczytu]])</f>
        <v>2009</v>
      </c>
      <c r="F94" s="4">
        <f>IF(gaz_3[[#This Row],[Zuzycie]]&gt;100,IF(gaz_3[[#This Row],[Zuzycie]]&gt;200,120,90),70)</f>
        <v>70</v>
      </c>
      <c r="G94" s="4">
        <f>VLOOKUP(gaz_3[[#This Row],[Rok]],$L$3:$M$20,2)</f>
        <v>1.07</v>
      </c>
      <c r="H94" s="4">
        <f>gaz_3[[#This Row],[cena]]*gaz_3[[#This Row],[Zuzycie]]+gaz_3[[#This Row],[taryfa]]</f>
        <v>158.81</v>
      </c>
      <c r="O94">
        <f>gaz_3[[#This Row],[Rok]]</f>
        <v>2009</v>
      </c>
      <c r="P94">
        <f>gaz_3[[#This Row],[laczna oplata]]</f>
        <v>158.81</v>
      </c>
    </row>
    <row r="95" spans="1:16" x14ac:dyDescent="0.25">
      <c r="A95" s="1">
        <v>40117</v>
      </c>
      <c r="B95">
        <v>15694</v>
      </c>
      <c r="C95">
        <f>MONTH(gaz_3[[#This Row],[Data odczytu]])</f>
        <v>10</v>
      </c>
      <c r="D95">
        <f>gaz_3[[#This Row],[Odczyt licznika]]-B94</f>
        <v>137</v>
      </c>
      <c r="E95">
        <f>YEAR(gaz_3[[#This Row],[Data odczytu]])</f>
        <v>2009</v>
      </c>
      <c r="F95" s="4">
        <f>IF(gaz_3[[#This Row],[Zuzycie]]&gt;100,IF(gaz_3[[#This Row],[Zuzycie]]&gt;200,120,90),70)</f>
        <v>90</v>
      </c>
      <c r="G95" s="4">
        <f>VLOOKUP(gaz_3[[#This Row],[Rok]],$L$3:$M$20,2)</f>
        <v>1.07</v>
      </c>
      <c r="H95" s="4">
        <f>gaz_3[[#This Row],[cena]]*gaz_3[[#This Row],[Zuzycie]]+gaz_3[[#This Row],[taryfa]]</f>
        <v>236.59</v>
      </c>
      <c r="O95">
        <f>gaz_3[[#This Row],[Rok]]</f>
        <v>2009</v>
      </c>
      <c r="P95">
        <f>gaz_3[[#This Row],[laczna oplata]]</f>
        <v>236.59</v>
      </c>
    </row>
    <row r="96" spans="1:16" x14ac:dyDescent="0.25">
      <c r="A96" s="1">
        <v>40147</v>
      </c>
      <c r="B96">
        <v>15835</v>
      </c>
      <c r="C96">
        <f>MONTH(gaz_3[[#This Row],[Data odczytu]])</f>
        <v>11</v>
      </c>
      <c r="D96">
        <f>gaz_3[[#This Row],[Odczyt licznika]]-B95</f>
        <v>141</v>
      </c>
      <c r="E96">
        <f>YEAR(gaz_3[[#This Row],[Data odczytu]])</f>
        <v>2009</v>
      </c>
      <c r="F96" s="4">
        <f>IF(gaz_3[[#This Row],[Zuzycie]]&gt;100,IF(gaz_3[[#This Row],[Zuzycie]]&gt;200,120,90),70)</f>
        <v>90</v>
      </c>
      <c r="G96" s="4">
        <f>VLOOKUP(gaz_3[[#This Row],[Rok]],$L$3:$M$20,2)</f>
        <v>1.07</v>
      </c>
      <c r="H96" s="4">
        <f>gaz_3[[#This Row],[cena]]*gaz_3[[#This Row],[Zuzycie]]+gaz_3[[#This Row],[taryfa]]</f>
        <v>240.87</v>
      </c>
      <c r="O96">
        <f>gaz_3[[#This Row],[Rok]]</f>
        <v>2009</v>
      </c>
      <c r="P96">
        <f>gaz_3[[#This Row],[laczna oplata]]</f>
        <v>240.87</v>
      </c>
    </row>
    <row r="97" spans="1:16" x14ac:dyDescent="0.25">
      <c r="A97" s="1">
        <v>40178</v>
      </c>
      <c r="B97">
        <v>16087</v>
      </c>
      <c r="C97">
        <f>MONTH(gaz_3[[#This Row],[Data odczytu]])</f>
        <v>12</v>
      </c>
      <c r="D97">
        <f>gaz_3[[#This Row],[Odczyt licznika]]-B96</f>
        <v>252</v>
      </c>
      <c r="E97">
        <f>YEAR(gaz_3[[#This Row],[Data odczytu]])</f>
        <v>2009</v>
      </c>
      <c r="F97" s="4">
        <f>IF(gaz_3[[#This Row],[Zuzycie]]&gt;100,IF(gaz_3[[#This Row],[Zuzycie]]&gt;200,120,90),70)</f>
        <v>120</v>
      </c>
      <c r="G97" s="4">
        <f>VLOOKUP(gaz_3[[#This Row],[Rok]],$L$3:$M$20,2)</f>
        <v>1.07</v>
      </c>
      <c r="H97" s="4">
        <f>gaz_3[[#This Row],[cena]]*gaz_3[[#This Row],[Zuzycie]]+gaz_3[[#This Row],[taryfa]]</f>
        <v>389.64000000000004</v>
      </c>
      <c r="O97">
        <f>gaz_3[[#This Row],[Rok]]</f>
        <v>2009</v>
      </c>
      <c r="P97">
        <f>gaz_3[[#This Row],[laczna oplata]]</f>
        <v>389.64000000000004</v>
      </c>
    </row>
    <row r="98" spans="1:16" x14ac:dyDescent="0.25">
      <c r="A98" s="1">
        <v>40209</v>
      </c>
      <c r="B98">
        <v>16431</v>
      </c>
      <c r="C98">
        <f>MONTH(gaz_3[[#This Row],[Data odczytu]])</f>
        <v>1</v>
      </c>
      <c r="D98">
        <f>gaz_3[[#This Row],[Odczyt licznika]]-B97</f>
        <v>344</v>
      </c>
      <c r="E98">
        <f>YEAR(gaz_3[[#This Row],[Data odczytu]])</f>
        <v>2010</v>
      </c>
      <c r="F98" s="4">
        <f>IF(gaz_3[[#This Row],[Zuzycie]]&gt;100,IF(gaz_3[[#This Row],[Zuzycie]]&gt;200,120,90),70)</f>
        <v>120</v>
      </c>
      <c r="G98" s="4">
        <f>VLOOKUP(gaz_3[[#This Row],[Rok]],$L$3:$M$20,2)</f>
        <v>1.1100000000000001</v>
      </c>
      <c r="H98" s="4">
        <f>gaz_3[[#This Row],[cena]]*gaz_3[[#This Row],[Zuzycie]]+gaz_3[[#This Row],[taryfa]]</f>
        <v>501.84000000000003</v>
      </c>
      <c r="O98">
        <f>gaz_3[[#This Row],[Rok]]</f>
        <v>2010</v>
      </c>
      <c r="P98">
        <f>gaz_3[[#This Row],[laczna oplata]]</f>
        <v>501.84000000000003</v>
      </c>
    </row>
    <row r="99" spans="1:16" x14ac:dyDescent="0.25">
      <c r="A99" s="1">
        <v>40237</v>
      </c>
      <c r="B99">
        <v>16792</v>
      </c>
      <c r="C99">
        <f>MONTH(gaz_3[[#This Row],[Data odczytu]])</f>
        <v>2</v>
      </c>
      <c r="D99">
        <f>gaz_3[[#This Row],[Odczyt licznika]]-B98</f>
        <v>361</v>
      </c>
      <c r="E99">
        <f>YEAR(gaz_3[[#This Row],[Data odczytu]])</f>
        <v>2010</v>
      </c>
      <c r="F99" s="4">
        <f>IF(gaz_3[[#This Row],[Zuzycie]]&gt;100,IF(gaz_3[[#This Row],[Zuzycie]]&gt;200,120,90),70)</f>
        <v>120</v>
      </c>
      <c r="G99" s="4">
        <f>VLOOKUP(gaz_3[[#This Row],[Rok]],$L$3:$M$20,2)</f>
        <v>1.1100000000000001</v>
      </c>
      <c r="H99" s="4">
        <f>gaz_3[[#This Row],[cena]]*gaz_3[[#This Row],[Zuzycie]]+gaz_3[[#This Row],[taryfa]]</f>
        <v>520.71</v>
      </c>
      <c r="O99">
        <f>gaz_3[[#This Row],[Rok]]</f>
        <v>2010</v>
      </c>
      <c r="P99">
        <f>gaz_3[[#This Row],[laczna oplata]]</f>
        <v>520.71</v>
      </c>
    </row>
    <row r="100" spans="1:16" x14ac:dyDescent="0.25">
      <c r="A100" s="1">
        <v>40268</v>
      </c>
      <c r="B100">
        <v>17057</v>
      </c>
      <c r="C100">
        <f>MONTH(gaz_3[[#This Row],[Data odczytu]])</f>
        <v>3</v>
      </c>
      <c r="D100">
        <f>gaz_3[[#This Row],[Odczyt licznika]]-B99</f>
        <v>265</v>
      </c>
      <c r="E100">
        <f>YEAR(gaz_3[[#This Row],[Data odczytu]])</f>
        <v>2010</v>
      </c>
      <c r="F100" s="4">
        <f>IF(gaz_3[[#This Row],[Zuzycie]]&gt;100,IF(gaz_3[[#This Row],[Zuzycie]]&gt;200,120,90),70)</f>
        <v>120</v>
      </c>
      <c r="G100" s="4">
        <f>VLOOKUP(gaz_3[[#This Row],[Rok]],$L$3:$M$20,2)</f>
        <v>1.1100000000000001</v>
      </c>
      <c r="H100" s="4">
        <f>gaz_3[[#This Row],[cena]]*gaz_3[[#This Row],[Zuzycie]]+gaz_3[[#This Row],[taryfa]]</f>
        <v>414.15000000000003</v>
      </c>
      <c r="O100">
        <f>gaz_3[[#This Row],[Rok]]</f>
        <v>2010</v>
      </c>
      <c r="P100">
        <f>gaz_3[[#This Row],[laczna oplata]]</f>
        <v>414.15000000000003</v>
      </c>
    </row>
    <row r="101" spans="1:16" x14ac:dyDescent="0.25">
      <c r="A101" s="1">
        <v>40298</v>
      </c>
      <c r="B101">
        <v>17186</v>
      </c>
      <c r="C101">
        <f>MONTH(gaz_3[[#This Row],[Data odczytu]])</f>
        <v>4</v>
      </c>
      <c r="D101">
        <f>gaz_3[[#This Row],[Odczyt licznika]]-B100</f>
        <v>129</v>
      </c>
      <c r="E101">
        <f>YEAR(gaz_3[[#This Row],[Data odczytu]])</f>
        <v>2010</v>
      </c>
      <c r="F101" s="4">
        <f>IF(gaz_3[[#This Row],[Zuzycie]]&gt;100,IF(gaz_3[[#This Row],[Zuzycie]]&gt;200,120,90),70)</f>
        <v>90</v>
      </c>
      <c r="G101" s="4">
        <f>VLOOKUP(gaz_3[[#This Row],[Rok]],$L$3:$M$20,2)</f>
        <v>1.1100000000000001</v>
      </c>
      <c r="H101" s="4">
        <f>gaz_3[[#This Row],[cena]]*gaz_3[[#This Row],[Zuzycie]]+gaz_3[[#This Row],[taryfa]]</f>
        <v>233.19000000000003</v>
      </c>
      <c r="O101">
        <f>gaz_3[[#This Row],[Rok]]</f>
        <v>2010</v>
      </c>
      <c r="P101">
        <f>gaz_3[[#This Row],[laczna oplata]]</f>
        <v>233.19000000000003</v>
      </c>
    </row>
    <row r="102" spans="1:16" x14ac:dyDescent="0.25">
      <c r="A102" s="1">
        <v>40329</v>
      </c>
      <c r="B102">
        <v>17301</v>
      </c>
      <c r="C102">
        <f>MONTH(gaz_3[[#This Row],[Data odczytu]])</f>
        <v>5</v>
      </c>
      <c r="D102">
        <f>gaz_3[[#This Row],[Odczyt licznika]]-B101</f>
        <v>115</v>
      </c>
      <c r="E102">
        <f>YEAR(gaz_3[[#This Row],[Data odczytu]])</f>
        <v>2010</v>
      </c>
      <c r="F102" s="4">
        <f>IF(gaz_3[[#This Row],[Zuzycie]]&gt;100,IF(gaz_3[[#This Row],[Zuzycie]]&gt;200,120,90),70)</f>
        <v>90</v>
      </c>
      <c r="G102" s="4">
        <f>VLOOKUP(gaz_3[[#This Row],[Rok]],$L$3:$M$20,2)</f>
        <v>1.1100000000000001</v>
      </c>
      <c r="H102" s="4">
        <f>gaz_3[[#This Row],[cena]]*gaz_3[[#This Row],[Zuzycie]]+gaz_3[[#This Row],[taryfa]]</f>
        <v>217.65</v>
      </c>
      <c r="O102">
        <f>gaz_3[[#This Row],[Rok]]</f>
        <v>2010</v>
      </c>
      <c r="P102">
        <f>gaz_3[[#This Row],[laczna oplata]]</f>
        <v>217.65</v>
      </c>
    </row>
    <row r="103" spans="1:16" x14ac:dyDescent="0.25">
      <c r="A103" s="1">
        <v>40359</v>
      </c>
      <c r="B103">
        <v>17332</v>
      </c>
      <c r="C103">
        <f>MONTH(gaz_3[[#This Row],[Data odczytu]])</f>
        <v>6</v>
      </c>
      <c r="D103">
        <f>gaz_3[[#This Row],[Odczyt licznika]]-B102</f>
        <v>31</v>
      </c>
      <c r="E103">
        <f>YEAR(gaz_3[[#This Row],[Data odczytu]])</f>
        <v>2010</v>
      </c>
      <c r="F103" s="4">
        <f>IF(gaz_3[[#This Row],[Zuzycie]]&gt;100,IF(gaz_3[[#This Row],[Zuzycie]]&gt;200,120,90),70)</f>
        <v>70</v>
      </c>
      <c r="G103" s="4">
        <f>VLOOKUP(gaz_3[[#This Row],[Rok]],$L$3:$M$20,2)</f>
        <v>1.1100000000000001</v>
      </c>
      <c r="H103" s="4">
        <f>gaz_3[[#This Row],[cena]]*gaz_3[[#This Row],[Zuzycie]]+gaz_3[[#This Row],[taryfa]]</f>
        <v>104.41</v>
      </c>
      <c r="O103">
        <f>gaz_3[[#This Row],[Rok]]</f>
        <v>2010</v>
      </c>
      <c r="P103">
        <f>gaz_3[[#This Row],[laczna oplata]]</f>
        <v>104.41</v>
      </c>
    </row>
    <row r="104" spans="1:16" x14ac:dyDescent="0.25">
      <c r="A104" s="1">
        <v>40390</v>
      </c>
      <c r="B104">
        <v>17352</v>
      </c>
      <c r="C104">
        <f>MONTH(gaz_3[[#This Row],[Data odczytu]])</f>
        <v>7</v>
      </c>
      <c r="D104">
        <f>gaz_3[[#This Row],[Odczyt licznika]]-B103</f>
        <v>20</v>
      </c>
      <c r="E104">
        <f>YEAR(gaz_3[[#This Row],[Data odczytu]])</f>
        <v>2010</v>
      </c>
      <c r="F104" s="4">
        <f>IF(gaz_3[[#This Row],[Zuzycie]]&gt;100,IF(gaz_3[[#This Row],[Zuzycie]]&gt;200,120,90),70)</f>
        <v>70</v>
      </c>
      <c r="G104" s="4">
        <f>VLOOKUP(gaz_3[[#This Row],[Rok]],$L$3:$M$20,2)</f>
        <v>1.1100000000000001</v>
      </c>
      <c r="H104" s="4">
        <f>gaz_3[[#This Row],[cena]]*gaz_3[[#This Row],[Zuzycie]]+gaz_3[[#This Row],[taryfa]]</f>
        <v>92.2</v>
      </c>
      <c r="O104">
        <f>gaz_3[[#This Row],[Rok]]</f>
        <v>2010</v>
      </c>
      <c r="P104">
        <f>gaz_3[[#This Row],[laczna oplata]]</f>
        <v>92.2</v>
      </c>
    </row>
    <row r="105" spans="1:16" x14ac:dyDescent="0.25">
      <c r="A105" s="1">
        <v>40421</v>
      </c>
      <c r="B105">
        <v>17367</v>
      </c>
      <c r="C105">
        <f>MONTH(gaz_3[[#This Row],[Data odczytu]])</f>
        <v>8</v>
      </c>
      <c r="D105">
        <f>gaz_3[[#This Row],[Odczyt licznika]]-B104</f>
        <v>15</v>
      </c>
      <c r="E105">
        <f>YEAR(gaz_3[[#This Row],[Data odczytu]])</f>
        <v>2010</v>
      </c>
      <c r="F105" s="4">
        <f>IF(gaz_3[[#This Row],[Zuzycie]]&gt;100,IF(gaz_3[[#This Row],[Zuzycie]]&gt;200,120,90),70)</f>
        <v>70</v>
      </c>
      <c r="G105" s="4">
        <f>VLOOKUP(gaz_3[[#This Row],[Rok]],$L$3:$M$20,2)</f>
        <v>1.1100000000000001</v>
      </c>
      <c r="H105" s="4">
        <f>gaz_3[[#This Row],[cena]]*gaz_3[[#This Row],[Zuzycie]]+gaz_3[[#This Row],[taryfa]]</f>
        <v>86.65</v>
      </c>
      <c r="O105">
        <f>gaz_3[[#This Row],[Rok]]</f>
        <v>2010</v>
      </c>
      <c r="P105">
        <f>gaz_3[[#This Row],[laczna oplata]]</f>
        <v>86.65</v>
      </c>
    </row>
    <row r="106" spans="1:16" x14ac:dyDescent="0.25">
      <c r="A106" s="1">
        <v>40451</v>
      </c>
      <c r="B106">
        <v>17517</v>
      </c>
      <c r="C106">
        <f>MONTH(gaz_3[[#This Row],[Data odczytu]])</f>
        <v>9</v>
      </c>
      <c r="D106">
        <f>gaz_3[[#This Row],[Odczyt licznika]]-B105</f>
        <v>150</v>
      </c>
      <c r="E106">
        <f>YEAR(gaz_3[[#This Row],[Data odczytu]])</f>
        <v>2010</v>
      </c>
      <c r="F106" s="4">
        <f>IF(gaz_3[[#This Row],[Zuzycie]]&gt;100,IF(gaz_3[[#This Row],[Zuzycie]]&gt;200,120,90),70)</f>
        <v>90</v>
      </c>
      <c r="G106" s="4">
        <f>VLOOKUP(gaz_3[[#This Row],[Rok]],$L$3:$M$20,2)</f>
        <v>1.1100000000000001</v>
      </c>
      <c r="H106" s="4">
        <f>gaz_3[[#This Row],[cena]]*gaz_3[[#This Row],[Zuzycie]]+gaz_3[[#This Row],[taryfa]]</f>
        <v>256.5</v>
      </c>
      <c r="O106">
        <f>gaz_3[[#This Row],[Rok]]</f>
        <v>2010</v>
      </c>
      <c r="P106">
        <f>gaz_3[[#This Row],[laczna oplata]]</f>
        <v>256.5</v>
      </c>
    </row>
    <row r="107" spans="1:16" x14ac:dyDescent="0.25">
      <c r="A107" s="1">
        <v>40482</v>
      </c>
      <c r="B107">
        <v>17708</v>
      </c>
      <c r="C107">
        <f>MONTH(gaz_3[[#This Row],[Data odczytu]])</f>
        <v>10</v>
      </c>
      <c r="D107">
        <f>gaz_3[[#This Row],[Odczyt licznika]]-B106</f>
        <v>191</v>
      </c>
      <c r="E107">
        <f>YEAR(gaz_3[[#This Row],[Data odczytu]])</f>
        <v>2010</v>
      </c>
      <c r="F107" s="4">
        <f>IF(gaz_3[[#This Row],[Zuzycie]]&gt;100,IF(gaz_3[[#This Row],[Zuzycie]]&gt;200,120,90),70)</f>
        <v>90</v>
      </c>
      <c r="G107" s="4">
        <f>VLOOKUP(gaz_3[[#This Row],[Rok]],$L$3:$M$20,2)</f>
        <v>1.1100000000000001</v>
      </c>
      <c r="H107" s="4">
        <f>gaz_3[[#This Row],[cena]]*gaz_3[[#This Row],[Zuzycie]]+gaz_3[[#This Row],[taryfa]]</f>
        <v>302.01</v>
      </c>
      <c r="O107">
        <f>gaz_3[[#This Row],[Rok]]</f>
        <v>2010</v>
      </c>
      <c r="P107">
        <f>gaz_3[[#This Row],[laczna oplata]]</f>
        <v>302.01</v>
      </c>
    </row>
    <row r="108" spans="1:16" x14ac:dyDescent="0.25">
      <c r="A108" s="1">
        <v>40512</v>
      </c>
      <c r="B108">
        <v>18052</v>
      </c>
      <c r="C108">
        <f>MONTH(gaz_3[[#This Row],[Data odczytu]])</f>
        <v>11</v>
      </c>
      <c r="D108">
        <f>gaz_3[[#This Row],[Odczyt licznika]]-B107</f>
        <v>344</v>
      </c>
      <c r="E108">
        <f>YEAR(gaz_3[[#This Row],[Data odczytu]])</f>
        <v>2010</v>
      </c>
      <c r="F108" s="4">
        <f>IF(gaz_3[[#This Row],[Zuzycie]]&gt;100,IF(gaz_3[[#This Row],[Zuzycie]]&gt;200,120,90),70)</f>
        <v>120</v>
      </c>
      <c r="G108" s="4">
        <f>VLOOKUP(gaz_3[[#This Row],[Rok]],$L$3:$M$20,2)</f>
        <v>1.1100000000000001</v>
      </c>
      <c r="H108" s="4">
        <f>gaz_3[[#This Row],[cena]]*gaz_3[[#This Row],[Zuzycie]]+gaz_3[[#This Row],[taryfa]]</f>
        <v>501.84000000000003</v>
      </c>
      <c r="O108">
        <f>gaz_3[[#This Row],[Rok]]</f>
        <v>2010</v>
      </c>
      <c r="P108">
        <f>gaz_3[[#This Row],[laczna oplata]]</f>
        <v>501.84000000000003</v>
      </c>
    </row>
    <row r="109" spans="1:16" x14ac:dyDescent="0.25">
      <c r="A109" s="1">
        <v>40543</v>
      </c>
      <c r="B109">
        <v>18372</v>
      </c>
      <c r="C109">
        <f>MONTH(gaz_3[[#This Row],[Data odczytu]])</f>
        <v>12</v>
      </c>
      <c r="D109">
        <f>gaz_3[[#This Row],[Odczyt licznika]]-B108</f>
        <v>320</v>
      </c>
      <c r="E109">
        <f>YEAR(gaz_3[[#This Row],[Data odczytu]])</f>
        <v>2010</v>
      </c>
      <c r="F109" s="4">
        <f>IF(gaz_3[[#This Row],[Zuzycie]]&gt;100,IF(gaz_3[[#This Row],[Zuzycie]]&gt;200,120,90),70)</f>
        <v>120</v>
      </c>
      <c r="G109" s="4">
        <f>VLOOKUP(gaz_3[[#This Row],[Rok]],$L$3:$M$20,2)</f>
        <v>1.1100000000000001</v>
      </c>
      <c r="H109" s="4">
        <f>gaz_3[[#This Row],[cena]]*gaz_3[[#This Row],[Zuzycie]]+gaz_3[[#This Row],[taryfa]]</f>
        <v>475.20000000000005</v>
      </c>
      <c r="O109">
        <f>gaz_3[[#This Row],[Rok]]</f>
        <v>2010</v>
      </c>
      <c r="P109">
        <f>gaz_3[[#This Row],[laczna oplata]]</f>
        <v>475.20000000000005</v>
      </c>
    </row>
    <row r="110" spans="1:16" x14ac:dyDescent="0.25">
      <c r="A110" s="1">
        <v>40574</v>
      </c>
      <c r="B110">
        <v>18680</v>
      </c>
      <c r="C110">
        <f>MONTH(gaz_3[[#This Row],[Data odczytu]])</f>
        <v>1</v>
      </c>
      <c r="D110">
        <f>gaz_3[[#This Row],[Odczyt licznika]]-B109</f>
        <v>308</v>
      </c>
      <c r="E110">
        <f>YEAR(gaz_3[[#This Row],[Data odczytu]])</f>
        <v>2011</v>
      </c>
      <c r="F110" s="4">
        <f>IF(gaz_3[[#This Row],[Zuzycie]]&gt;100,IF(gaz_3[[#This Row],[Zuzycie]]&gt;200,120,90),70)</f>
        <v>120</v>
      </c>
      <c r="G110" s="4">
        <f>VLOOKUP(gaz_3[[#This Row],[Rok]],$L$3:$M$20,2)</f>
        <v>1.18</v>
      </c>
      <c r="H110" s="4">
        <f>gaz_3[[#This Row],[cena]]*gaz_3[[#This Row],[Zuzycie]]+gaz_3[[#This Row],[taryfa]]</f>
        <v>483.44</v>
      </c>
      <c r="O110">
        <f>gaz_3[[#This Row],[Rok]]</f>
        <v>2011</v>
      </c>
      <c r="P110">
        <f>gaz_3[[#This Row],[laczna oplata]]</f>
        <v>483.44</v>
      </c>
    </row>
    <row r="111" spans="1:16" x14ac:dyDescent="0.25">
      <c r="A111" s="1">
        <v>40602</v>
      </c>
      <c r="B111">
        <v>19057</v>
      </c>
      <c r="C111">
        <f>MONTH(gaz_3[[#This Row],[Data odczytu]])</f>
        <v>2</v>
      </c>
      <c r="D111">
        <f>gaz_3[[#This Row],[Odczyt licznika]]-B110</f>
        <v>377</v>
      </c>
      <c r="E111">
        <f>YEAR(gaz_3[[#This Row],[Data odczytu]])</f>
        <v>2011</v>
      </c>
      <c r="F111" s="4">
        <f>IF(gaz_3[[#This Row],[Zuzycie]]&gt;100,IF(gaz_3[[#This Row],[Zuzycie]]&gt;200,120,90),70)</f>
        <v>120</v>
      </c>
      <c r="G111" s="4">
        <f>VLOOKUP(gaz_3[[#This Row],[Rok]],$L$3:$M$20,2)</f>
        <v>1.18</v>
      </c>
      <c r="H111" s="4">
        <f>gaz_3[[#This Row],[cena]]*gaz_3[[#This Row],[Zuzycie]]+gaz_3[[#This Row],[taryfa]]</f>
        <v>564.8599999999999</v>
      </c>
      <c r="O111">
        <f>gaz_3[[#This Row],[Rok]]</f>
        <v>2011</v>
      </c>
      <c r="P111">
        <f>gaz_3[[#This Row],[laczna oplata]]</f>
        <v>564.8599999999999</v>
      </c>
    </row>
    <row r="112" spans="1:16" x14ac:dyDescent="0.25">
      <c r="A112" s="1">
        <v>40633</v>
      </c>
      <c r="B112">
        <v>19285</v>
      </c>
      <c r="C112">
        <f>MONTH(gaz_3[[#This Row],[Data odczytu]])</f>
        <v>3</v>
      </c>
      <c r="D112">
        <f>gaz_3[[#This Row],[Odczyt licznika]]-B111</f>
        <v>228</v>
      </c>
      <c r="E112">
        <f>YEAR(gaz_3[[#This Row],[Data odczytu]])</f>
        <v>2011</v>
      </c>
      <c r="F112" s="4">
        <f>IF(gaz_3[[#This Row],[Zuzycie]]&gt;100,IF(gaz_3[[#This Row],[Zuzycie]]&gt;200,120,90),70)</f>
        <v>120</v>
      </c>
      <c r="G112" s="4">
        <f>VLOOKUP(gaz_3[[#This Row],[Rok]],$L$3:$M$20,2)</f>
        <v>1.18</v>
      </c>
      <c r="H112" s="4">
        <f>gaz_3[[#This Row],[cena]]*gaz_3[[#This Row],[Zuzycie]]+gaz_3[[#This Row],[taryfa]]</f>
        <v>389.03999999999996</v>
      </c>
      <c r="O112">
        <f>gaz_3[[#This Row],[Rok]]</f>
        <v>2011</v>
      </c>
      <c r="P112">
        <f>gaz_3[[#This Row],[laczna oplata]]</f>
        <v>389.03999999999996</v>
      </c>
    </row>
    <row r="113" spans="1:16" x14ac:dyDescent="0.25">
      <c r="A113" s="1">
        <v>40663</v>
      </c>
      <c r="B113">
        <v>19431</v>
      </c>
      <c r="C113">
        <f>MONTH(gaz_3[[#This Row],[Data odczytu]])</f>
        <v>4</v>
      </c>
      <c r="D113">
        <f>gaz_3[[#This Row],[Odczyt licznika]]-B112</f>
        <v>146</v>
      </c>
      <c r="E113">
        <f>YEAR(gaz_3[[#This Row],[Data odczytu]])</f>
        <v>2011</v>
      </c>
      <c r="F113" s="4">
        <f>IF(gaz_3[[#This Row],[Zuzycie]]&gt;100,IF(gaz_3[[#This Row],[Zuzycie]]&gt;200,120,90),70)</f>
        <v>90</v>
      </c>
      <c r="G113" s="4">
        <f>VLOOKUP(gaz_3[[#This Row],[Rok]],$L$3:$M$20,2)</f>
        <v>1.18</v>
      </c>
      <c r="H113" s="4">
        <f>gaz_3[[#This Row],[cena]]*gaz_3[[#This Row],[Zuzycie]]+gaz_3[[#This Row],[taryfa]]</f>
        <v>262.27999999999997</v>
      </c>
      <c r="O113">
        <f>gaz_3[[#This Row],[Rok]]</f>
        <v>2011</v>
      </c>
      <c r="P113">
        <f>gaz_3[[#This Row],[laczna oplata]]</f>
        <v>262.27999999999997</v>
      </c>
    </row>
    <row r="114" spans="1:16" x14ac:dyDescent="0.25">
      <c r="A114" s="1">
        <v>40694</v>
      </c>
      <c r="B114">
        <v>19604</v>
      </c>
      <c r="C114">
        <f>MONTH(gaz_3[[#This Row],[Data odczytu]])</f>
        <v>5</v>
      </c>
      <c r="D114">
        <f>gaz_3[[#This Row],[Odczyt licznika]]-B113</f>
        <v>173</v>
      </c>
      <c r="E114">
        <f>YEAR(gaz_3[[#This Row],[Data odczytu]])</f>
        <v>2011</v>
      </c>
      <c r="F114" s="4">
        <f>IF(gaz_3[[#This Row],[Zuzycie]]&gt;100,IF(gaz_3[[#This Row],[Zuzycie]]&gt;200,120,90),70)</f>
        <v>90</v>
      </c>
      <c r="G114" s="4">
        <f>VLOOKUP(gaz_3[[#This Row],[Rok]],$L$3:$M$20,2)</f>
        <v>1.18</v>
      </c>
      <c r="H114" s="4">
        <f>gaz_3[[#This Row],[cena]]*gaz_3[[#This Row],[Zuzycie]]+gaz_3[[#This Row],[taryfa]]</f>
        <v>294.14</v>
      </c>
      <c r="O114">
        <f>gaz_3[[#This Row],[Rok]]</f>
        <v>2011</v>
      </c>
      <c r="P114">
        <f>gaz_3[[#This Row],[laczna oplata]]</f>
        <v>294.14</v>
      </c>
    </row>
    <row r="115" spans="1:16" x14ac:dyDescent="0.25">
      <c r="A115" s="1">
        <v>40724</v>
      </c>
      <c r="B115">
        <v>19702</v>
      </c>
      <c r="C115">
        <f>MONTH(gaz_3[[#This Row],[Data odczytu]])</f>
        <v>6</v>
      </c>
      <c r="D115">
        <f>gaz_3[[#This Row],[Odczyt licznika]]-B114</f>
        <v>98</v>
      </c>
      <c r="E115">
        <f>YEAR(gaz_3[[#This Row],[Data odczytu]])</f>
        <v>2011</v>
      </c>
      <c r="F115" s="4">
        <f>IF(gaz_3[[#This Row],[Zuzycie]]&gt;100,IF(gaz_3[[#This Row],[Zuzycie]]&gt;200,120,90),70)</f>
        <v>70</v>
      </c>
      <c r="G115" s="4">
        <f>VLOOKUP(gaz_3[[#This Row],[Rok]],$L$3:$M$20,2)</f>
        <v>1.18</v>
      </c>
      <c r="H115" s="4">
        <f>gaz_3[[#This Row],[cena]]*gaz_3[[#This Row],[Zuzycie]]+gaz_3[[#This Row],[taryfa]]</f>
        <v>185.64</v>
      </c>
      <c r="O115">
        <f>gaz_3[[#This Row],[Rok]]</f>
        <v>2011</v>
      </c>
      <c r="P115">
        <f>gaz_3[[#This Row],[laczna oplata]]</f>
        <v>185.64</v>
      </c>
    </row>
    <row r="116" spans="1:16" x14ac:dyDescent="0.25">
      <c r="A116" s="1">
        <v>40755</v>
      </c>
      <c r="B116">
        <v>19718</v>
      </c>
      <c r="C116">
        <f>MONTH(gaz_3[[#This Row],[Data odczytu]])</f>
        <v>7</v>
      </c>
      <c r="D116">
        <f>gaz_3[[#This Row],[Odczyt licznika]]-B115</f>
        <v>16</v>
      </c>
      <c r="E116">
        <f>YEAR(gaz_3[[#This Row],[Data odczytu]])</f>
        <v>2011</v>
      </c>
      <c r="F116" s="4">
        <f>IF(gaz_3[[#This Row],[Zuzycie]]&gt;100,IF(gaz_3[[#This Row],[Zuzycie]]&gt;200,120,90),70)</f>
        <v>70</v>
      </c>
      <c r="G116" s="4">
        <f>VLOOKUP(gaz_3[[#This Row],[Rok]],$L$3:$M$20,2)</f>
        <v>1.18</v>
      </c>
      <c r="H116" s="4">
        <f>gaz_3[[#This Row],[cena]]*gaz_3[[#This Row],[Zuzycie]]+gaz_3[[#This Row],[taryfa]]</f>
        <v>88.88</v>
      </c>
      <c r="O116">
        <f>gaz_3[[#This Row],[Rok]]</f>
        <v>2011</v>
      </c>
      <c r="P116">
        <f>gaz_3[[#This Row],[laczna oplata]]</f>
        <v>88.88</v>
      </c>
    </row>
    <row r="117" spans="1:16" x14ac:dyDescent="0.25">
      <c r="A117" s="1">
        <v>40786</v>
      </c>
      <c r="B117">
        <v>19735</v>
      </c>
      <c r="C117">
        <f>MONTH(gaz_3[[#This Row],[Data odczytu]])</f>
        <v>8</v>
      </c>
      <c r="D117">
        <f>gaz_3[[#This Row],[Odczyt licznika]]-B116</f>
        <v>17</v>
      </c>
      <c r="E117">
        <f>YEAR(gaz_3[[#This Row],[Data odczytu]])</f>
        <v>2011</v>
      </c>
      <c r="F117" s="4">
        <f>IF(gaz_3[[#This Row],[Zuzycie]]&gt;100,IF(gaz_3[[#This Row],[Zuzycie]]&gt;200,120,90),70)</f>
        <v>70</v>
      </c>
      <c r="G117" s="4">
        <f>VLOOKUP(gaz_3[[#This Row],[Rok]],$L$3:$M$20,2)</f>
        <v>1.18</v>
      </c>
      <c r="H117" s="4">
        <f>gaz_3[[#This Row],[cena]]*gaz_3[[#This Row],[Zuzycie]]+gaz_3[[#This Row],[taryfa]]</f>
        <v>90.06</v>
      </c>
      <c r="O117">
        <f>gaz_3[[#This Row],[Rok]]</f>
        <v>2011</v>
      </c>
      <c r="P117">
        <f>gaz_3[[#This Row],[laczna oplata]]</f>
        <v>90.06</v>
      </c>
    </row>
    <row r="118" spans="1:16" x14ac:dyDescent="0.25">
      <c r="A118" s="1">
        <v>40816</v>
      </c>
      <c r="B118">
        <v>19815</v>
      </c>
      <c r="C118">
        <f>MONTH(gaz_3[[#This Row],[Data odczytu]])</f>
        <v>9</v>
      </c>
      <c r="D118">
        <f>gaz_3[[#This Row],[Odczyt licznika]]-B117</f>
        <v>80</v>
      </c>
      <c r="E118">
        <f>YEAR(gaz_3[[#This Row],[Data odczytu]])</f>
        <v>2011</v>
      </c>
      <c r="F118" s="4">
        <f>IF(gaz_3[[#This Row],[Zuzycie]]&gt;100,IF(gaz_3[[#This Row],[Zuzycie]]&gt;200,120,90),70)</f>
        <v>70</v>
      </c>
      <c r="G118" s="4">
        <f>VLOOKUP(gaz_3[[#This Row],[Rok]],$L$3:$M$20,2)</f>
        <v>1.18</v>
      </c>
      <c r="H118" s="4">
        <f>gaz_3[[#This Row],[cena]]*gaz_3[[#This Row],[Zuzycie]]+gaz_3[[#This Row],[taryfa]]</f>
        <v>164.39999999999998</v>
      </c>
      <c r="O118">
        <f>gaz_3[[#This Row],[Rok]]</f>
        <v>2011</v>
      </c>
      <c r="P118">
        <f>gaz_3[[#This Row],[laczna oplata]]</f>
        <v>164.39999999999998</v>
      </c>
    </row>
    <row r="119" spans="1:16" x14ac:dyDescent="0.25">
      <c r="A119" s="1">
        <v>40847</v>
      </c>
      <c r="B119">
        <v>19946</v>
      </c>
      <c r="C119">
        <f>MONTH(gaz_3[[#This Row],[Data odczytu]])</f>
        <v>10</v>
      </c>
      <c r="D119">
        <f>gaz_3[[#This Row],[Odczyt licznika]]-B118</f>
        <v>131</v>
      </c>
      <c r="E119">
        <f>YEAR(gaz_3[[#This Row],[Data odczytu]])</f>
        <v>2011</v>
      </c>
      <c r="F119" s="4">
        <f>IF(gaz_3[[#This Row],[Zuzycie]]&gt;100,IF(gaz_3[[#This Row],[Zuzycie]]&gt;200,120,90),70)</f>
        <v>90</v>
      </c>
      <c r="G119" s="4">
        <f>VLOOKUP(gaz_3[[#This Row],[Rok]],$L$3:$M$20,2)</f>
        <v>1.18</v>
      </c>
      <c r="H119" s="4">
        <f>gaz_3[[#This Row],[cena]]*gaz_3[[#This Row],[Zuzycie]]+gaz_3[[#This Row],[taryfa]]</f>
        <v>244.57999999999998</v>
      </c>
      <c r="O119">
        <f>gaz_3[[#This Row],[Rok]]</f>
        <v>2011</v>
      </c>
      <c r="P119">
        <f>gaz_3[[#This Row],[laczna oplata]]</f>
        <v>244.57999999999998</v>
      </c>
    </row>
    <row r="120" spans="1:16" x14ac:dyDescent="0.25">
      <c r="A120" s="1">
        <v>40877</v>
      </c>
      <c r="B120">
        <v>20081</v>
      </c>
      <c r="C120">
        <f>MONTH(gaz_3[[#This Row],[Data odczytu]])</f>
        <v>11</v>
      </c>
      <c r="D120">
        <f>gaz_3[[#This Row],[Odczyt licznika]]-B119</f>
        <v>135</v>
      </c>
      <c r="E120">
        <f>YEAR(gaz_3[[#This Row],[Data odczytu]])</f>
        <v>2011</v>
      </c>
      <c r="F120" s="4">
        <f>IF(gaz_3[[#This Row],[Zuzycie]]&gt;100,IF(gaz_3[[#This Row],[Zuzycie]]&gt;200,120,90),70)</f>
        <v>90</v>
      </c>
      <c r="G120" s="4">
        <f>VLOOKUP(gaz_3[[#This Row],[Rok]],$L$3:$M$20,2)</f>
        <v>1.18</v>
      </c>
      <c r="H120" s="4">
        <f>gaz_3[[#This Row],[cena]]*gaz_3[[#This Row],[Zuzycie]]+gaz_3[[#This Row],[taryfa]]</f>
        <v>249.29999999999998</v>
      </c>
      <c r="O120">
        <f>gaz_3[[#This Row],[Rok]]</f>
        <v>2011</v>
      </c>
      <c r="P120">
        <f>gaz_3[[#This Row],[laczna oplata]]</f>
        <v>249.29999999999998</v>
      </c>
    </row>
    <row r="121" spans="1:16" x14ac:dyDescent="0.25">
      <c r="A121" s="1">
        <v>40908</v>
      </c>
      <c r="B121">
        <v>20323</v>
      </c>
      <c r="C121">
        <f>MONTH(gaz_3[[#This Row],[Data odczytu]])</f>
        <v>12</v>
      </c>
      <c r="D121">
        <f>gaz_3[[#This Row],[Odczyt licznika]]-B120</f>
        <v>242</v>
      </c>
      <c r="E121">
        <f>YEAR(gaz_3[[#This Row],[Data odczytu]])</f>
        <v>2011</v>
      </c>
      <c r="F121" s="4">
        <f>IF(gaz_3[[#This Row],[Zuzycie]]&gt;100,IF(gaz_3[[#This Row],[Zuzycie]]&gt;200,120,90),70)</f>
        <v>120</v>
      </c>
      <c r="G121" s="4">
        <f>VLOOKUP(gaz_3[[#This Row],[Rok]],$L$3:$M$20,2)</f>
        <v>1.18</v>
      </c>
      <c r="H121" s="4">
        <f>gaz_3[[#This Row],[cena]]*gaz_3[[#This Row],[Zuzycie]]+gaz_3[[#This Row],[taryfa]]</f>
        <v>405.56</v>
      </c>
      <c r="O121">
        <f>gaz_3[[#This Row],[Rok]]</f>
        <v>2011</v>
      </c>
      <c r="P121">
        <f>gaz_3[[#This Row],[laczna oplata]]</f>
        <v>405.56</v>
      </c>
    </row>
    <row r="122" spans="1:16" x14ac:dyDescent="0.25">
      <c r="A122" s="1">
        <v>40939</v>
      </c>
      <c r="B122">
        <v>20653</v>
      </c>
      <c r="C122">
        <f>MONTH(gaz_3[[#This Row],[Data odczytu]])</f>
        <v>1</v>
      </c>
      <c r="D122">
        <f>gaz_3[[#This Row],[Odczyt licznika]]-B121</f>
        <v>330</v>
      </c>
      <c r="E122">
        <f>YEAR(gaz_3[[#This Row],[Data odczytu]])</f>
        <v>2012</v>
      </c>
      <c r="F122" s="4">
        <f>IF(gaz_3[[#This Row],[Zuzycie]]&gt;100,IF(gaz_3[[#This Row],[Zuzycie]]&gt;200,120,90),70)</f>
        <v>120</v>
      </c>
      <c r="G122" s="4">
        <f>VLOOKUP(gaz_3[[#This Row],[Rok]],$L$3:$M$20,2)</f>
        <v>1.23</v>
      </c>
      <c r="H122" s="4">
        <f>gaz_3[[#This Row],[cena]]*gaz_3[[#This Row],[Zuzycie]]+gaz_3[[#This Row],[taryfa]]</f>
        <v>525.9</v>
      </c>
      <c r="O122">
        <f>gaz_3[[#This Row],[Rok]]</f>
        <v>2012</v>
      </c>
      <c r="P122">
        <f>gaz_3[[#This Row],[laczna oplata]]</f>
        <v>525.9</v>
      </c>
    </row>
    <row r="123" spans="1:16" x14ac:dyDescent="0.25">
      <c r="A123" s="1">
        <v>40967</v>
      </c>
      <c r="B123">
        <v>21000</v>
      </c>
      <c r="C123">
        <f>MONTH(gaz_3[[#This Row],[Data odczytu]])</f>
        <v>2</v>
      </c>
      <c r="D123">
        <f>gaz_3[[#This Row],[Odczyt licznika]]-B122</f>
        <v>347</v>
      </c>
      <c r="E123">
        <f>YEAR(gaz_3[[#This Row],[Data odczytu]])</f>
        <v>2012</v>
      </c>
      <c r="F123" s="4">
        <f>IF(gaz_3[[#This Row],[Zuzycie]]&gt;100,IF(gaz_3[[#This Row],[Zuzycie]]&gt;200,120,90),70)</f>
        <v>120</v>
      </c>
      <c r="G123" s="4">
        <f>VLOOKUP(gaz_3[[#This Row],[Rok]],$L$3:$M$20,2)</f>
        <v>1.23</v>
      </c>
      <c r="H123" s="4">
        <f>gaz_3[[#This Row],[cena]]*gaz_3[[#This Row],[Zuzycie]]+gaz_3[[#This Row],[taryfa]]</f>
        <v>546.80999999999995</v>
      </c>
      <c r="O123">
        <f>gaz_3[[#This Row],[Rok]]</f>
        <v>2012</v>
      </c>
      <c r="P123">
        <f>gaz_3[[#This Row],[laczna oplata]]</f>
        <v>546.80999999999995</v>
      </c>
    </row>
    <row r="124" spans="1:16" x14ac:dyDescent="0.25">
      <c r="A124" s="1">
        <v>40999</v>
      </c>
      <c r="B124">
        <v>21254</v>
      </c>
      <c r="C124">
        <f>MONTH(gaz_3[[#This Row],[Data odczytu]])</f>
        <v>3</v>
      </c>
      <c r="D124">
        <f>gaz_3[[#This Row],[Odczyt licznika]]-B123</f>
        <v>254</v>
      </c>
      <c r="E124">
        <f>YEAR(gaz_3[[#This Row],[Data odczytu]])</f>
        <v>2012</v>
      </c>
      <c r="F124" s="4">
        <f>IF(gaz_3[[#This Row],[Zuzycie]]&gt;100,IF(gaz_3[[#This Row],[Zuzycie]]&gt;200,120,90),70)</f>
        <v>120</v>
      </c>
      <c r="G124" s="4">
        <f>VLOOKUP(gaz_3[[#This Row],[Rok]],$L$3:$M$20,2)</f>
        <v>1.23</v>
      </c>
      <c r="H124" s="4">
        <f>gaz_3[[#This Row],[cena]]*gaz_3[[#This Row],[Zuzycie]]+gaz_3[[#This Row],[taryfa]]</f>
        <v>432.42</v>
      </c>
      <c r="O124">
        <f>gaz_3[[#This Row],[Rok]]</f>
        <v>2012</v>
      </c>
      <c r="P124">
        <f>gaz_3[[#This Row],[laczna oplata]]</f>
        <v>432.42</v>
      </c>
    </row>
    <row r="125" spans="1:16" x14ac:dyDescent="0.25">
      <c r="A125" s="1">
        <v>41029</v>
      </c>
      <c r="B125">
        <v>21377</v>
      </c>
      <c r="C125">
        <f>MONTH(gaz_3[[#This Row],[Data odczytu]])</f>
        <v>4</v>
      </c>
      <c r="D125">
        <f>gaz_3[[#This Row],[Odczyt licznika]]-B124</f>
        <v>123</v>
      </c>
      <c r="E125">
        <f>YEAR(gaz_3[[#This Row],[Data odczytu]])</f>
        <v>2012</v>
      </c>
      <c r="F125" s="4">
        <f>IF(gaz_3[[#This Row],[Zuzycie]]&gt;100,IF(gaz_3[[#This Row],[Zuzycie]]&gt;200,120,90),70)</f>
        <v>90</v>
      </c>
      <c r="G125" s="4">
        <f>VLOOKUP(gaz_3[[#This Row],[Rok]],$L$3:$M$20,2)</f>
        <v>1.23</v>
      </c>
      <c r="H125" s="4">
        <f>gaz_3[[#This Row],[cena]]*gaz_3[[#This Row],[Zuzycie]]+gaz_3[[#This Row],[taryfa]]</f>
        <v>241.29</v>
      </c>
      <c r="O125">
        <f>gaz_3[[#This Row],[Rok]]</f>
        <v>2012</v>
      </c>
      <c r="P125">
        <f>gaz_3[[#This Row],[laczna oplata]]</f>
        <v>241.29</v>
      </c>
    </row>
    <row r="126" spans="1:16" x14ac:dyDescent="0.25">
      <c r="A126" s="1">
        <v>41060</v>
      </c>
      <c r="B126">
        <v>21487</v>
      </c>
      <c r="C126">
        <f>MONTH(gaz_3[[#This Row],[Data odczytu]])</f>
        <v>5</v>
      </c>
      <c r="D126">
        <f>gaz_3[[#This Row],[Odczyt licznika]]-B125</f>
        <v>110</v>
      </c>
      <c r="E126">
        <f>YEAR(gaz_3[[#This Row],[Data odczytu]])</f>
        <v>2012</v>
      </c>
      <c r="F126" s="4">
        <f>IF(gaz_3[[#This Row],[Zuzycie]]&gt;100,IF(gaz_3[[#This Row],[Zuzycie]]&gt;200,120,90),70)</f>
        <v>90</v>
      </c>
      <c r="G126" s="4">
        <f>VLOOKUP(gaz_3[[#This Row],[Rok]],$L$3:$M$20,2)</f>
        <v>1.23</v>
      </c>
      <c r="H126" s="4">
        <f>gaz_3[[#This Row],[cena]]*gaz_3[[#This Row],[Zuzycie]]+gaz_3[[#This Row],[taryfa]]</f>
        <v>225.3</v>
      </c>
      <c r="O126">
        <f>gaz_3[[#This Row],[Rok]]</f>
        <v>2012</v>
      </c>
      <c r="P126">
        <f>gaz_3[[#This Row],[laczna oplata]]</f>
        <v>225.3</v>
      </c>
    </row>
    <row r="127" spans="1:16" x14ac:dyDescent="0.25">
      <c r="A127" s="1">
        <v>41090</v>
      </c>
      <c r="B127">
        <v>21517</v>
      </c>
      <c r="C127">
        <f>MONTH(gaz_3[[#This Row],[Data odczytu]])</f>
        <v>6</v>
      </c>
      <c r="D127">
        <f>gaz_3[[#This Row],[Odczyt licznika]]-B126</f>
        <v>30</v>
      </c>
      <c r="E127">
        <f>YEAR(gaz_3[[#This Row],[Data odczytu]])</f>
        <v>2012</v>
      </c>
      <c r="F127" s="4">
        <f>IF(gaz_3[[#This Row],[Zuzycie]]&gt;100,IF(gaz_3[[#This Row],[Zuzycie]]&gt;200,120,90),70)</f>
        <v>70</v>
      </c>
      <c r="G127" s="4">
        <f>VLOOKUP(gaz_3[[#This Row],[Rok]],$L$3:$M$20,2)</f>
        <v>1.23</v>
      </c>
      <c r="H127" s="4">
        <f>gaz_3[[#This Row],[cena]]*gaz_3[[#This Row],[Zuzycie]]+gaz_3[[#This Row],[taryfa]]</f>
        <v>106.9</v>
      </c>
      <c r="O127">
        <f>gaz_3[[#This Row],[Rok]]</f>
        <v>2012</v>
      </c>
      <c r="P127">
        <f>gaz_3[[#This Row],[laczna oplata]]</f>
        <v>106.9</v>
      </c>
    </row>
    <row r="128" spans="1:16" x14ac:dyDescent="0.25">
      <c r="A128" s="1">
        <v>41121</v>
      </c>
      <c r="B128">
        <v>21536</v>
      </c>
      <c r="C128">
        <f>MONTH(gaz_3[[#This Row],[Data odczytu]])</f>
        <v>7</v>
      </c>
      <c r="D128">
        <f>gaz_3[[#This Row],[Odczyt licznika]]-B127</f>
        <v>19</v>
      </c>
      <c r="E128">
        <f>YEAR(gaz_3[[#This Row],[Data odczytu]])</f>
        <v>2012</v>
      </c>
      <c r="F128" s="4">
        <f>IF(gaz_3[[#This Row],[Zuzycie]]&gt;100,IF(gaz_3[[#This Row],[Zuzycie]]&gt;200,120,90),70)</f>
        <v>70</v>
      </c>
      <c r="G128" s="4">
        <f>VLOOKUP(gaz_3[[#This Row],[Rok]],$L$3:$M$20,2)</f>
        <v>1.23</v>
      </c>
      <c r="H128" s="4">
        <f>gaz_3[[#This Row],[cena]]*gaz_3[[#This Row],[Zuzycie]]+gaz_3[[#This Row],[taryfa]]</f>
        <v>93.37</v>
      </c>
      <c r="O128">
        <f>gaz_3[[#This Row],[Rok]]</f>
        <v>2012</v>
      </c>
      <c r="P128">
        <f>gaz_3[[#This Row],[laczna oplata]]</f>
        <v>93.37</v>
      </c>
    </row>
    <row r="129" spans="1:16" x14ac:dyDescent="0.25">
      <c r="A129" s="1">
        <v>41152</v>
      </c>
      <c r="B129">
        <v>21550</v>
      </c>
      <c r="C129">
        <f>MONTH(gaz_3[[#This Row],[Data odczytu]])</f>
        <v>8</v>
      </c>
      <c r="D129">
        <f>gaz_3[[#This Row],[Odczyt licznika]]-B128</f>
        <v>14</v>
      </c>
      <c r="E129">
        <f>YEAR(gaz_3[[#This Row],[Data odczytu]])</f>
        <v>2012</v>
      </c>
      <c r="F129" s="4">
        <f>IF(gaz_3[[#This Row],[Zuzycie]]&gt;100,IF(gaz_3[[#This Row],[Zuzycie]]&gt;200,120,90),70)</f>
        <v>70</v>
      </c>
      <c r="G129" s="4">
        <f>VLOOKUP(gaz_3[[#This Row],[Rok]],$L$3:$M$20,2)</f>
        <v>1.23</v>
      </c>
      <c r="H129" s="4">
        <f>gaz_3[[#This Row],[cena]]*gaz_3[[#This Row],[Zuzycie]]+gaz_3[[#This Row],[taryfa]]</f>
        <v>87.22</v>
      </c>
      <c r="O129">
        <f>gaz_3[[#This Row],[Rok]]</f>
        <v>2012</v>
      </c>
      <c r="P129">
        <f>gaz_3[[#This Row],[laczna oplata]]</f>
        <v>87.22</v>
      </c>
    </row>
    <row r="130" spans="1:16" x14ac:dyDescent="0.25">
      <c r="A130" s="1">
        <v>41182</v>
      </c>
      <c r="B130">
        <v>21695</v>
      </c>
      <c r="C130">
        <f>MONTH(gaz_3[[#This Row],[Data odczytu]])</f>
        <v>9</v>
      </c>
      <c r="D130">
        <f>gaz_3[[#This Row],[Odczyt licznika]]-B129</f>
        <v>145</v>
      </c>
      <c r="E130">
        <f>YEAR(gaz_3[[#This Row],[Data odczytu]])</f>
        <v>2012</v>
      </c>
      <c r="F130" s="4">
        <f>IF(gaz_3[[#This Row],[Zuzycie]]&gt;100,IF(gaz_3[[#This Row],[Zuzycie]]&gt;200,120,90),70)</f>
        <v>90</v>
      </c>
      <c r="G130" s="4">
        <f>VLOOKUP(gaz_3[[#This Row],[Rok]],$L$3:$M$20,2)</f>
        <v>1.23</v>
      </c>
      <c r="H130" s="4">
        <f>gaz_3[[#This Row],[cena]]*gaz_3[[#This Row],[Zuzycie]]+gaz_3[[#This Row],[taryfa]]</f>
        <v>268.35000000000002</v>
      </c>
      <c r="O130">
        <f>gaz_3[[#This Row],[Rok]]</f>
        <v>2012</v>
      </c>
      <c r="P130">
        <f>gaz_3[[#This Row],[laczna oplata]]</f>
        <v>268.35000000000002</v>
      </c>
    </row>
    <row r="131" spans="1:16" x14ac:dyDescent="0.25">
      <c r="A131" s="1">
        <v>41213</v>
      </c>
      <c r="B131">
        <v>21878</v>
      </c>
      <c r="C131">
        <f>MONTH(gaz_3[[#This Row],[Data odczytu]])</f>
        <v>10</v>
      </c>
      <c r="D131">
        <f>gaz_3[[#This Row],[Odczyt licznika]]-B130</f>
        <v>183</v>
      </c>
      <c r="E131">
        <f>YEAR(gaz_3[[#This Row],[Data odczytu]])</f>
        <v>2012</v>
      </c>
      <c r="F131" s="4">
        <f>IF(gaz_3[[#This Row],[Zuzycie]]&gt;100,IF(gaz_3[[#This Row],[Zuzycie]]&gt;200,120,90),70)</f>
        <v>90</v>
      </c>
      <c r="G131" s="4">
        <f>VLOOKUP(gaz_3[[#This Row],[Rok]],$L$3:$M$20,2)</f>
        <v>1.23</v>
      </c>
      <c r="H131" s="4">
        <f>gaz_3[[#This Row],[cena]]*gaz_3[[#This Row],[Zuzycie]]+gaz_3[[#This Row],[taryfa]]</f>
        <v>315.09000000000003</v>
      </c>
      <c r="O131">
        <f>gaz_3[[#This Row],[Rok]]</f>
        <v>2012</v>
      </c>
      <c r="P131">
        <f>gaz_3[[#This Row],[laczna oplata]]</f>
        <v>315.09000000000003</v>
      </c>
    </row>
    <row r="132" spans="1:16" x14ac:dyDescent="0.25">
      <c r="A132" s="1">
        <v>41243</v>
      </c>
      <c r="B132">
        <v>22208</v>
      </c>
      <c r="C132">
        <f>MONTH(gaz_3[[#This Row],[Data odczytu]])</f>
        <v>11</v>
      </c>
      <c r="D132">
        <f>gaz_3[[#This Row],[Odczyt licznika]]-B131</f>
        <v>330</v>
      </c>
      <c r="E132">
        <f>YEAR(gaz_3[[#This Row],[Data odczytu]])</f>
        <v>2012</v>
      </c>
      <c r="F132" s="4">
        <f>IF(gaz_3[[#This Row],[Zuzycie]]&gt;100,IF(gaz_3[[#This Row],[Zuzycie]]&gt;200,120,90),70)</f>
        <v>120</v>
      </c>
      <c r="G132" s="4">
        <f>VLOOKUP(gaz_3[[#This Row],[Rok]],$L$3:$M$20,2)</f>
        <v>1.23</v>
      </c>
      <c r="H132" s="4">
        <f>gaz_3[[#This Row],[cena]]*gaz_3[[#This Row],[Zuzycie]]+gaz_3[[#This Row],[taryfa]]</f>
        <v>525.9</v>
      </c>
      <c r="O132">
        <f>gaz_3[[#This Row],[Rok]]</f>
        <v>2012</v>
      </c>
      <c r="P132">
        <f>gaz_3[[#This Row],[laczna oplata]]</f>
        <v>525.9</v>
      </c>
    </row>
    <row r="133" spans="1:16" x14ac:dyDescent="0.25">
      <c r="A133" s="1">
        <v>41274</v>
      </c>
      <c r="B133">
        <v>22516</v>
      </c>
      <c r="C133">
        <f>MONTH(gaz_3[[#This Row],[Data odczytu]])</f>
        <v>12</v>
      </c>
      <c r="D133">
        <f>gaz_3[[#This Row],[Odczyt licznika]]-B132</f>
        <v>308</v>
      </c>
      <c r="E133">
        <f>YEAR(gaz_3[[#This Row],[Data odczytu]])</f>
        <v>2012</v>
      </c>
      <c r="F133" s="4">
        <f>IF(gaz_3[[#This Row],[Zuzycie]]&gt;100,IF(gaz_3[[#This Row],[Zuzycie]]&gt;200,120,90),70)</f>
        <v>120</v>
      </c>
      <c r="G133" s="4">
        <f>VLOOKUP(gaz_3[[#This Row],[Rok]],$L$3:$M$20,2)</f>
        <v>1.23</v>
      </c>
      <c r="H133" s="4">
        <f>gaz_3[[#This Row],[cena]]*gaz_3[[#This Row],[Zuzycie]]+gaz_3[[#This Row],[taryfa]]</f>
        <v>498.84</v>
      </c>
      <c r="O133">
        <f>gaz_3[[#This Row],[Rok]]</f>
        <v>2012</v>
      </c>
      <c r="P133">
        <f>gaz_3[[#This Row],[laczna oplata]]</f>
        <v>498.84</v>
      </c>
    </row>
    <row r="134" spans="1:16" x14ac:dyDescent="0.25">
      <c r="A134" s="1">
        <v>41305</v>
      </c>
      <c r="B134">
        <v>22811</v>
      </c>
      <c r="C134">
        <f>MONTH(gaz_3[[#This Row],[Data odczytu]])</f>
        <v>1</v>
      </c>
      <c r="D134">
        <f>gaz_3[[#This Row],[Odczyt licznika]]-B133</f>
        <v>295</v>
      </c>
      <c r="E134">
        <f>YEAR(gaz_3[[#This Row],[Data odczytu]])</f>
        <v>2013</v>
      </c>
      <c r="F134" s="4">
        <f>IF(gaz_3[[#This Row],[Zuzycie]]&gt;100,IF(gaz_3[[#This Row],[Zuzycie]]&gt;200,120,90),70)</f>
        <v>120</v>
      </c>
      <c r="G134" s="4">
        <f>VLOOKUP(gaz_3[[#This Row],[Rok]],$L$3:$M$20,2)</f>
        <v>1.23</v>
      </c>
      <c r="H134" s="4">
        <f>gaz_3[[#This Row],[cena]]*gaz_3[[#This Row],[Zuzycie]]+gaz_3[[#This Row],[taryfa]]</f>
        <v>482.85</v>
      </c>
      <c r="O134">
        <f>gaz_3[[#This Row],[Rok]]</f>
        <v>2013</v>
      </c>
      <c r="P134">
        <f>gaz_3[[#This Row],[laczna oplata]]</f>
        <v>482.85</v>
      </c>
    </row>
    <row r="135" spans="1:16" x14ac:dyDescent="0.25">
      <c r="A135" s="1">
        <v>41333</v>
      </c>
      <c r="B135">
        <v>23173</v>
      </c>
      <c r="C135">
        <f>MONTH(gaz_3[[#This Row],[Data odczytu]])</f>
        <v>2</v>
      </c>
      <c r="D135">
        <f>gaz_3[[#This Row],[Odczyt licznika]]-B134</f>
        <v>362</v>
      </c>
      <c r="E135">
        <f>YEAR(gaz_3[[#This Row],[Data odczytu]])</f>
        <v>2013</v>
      </c>
      <c r="F135" s="4">
        <f>IF(gaz_3[[#This Row],[Zuzycie]]&gt;100,IF(gaz_3[[#This Row],[Zuzycie]]&gt;200,120,90),70)</f>
        <v>120</v>
      </c>
      <c r="G135" s="4">
        <f>VLOOKUP(gaz_3[[#This Row],[Rok]],$L$3:$M$20,2)</f>
        <v>1.23</v>
      </c>
      <c r="H135" s="4">
        <f>gaz_3[[#This Row],[cena]]*gaz_3[[#This Row],[Zuzycie]]+gaz_3[[#This Row],[taryfa]]</f>
        <v>565.26</v>
      </c>
      <c r="O135">
        <f>gaz_3[[#This Row],[Rok]]</f>
        <v>2013</v>
      </c>
      <c r="P135">
        <f>gaz_3[[#This Row],[laczna oplata]]</f>
        <v>565.26</v>
      </c>
    </row>
    <row r="136" spans="1:16" x14ac:dyDescent="0.25">
      <c r="A136" s="1">
        <v>41364</v>
      </c>
      <c r="B136">
        <v>23392</v>
      </c>
      <c r="C136">
        <f>MONTH(gaz_3[[#This Row],[Data odczytu]])</f>
        <v>3</v>
      </c>
      <c r="D136">
        <f>gaz_3[[#This Row],[Odczyt licznika]]-B135</f>
        <v>219</v>
      </c>
      <c r="E136">
        <f>YEAR(gaz_3[[#This Row],[Data odczytu]])</f>
        <v>2013</v>
      </c>
      <c r="F136" s="4">
        <f>IF(gaz_3[[#This Row],[Zuzycie]]&gt;100,IF(gaz_3[[#This Row],[Zuzycie]]&gt;200,120,90),70)</f>
        <v>120</v>
      </c>
      <c r="G136" s="4">
        <f>VLOOKUP(gaz_3[[#This Row],[Rok]],$L$3:$M$20,2)</f>
        <v>1.23</v>
      </c>
      <c r="H136" s="4">
        <f>gaz_3[[#This Row],[cena]]*gaz_3[[#This Row],[Zuzycie]]+gaz_3[[#This Row],[taryfa]]</f>
        <v>389.37</v>
      </c>
      <c r="O136">
        <f>gaz_3[[#This Row],[Rok]]</f>
        <v>2013</v>
      </c>
      <c r="P136">
        <f>gaz_3[[#This Row],[laczna oplata]]</f>
        <v>389.37</v>
      </c>
    </row>
    <row r="137" spans="1:16" x14ac:dyDescent="0.25">
      <c r="A137" s="1">
        <v>41394</v>
      </c>
      <c r="B137">
        <v>23533</v>
      </c>
      <c r="C137">
        <f>MONTH(gaz_3[[#This Row],[Data odczytu]])</f>
        <v>4</v>
      </c>
      <c r="D137">
        <f>gaz_3[[#This Row],[Odczyt licznika]]-B136</f>
        <v>141</v>
      </c>
      <c r="E137">
        <f>YEAR(gaz_3[[#This Row],[Data odczytu]])</f>
        <v>2013</v>
      </c>
      <c r="F137" s="4">
        <f>IF(gaz_3[[#This Row],[Zuzycie]]&gt;100,IF(gaz_3[[#This Row],[Zuzycie]]&gt;200,120,90),70)</f>
        <v>90</v>
      </c>
      <c r="G137" s="4">
        <f>VLOOKUP(gaz_3[[#This Row],[Rok]],$L$3:$M$20,2)</f>
        <v>1.23</v>
      </c>
      <c r="H137" s="4">
        <f>gaz_3[[#This Row],[cena]]*gaz_3[[#This Row],[Zuzycie]]+gaz_3[[#This Row],[taryfa]]</f>
        <v>263.43</v>
      </c>
      <c r="O137">
        <f>gaz_3[[#This Row],[Rok]]</f>
        <v>2013</v>
      </c>
      <c r="P137">
        <f>gaz_3[[#This Row],[laczna oplata]]</f>
        <v>263.43</v>
      </c>
    </row>
    <row r="138" spans="1:16" x14ac:dyDescent="0.25">
      <c r="A138" s="1">
        <v>41425</v>
      </c>
      <c r="B138">
        <v>23699</v>
      </c>
      <c r="C138">
        <f>MONTH(gaz_3[[#This Row],[Data odczytu]])</f>
        <v>5</v>
      </c>
      <c r="D138">
        <f>gaz_3[[#This Row],[Odczyt licznika]]-B137</f>
        <v>166</v>
      </c>
      <c r="E138">
        <f>YEAR(gaz_3[[#This Row],[Data odczytu]])</f>
        <v>2013</v>
      </c>
      <c r="F138" s="4">
        <f>IF(gaz_3[[#This Row],[Zuzycie]]&gt;100,IF(gaz_3[[#This Row],[Zuzycie]]&gt;200,120,90),70)</f>
        <v>90</v>
      </c>
      <c r="G138" s="4">
        <f>VLOOKUP(gaz_3[[#This Row],[Rok]],$L$3:$M$20,2)</f>
        <v>1.23</v>
      </c>
      <c r="H138" s="4">
        <f>gaz_3[[#This Row],[cena]]*gaz_3[[#This Row],[Zuzycie]]+gaz_3[[#This Row],[taryfa]]</f>
        <v>294.18</v>
      </c>
      <c r="O138">
        <f>gaz_3[[#This Row],[Rok]]</f>
        <v>2013</v>
      </c>
      <c r="P138">
        <f>gaz_3[[#This Row],[laczna oplata]]</f>
        <v>294.18</v>
      </c>
    </row>
    <row r="139" spans="1:16" x14ac:dyDescent="0.25">
      <c r="A139" s="1">
        <v>41455</v>
      </c>
      <c r="B139">
        <v>23793</v>
      </c>
      <c r="C139">
        <f>MONTH(gaz_3[[#This Row],[Data odczytu]])</f>
        <v>6</v>
      </c>
      <c r="D139">
        <f>gaz_3[[#This Row],[Odczyt licznika]]-B138</f>
        <v>94</v>
      </c>
      <c r="E139">
        <f>YEAR(gaz_3[[#This Row],[Data odczytu]])</f>
        <v>2013</v>
      </c>
      <c r="F139" s="4">
        <f>IF(gaz_3[[#This Row],[Zuzycie]]&gt;100,IF(gaz_3[[#This Row],[Zuzycie]]&gt;200,120,90),70)</f>
        <v>70</v>
      </c>
      <c r="G139" s="4">
        <f>VLOOKUP(gaz_3[[#This Row],[Rok]],$L$3:$M$20,2)</f>
        <v>1.23</v>
      </c>
      <c r="H139" s="4">
        <f>gaz_3[[#This Row],[cena]]*gaz_3[[#This Row],[Zuzycie]]+gaz_3[[#This Row],[taryfa]]</f>
        <v>185.62</v>
      </c>
      <c r="O139">
        <f>gaz_3[[#This Row],[Rok]]</f>
        <v>2013</v>
      </c>
      <c r="P139">
        <f>gaz_3[[#This Row],[laczna oplata]]</f>
        <v>185.62</v>
      </c>
    </row>
    <row r="140" spans="1:16" x14ac:dyDescent="0.25">
      <c r="A140" s="1">
        <v>41486</v>
      </c>
      <c r="B140">
        <v>23809</v>
      </c>
      <c r="C140">
        <f>MONTH(gaz_3[[#This Row],[Data odczytu]])</f>
        <v>7</v>
      </c>
      <c r="D140">
        <f>gaz_3[[#This Row],[Odczyt licznika]]-B139</f>
        <v>16</v>
      </c>
      <c r="E140">
        <f>YEAR(gaz_3[[#This Row],[Data odczytu]])</f>
        <v>2013</v>
      </c>
      <c r="F140" s="4">
        <f>IF(gaz_3[[#This Row],[Zuzycie]]&gt;100,IF(gaz_3[[#This Row],[Zuzycie]]&gt;200,120,90),70)</f>
        <v>70</v>
      </c>
      <c r="G140" s="4">
        <f>VLOOKUP(gaz_3[[#This Row],[Rok]],$L$3:$M$20,2)</f>
        <v>1.23</v>
      </c>
      <c r="H140" s="4">
        <f>gaz_3[[#This Row],[cena]]*gaz_3[[#This Row],[Zuzycie]]+gaz_3[[#This Row],[taryfa]]</f>
        <v>89.68</v>
      </c>
      <c r="O140">
        <f>gaz_3[[#This Row],[Rok]]</f>
        <v>2013</v>
      </c>
      <c r="P140">
        <f>gaz_3[[#This Row],[laczna oplata]]</f>
        <v>89.68</v>
      </c>
    </row>
    <row r="141" spans="1:16" x14ac:dyDescent="0.25">
      <c r="A141" s="1">
        <v>41517</v>
      </c>
      <c r="B141">
        <v>23825</v>
      </c>
      <c r="C141">
        <f>MONTH(gaz_3[[#This Row],[Data odczytu]])</f>
        <v>8</v>
      </c>
      <c r="D141">
        <f>gaz_3[[#This Row],[Odczyt licznika]]-B140</f>
        <v>16</v>
      </c>
      <c r="E141">
        <f>YEAR(gaz_3[[#This Row],[Data odczytu]])</f>
        <v>2013</v>
      </c>
      <c r="F141" s="4">
        <f>IF(gaz_3[[#This Row],[Zuzycie]]&gt;100,IF(gaz_3[[#This Row],[Zuzycie]]&gt;200,120,90),70)</f>
        <v>70</v>
      </c>
      <c r="G141" s="4">
        <f>VLOOKUP(gaz_3[[#This Row],[Rok]],$L$3:$M$20,2)</f>
        <v>1.23</v>
      </c>
      <c r="H141" s="4">
        <f>gaz_3[[#This Row],[cena]]*gaz_3[[#This Row],[Zuzycie]]+gaz_3[[#This Row],[taryfa]]</f>
        <v>89.68</v>
      </c>
      <c r="O141">
        <f>gaz_3[[#This Row],[Rok]]</f>
        <v>2013</v>
      </c>
      <c r="P141">
        <f>gaz_3[[#This Row],[laczna oplata]]</f>
        <v>89.68</v>
      </c>
    </row>
    <row r="142" spans="1:16" x14ac:dyDescent="0.25">
      <c r="A142" s="1">
        <v>41547</v>
      </c>
      <c r="B142">
        <v>23902</v>
      </c>
      <c r="C142">
        <f>MONTH(gaz_3[[#This Row],[Data odczytu]])</f>
        <v>9</v>
      </c>
      <c r="D142">
        <f>gaz_3[[#This Row],[Odczyt licznika]]-B141</f>
        <v>77</v>
      </c>
      <c r="E142">
        <f>YEAR(gaz_3[[#This Row],[Data odczytu]])</f>
        <v>2013</v>
      </c>
      <c r="F142" s="4">
        <f>IF(gaz_3[[#This Row],[Zuzycie]]&gt;100,IF(gaz_3[[#This Row],[Zuzycie]]&gt;200,120,90),70)</f>
        <v>70</v>
      </c>
      <c r="G142" s="4">
        <f>VLOOKUP(gaz_3[[#This Row],[Rok]],$L$3:$M$20,2)</f>
        <v>1.23</v>
      </c>
      <c r="H142" s="4">
        <f>gaz_3[[#This Row],[cena]]*gaz_3[[#This Row],[Zuzycie]]+gaz_3[[#This Row],[taryfa]]</f>
        <v>164.70999999999998</v>
      </c>
      <c r="O142">
        <f>gaz_3[[#This Row],[Rok]]</f>
        <v>2013</v>
      </c>
      <c r="P142">
        <f>gaz_3[[#This Row],[laczna oplata]]</f>
        <v>164.70999999999998</v>
      </c>
    </row>
    <row r="143" spans="1:16" x14ac:dyDescent="0.25">
      <c r="A143" s="1">
        <v>41578</v>
      </c>
      <c r="B143">
        <v>24028</v>
      </c>
      <c r="C143">
        <f>MONTH(gaz_3[[#This Row],[Data odczytu]])</f>
        <v>10</v>
      </c>
      <c r="D143">
        <f>gaz_3[[#This Row],[Odczyt licznika]]-B142</f>
        <v>126</v>
      </c>
      <c r="E143">
        <f>YEAR(gaz_3[[#This Row],[Data odczytu]])</f>
        <v>2013</v>
      </c>
      <c r="F143" s="4">
        <f>IF(gaz_3[[#This Row],[Zuzycie]]&gt;100,IF(gaz_3[[#This Row],[Zuzycie]]&gt;200,120,90),70)</f>
        <v>90</v>
      </c>
      <c r="G143" s="4">
        <f>VLOOKUP(gaz_3[[#This Row],[Rok]],$L$3:$M$20,2)</f>
        <v>1.23</v>
      </c>
      <c r="H143" s="4">
        <f>gaz_3[[#This Row],[cena]]*gaz_3[[#This Row],[Zuzycie]]+gaz_3[[#This Row],[taryfa]]</f>
        <v>244.98</v>
      </c>
      <c r="O143">
        <f>gaz_3[[#This Row],[Rok]]</f>
        <v>2013</v>
      </c>
      <c r="P143">
        <f>gaz_3[[#This Row],[laczna oplata]]</f>
        <v>244.98</v>
      </c>
    </row>
    <row r="144" spans="1:16" x14ac:dyDescent="0.25">
      <c r="A144" s="1">
        <v>41608</v>
      </c>
      <c r="B144">
        <v>24158</v>
      </c>
      <c r="C144">
        <f>MONTH(gaz_3[[#This Row],[Data odczytu]])</f>
        <v>11</v>
      </c>
      <c r="D144">
        <f>gaz_3[[#This Row],[Odczyt licznika]]-B143</f>
        <v>130</v>
      </c>
      <c r="E144">
        <f>YEAR(gaz_3[[#This Row],[Data odczytu]])</f>
        <v>2013</v>
      </c>
      <c r="F144" s="4">
        <f>IF(gaz_3[[#This Row],[Zuzycie]]&gt;100,IF(gaz_3[[#This Row],[Zuzycie]]&gt;200,120,90),70)</f>
        <v>90</v>
      </c>
      <c r="G144" s="4">
        <f>VLOOKUP(gaz_3[[#This Row],[Rok]],$L$3:$M$20,2)</f>
        <v>1.23</v>
      </c>
      <c r="H144" s="4">
        <f>gaz_3[[#This Row],[cena]]*gaz_3[[#This Row],[Zuzycie]]+gaz_3[[#This Row],[taryfa]]</f>
        <v>249.9</v>
      </c>
      <c r="O144">
        <f>gaz_3[[#This Row],[Rok]]</f>
        <v>2013</v>
      </c>
      <c r="P144">
        <f>gaz_3[[#This Row],[laczna oplata]]</f>
        <v>249.9</v>
      </c>
    </row>
    <row r="145" spans="1:16" x14ac:dyDescent="0.25">
      <c r="A145" s="1">
        <v>41639</v>
      </c>
      <c r="B145">
        <v>24390</v>
      </c>
      <c r="C145">
        <f>MONTH(gaz_3[[#This Row],[Data odczytu]])</f>
        <v>12</v>
      </c>
      <c r="D145">
        <f>gaz_3[[#This Row],[Odczyt licznika]]-B144</f>
        <v>232</v>
      </c>
      <c r="E145">
        <f>YEAR(gaz_3[[#This Row],[Data odczytu]])</f>
        <v>2013</v>
      </c>
      <c r="F145" s="4">
        <f>IF(gaz_3[[#This Row],[Zuzycie]]&gt;100,IF(gaz_3[[#This Row],[Zuzycie]]&gt;200,120,90),70)</f>
        <v>120</v>
      </c>
      <c r="G145" s="4">
        <f>VLOOKUP(gaz_3[[#This Row],[Rok]],$L$3:$M$20,2)</f>
        <v>1.23</v>
      </c>
      <c r="H145" s="4">
        <f>gaz_3[[#This Row],[cena]]*gaz_3[[#This Row],[Zuzycie]]+gaz_3[[#This Row],[taryfa]]</f>
        <v>405.36</v>
      </c>
      <c r="O145">
        <f>gaz_3[[#This Row],[Rok]]</f>
        <v>2013</v>
      </c>
      <c r="P145">
        <f>gaz_3[[#This Row],[laczna oplata]]</f>
        <v>405.36</v>
      </c>
    </row>
    <row r="146" spans="1:16" x14ac:dyDescent="0.25">
      <c r="A146" s="1">
        <v>41670</v>
      </c>
      <c r="B146">
        <v>24707</v>
      </c>
      <c r="C146">
        <f>MONTH(gaz_3[[#This Row],[Data odczytu]])</f>
        <v>1</v>
      </c>
      <c r="D146">
        <f>gaz_3[[#This Row],[Odczyt licznika]]-B145</f>
        <v>317</v>
      </c>
      <c r="E146">
        <f>YEAR(gaz_3[[#This Row],[Data odczytu]])</f>
        <v>2014</v>
      </c>
      <c r="F146" s="4">
        <f>IF(gaz_3[[#This Row],[Zuzycie]]&gt;100,IF(gaz_3[[#This Row],[Zuzycie]]&gt;200,120,90),70)</f>
        <v>120</v>
      </c>
      <c r="G146" s="4">
        <f>VLOOKUP(gaz_3[[#This Row],[Rok]],$L$3:$M$20,2)</f>
        <v>1.23</v>
      </c>
      <c r="H146" s="4">
        <f>gaz_3[[#This Row],[cena]]*gaz_3[[#This Row],[Zuzycie]]+gaz_3[[#This Row],[taryfa]]</f>
        <v>509.90999999999997</v>
      </c>
      <c r="O146">
        <f>gaz_3[[#This Row],[Rok]]</f>
        <v>2014</v>
      </c>
      <c r="P146">
        <f>gaz_3[[#This Row],[laczna oplata]]</f>
        <v>509.90999999999997</v>
      </c>
    </row>
    <row r="147" spans="1:16" x14ac:dyDescent="0.25">
      <c r="A147" s="1">
        <v>41698</v>
      </c>
      <c r="B147">
        <v>25040</v>
      </c>
      <c r="C147">
        <f>MONTH(gaz_3[[#This Row],[Data odczytu]])</f>
        <v>2</v>
      </c>
      <c r="D147">
        <f>gaz_3[[#This Row],[Odczyt licznika]]-B146</f>
        <v>333</v>
      </c>
      <c r="E147">
        <f>YEAR(gaz_3[[#This Row],[Data odczytu]])</f>
        <v>2014</v>
      </c>
      <c r="F147" s="4">
        <f>IF(gaz_3[[#This Row],[Zuzycie]]&gt;100,IF(gaz_3[[#This Row],[Zuzycie]]&gt;200,120,90),70)</f>
        <v>120</v>
      </c>
      <c r="G147" s="4">
        <f>VLOOKUP(gaz_3[[#This Row],[Rok]],$L$3:$M$20,2)</f>
        <v>1.23</v>
      </c>
      <c r="H147" s="4">
        <f>gaz_3[[#This Row],[cena]]*gaz_3[[#This Row],[Zuzycie]]+gaz_3[[#This Row],[taryfa]]</f>
        <v>529.58999999999992</v>
      </c>
      <c r="O147">
        <f>gaz_3[[#This Row],[Rok]]</f>
        <v>2014</v>
      </c>
      <c r="P147">
        <f>gaz_3[[#This Row],[laczna oplata]]</f>
        <v>529.58999999999992</v>
      </c>
    </row>
    <row r="148" spans="1:16" x14ac:dyDescent="0.25">
      <c r="A148" s="1">
        <v>41729</v>
      </c>
      <c r="B148">
        <v>25284</v>
      </c>
      <c r="C148">
        <f>MONTH(gaz_3[[#This Row],[Data odczytu]])</f>
        <v>3</v>
      </c>
      <c r="D148">
        <f>gaz_3[[#This Row],[Odczyt licznika]]-B147</f>
        <v>244</v>
      </c>
      <c r="E148">
        <f>YEAR(gaz_3[[#This Row],[Data odczytu]])</f>
        <v>2014</v>
      </c>
      <c r="F148" s="4">
        <f>IF(gaz_3[[#This Row],[Zuzycie]]&gt;100,IF(gaz_3[[#This Row],[Zuzycie]]&gt;200,120,90),70)</f>
        <v>120</v>
      </c>
      <c r="G148" s="4">
        <f>VLOOKUP(gaz_3[[#This Row],[Rok]],$L$3:$M$20,2)</f>
        <v>1.23</v>
      </c>
      <c r="H148" s="4">
        <f>gaz_3[[#This Row],[cena]]*gaz_3[[#This Row],[Zuzycie]]+gaz_3[[#This Row],[taryfa]]</f>
        <v>420.12</v>
      </c>
      <c r="O148">
        <f>gaz_3[[#This Row],[Rok]]</f>
        <v>2014</v>
      </c>
      <c r="P148">
        <f>gaz_3[[#This Row],[laczna oplata]]</f>
        <v>420.12</v>
      </c>
    </row>
    <row r="149" spans="1:16" x14ac:dyDescent="0.25">
      <c r="A149" s="1">
        <v>41759</v>
      </c>
      <c r="B149">
        <v>25403</v>
      </c>
      <c r="C149">
        <f>MONTH(gaz_3[[#This Row],[Data odczytu]])</f>
        <v>4</v>
      </c>
      <c r="D149">
        <f>gaz_3[[#This Row],[Odczyt licznika]]-B148</f>
        <v>119</v>
      </c>
      <c r="E149">
        <f>YEAR(gaz_3[[#This Row],[Data odczytu]])</f>
        <v>2014</v>
      </c>
      <c r="F149" s="4">
        <f>IF(gaz_3[[#This Row],[Zuzycie]]&gt;100,IF(gaz_3[[#This Row],[Zuzycie]]&gt;200,120,90),70)</f>
        <v>90</v>
      </c>
      <c r="G149" s="4">
        <f>VLOOKUP(gaz_3[[#This Row],[Rok]],$L$3:$M$20,2)</f>
        <v>1.23</v>
      </c>
      <c r="H149" s="4">
        <f>gaz_3[[#This Row],[cena]]*gaz_3[[#This Row],[Zuzycie]]+gaz_3[[#This Row],[taryfa]]</f>
        <v>236.37</v>
      </c>
      <c r="O149">
        <f>gaz_3[[#This Row],[Rok]]</f>
        <v>2014</v>
      </c>
      <c r="P149">
        <f>gaz_3[[#This Row],[laczna oplata]]</f>
        <v>236.37</v>
      </c>
    </row>
    <row r="150" spans="1:16" x14ac:dyDescent="0.25">
      <c r="A150" s="1">
        <v>41790</v>
      </c>
      <c r="B150">
        <v>25508</v>
      </c>
      <c r="C150">
        <f>MONTH(gaz_3[[#This Row],[Data odczytu]])</f>
        <v>5</v>
      </c>
      <c r="D150">
        <f>gaz_3[[#This Row],[Odczyt licznika]]-B149</f>
        <v>105</v>
      </c>
      <c r="E150">
        <f>YEAR(gaz_3[[#This Row],[Data odczytu]])</f>
        <v>2014</v>
      </c>
      <c r="F150" s="4">
        <f>IF(gaz_3[[#This Row],[Zuzycie]]&gt;100,IF(gaz_3[[#This Row],[Zuzycie]]&gt;200,120,90),70)</f>
        <v>90</v>
      </c>
      <c r="G150" s="4">
        <f>VLOOKUP(gaz_3[[#This Row],[Rok]],$L$3:$M$20,2)</f>
        <v>1.23</v>
      </c>
      <c r="H150" s="4">
        <f>gaz_3[[#This Row],[cena]]*gaz_3[[#This Row],[Zuzycie]]+gaz_3[[#This Row],[taryfa]]</f>
        <v>219.15</v>
      </c>
      <c r="O150">
        <f>gaz_3[[#This Row],[Rok]]</f>
        <v>2014</v>
      </c>
      <c r="P150">
        <f>gaz_3[[#This Row],[laczna oplata]]</f>
        <v>219.15</v>
      </c>
    </row>
    <row r="151" spans="1:16" x14ac:dyDescent="0.25">
      <c r="A151" s="1">
        <v>41820</v>
      </c>
      <c r="B151">
        <v>25537</v>
      </c>
      <c r="C151">
        <f>MONTH(gaz_3[[#This Row],[Data odczytu]])</f>
        <v>6</v>
      </c>
      <c r="D151">
        <f>gaz_3[[#This Row],[Odczyt licznika]]-B150</f>
        <v>29</v>
      </c>
      <c r="E151">
        <f>YEAR(gaz_3[[#This Row],[Data odczytu]])</f>
        <v>2014</v>
      </c>
      <c r="F151" s="4">
        <f>IF(gaz_3[[#This Row],[Zuzycie]]&gt;100,IF(gaz_3[[#This Row],[Zuzycie]]&gt;200,120,90),70)</f>
        <v>70</v>
      </c>
      <c r="G151" s="4">
        <f>VLOOKUP(gaz_3[[#This Row],[Rok]],$L$3:$M$20,2)</f>
        <v>1.23</v>
      </c>
      <c r="H151" s="4">
        <f>gaz_3[[#This Row],[cena]]*gaz_3[[#This Row],[Zuzycie]]+gaz_3[[#This Row],[taryfa]]</f>
        <v>105.67</v>
      </c>
      <c r="O151">
        <f>gaz_3[[#This Row],[Rok]]</f>
        <v>2014</v>
      </c>
      <c r="P151">
        <f>gaz_3[[#This Row],[laczna oplata]]</f>
        <v>105.67</v>
      </c>
    </row>
    <row r="152" spans="1:16" x14ac:dyDescent="0.25">
      <c r="A152" s="1">
        <v>41851</v>
      </c>
      <c r="B152">
        <v>25556</v>
      </c>
      <c r="C152">
        <f>MONTH(gaz_3[[#This Row],[Data odczytu]])</f>
        <v>7</v>
      </c>
      <c r="D152">
        <f>gaz_3[[#This Row],[Odczyt licznika]]-B151</f>
        <v>19</v>
      </c>
      <c r="E152">
        <f>YEAR(gaz_3[[#This Row],[Data odczytu]])</f>
        <v>2014</v>
      </c>
      <c r="F152" s="4">
        <f>IF(gaz_3[[#This Row],[Zuzycie]]&gt;100,IF(gaz_3[[#This Row],[Zuzycie]]&gt;200,120,90),70)</f>
        <v>70</v>
      </c>
      <c r="G152" s="4">
        <f>VLOOKUP(gaz_3[[#This Row],[Rok]],$L$3:$M$20,2)</f>
        <v>1.23</v>
      </c>
      <c r="H152" s="4">
        <f>gaz_3[[#This Row],[cena]]*gaz_3[[#This Row],[Zuzycie]]+gaz_3[[#This Row],[taryfa]]</f>
        <v>93.37</v>
      </c>
      <c r="O152">
        <f>gaz_3[[#This Row],[Rok]]</f>
        <v>2014</v>
      </c>
      <c r="P152">
        <f>gaz_3[[#This Row],[laczna oplata]]</f>
        <v>93.37</v>
      </c>
    </row>
    <row r="153" spans="1:16" x14ac:dyDescent="0.25">
      <c r="A153" s="1">
        <v>41882</v>
      </c>
      <c r="B153">
        <v>25569</v>
      </c>
      <c r="C153">
        <f>MONTH(gaz_3[[#This Row],[Data odczytu]])</f>
        <v>8</v>
      </c>
      <c r="D153">
        <f>gaz_3[[#This Row],[Odczyt licznika]]-B152</f>
        <v>13</v>
      </c>
      <c r="E153">
        <f>YEAR(gaz_3[[#This Row],[Data odczytu]])</f>
        <v>2014</v>
      </c>
      <c r="F153" s="4">
        <f>IF(gaz_3[[#This Row],[Zuzycie]]&gt;100,IF(gaz_3[[#This Row],[Zuzycie]]&gt;200,120,90),70)</f>
        <v>70</v>
      </c>
      <c r="G153" s="4">
        <f>VLOOKUP(gaz_3[[#This Row],[Rok]],$L$3:$M$20,2)</f>
        <v>1.23</v>
      </c>
      <c r="H153" s="4">
        <f>gaz_3[[#This Row],[cena]]*gaz_3[[#This Row],[Zuzycie]]+gaz_3[[#This Row],[taryfa]]</f>
        <v>85.99</v>
      </c>
      <c r="O153">
        <f>gaz_3[[#This Row],[Rok]]</f>
        <v>2014</v>
      </c>
      <c r="P153">
        <f>gaz_3[[#This Row],[laczna oplata]]</f>
        <v>85.99</v>
      </c>
    </row>
    <row r="154" spans="1:16" x14ac:dyDescent="0.25">
      <c r="A154" s="1">
        <v>41912</v>
      </c>
      <c r="B154">
        <v>25708</v>
      </c>
      <c r="C154">
        <f>MONTH(gaz_3[[#This Row],[Data odczytu]])</f>
        <v>9</v>
      </c>
      <c r="D154">
        <f>gaz_3[[#This Row],[Odczyt licznika]]-B153</f>
        <v>139</v>
      </c>
      <c r="E154">
        <f>YEAR(gaz_3[[#This Row],[Data odczytu]])</f>
        <v>2014</v>
      </c>
      <c r="F154" s="4">
        <f>IF(gaz_3[[#This Row],[Zuzycie]]&gt;100,IF(gaz_3[[#This Row],[Zuzycie]]&gt;200,120,90),70)</f>
        <v>90</v>
      </c>
      <c r="G154" s="4">
        <f>VLOOKUP(gaz_3[[#This Row],[Rok]],$L$3:$M$20,2)</f>
        <v>1.23</v>
      </c>
      <c r="H154" s="4">
        <f>gaz_3[[#This Row],[cena]]*gaz_3[[#This Row],[Zuzycie]]+gaz_3[[#This Row],[taryfa]]</f>
        <v>260.97000000000003</v>
      </c>
      <c r="O154">
        <f>gaz_3[[#This Row],[Rok]]</f>
        <v>2014</v>
      </c>
      <c r="P154">
        <f>gaz_3[[#This Row],[laczna oplata]]</f>
        <v>260.97000000000003</v>
      </c>
    </row>
    <row r="155" spans="1:16" x14ac:dyDescent="0.25">
      <c r="A155" s="1">
        <v>41943</v>
      </c>
      <c r="B155">
        <v>25883</v>
      </c>
      <c r="C155">
        <f>MONTH(gaz_3[[#This Row],[Data odczytu]])</f>
        <v>10</v>
      </c>
      <c r="D155">
        <f>gaz_3[[#This Row],[Odczyt licznika]]-B154</f>
        <v>175</v>
      </c>
      <c r="E155">
        <f>YEAR(gaz_3[[#This Row],[Data odczytu]])</f>
        <v>2014</v>
      </c>
      <c r="F155" s="4">
        <f>IF(gaz_3[[#This Row],[Zuzycie]]&gt;100,IF(gaz_3[[#This Row],[Zuzycie]]&gt;200,120,90),70)</f>
        <v>90</v>
      </c>
      <c r="G155" s="4">
        <f>VLOOKUP(gaz_3[[#This Row],[Rok]],$L$3:$M$20,2)</f>
        <v>1.23</v>
      </c>
      <c r="H155" s="4">
        <f>gaz_3[[#This Row],[cena]]*gaz_3[[#This Row],[Zuzycie]]+gaz_3[[#This Row],[taryfa]]</f>
        <v>305.25</v>
      </c>
      <c r="O155">
        <f>gaz_3[[#This Row],[Rok]]</f>
        <v>2014</v>
      </c>
      <c r="P155">
        <f>gaz_3[[#This Row],[laczna oplata]]</f>
        <v>305.25</v>
      </c>
    </row>
    <row r="156" spans="1:16" x14ac:dyDescent="0.25">
      <c r="A156" s="1">
        <v>41973</v>
      </c>
      <c r="B156">
        <v>26183</v>
      </c>
      <c r="C156">
        <f>MONTH(gaz_3[[#This Row],[Data odczytu]])</f>
        <v>11</v>
      </c>
      <c r="D156">
        <f>gaz_3[[#This Row],[Odczyt licznika]]-B155</f>
        <v>300</v>
      </c>
      <c r="E156">
        <f>YEAR(gaz_3[[#This Row],[Data odczytu]])</f>
        <v>2014</v>
      </c>
      <c r="F156" s="4">
        <f>IF(gaz_3[[#This Row],[Zuzycie]]&gt;100,IF(gaz_3[[#This Row],[Zuzycie]]&gt;200,120,90),70)</f>
        <v>120</v>
      </c>
      <c r="G156" s="4">
        <f>VLOOKUP(gaz_3[[#This Row],[Rok]],$L$3:$M$20,2)</f>
        <v>1.23</v>
      </c>
      <c r="H156" s="4">
        <f>gaz_3[[#This Row],[cena]]*gaz_3[[#This Row],[Zuzycie]]+gaz_3[[#This Row],[taryfa]]</f>
        <v>489</v>
      </c>
      <c r="O156">
        <f>gaz_3[[#This Row],[Rok]]</f>
        <v>2014</v>
      </c>
      <c r="P156">
        <f>gaz_3[[#This Row],[laczna oplata]]</f>
        <v>489</v>
      </c>
    </row>
    <row r="157" spans="1:16" x14ac:dyDescent="0.25">
      <c r="A157" s="1">
        <v>42004</v>
      </c>
      <c r="B157">
        <v>26478</v>
      </c>
      <c r="C157">
        <f>MONTH(gaz_3[[#This Row],[Data odczytu]])</f>
        <v>12</v>
      </c>
      <c r="D157">
        <f>gaz_3[[#This Row],[Odczyt licznika]]-B156</f>
        <v>295</v>
      </c>
      <c r="E157">
        <f>YEAR(gaz_3[[#This Row],[Data odczytu]])</f>
        <v>2014</v>
      </c>
      <c r="F157" s="4">
        <f>IF(gaz_3[[#This Row],[Zuzycie]]&gt;100,IF(gaz_3[[#This Row],[Zuzycie]]&gt;200,120,90),70)</f>
        <v>120</v>
      </c>
      <c r="G157" s="4">
        <f>VLOOKUP(gaz_3[[#This Row],[Rok]],$L$3:$M$20,2)</f>
        <v>1.23</v>
      </c>
      <c r="H157" s="4">
        <f>gaz_3[[#This Row],[cena]]*gaz_3[[#This Row],[Zuzycie]]+gaz_3[[#This Row],[taryfa]]</f>
        <v>482.85</v>
      </c>
      <c r="O157">
        <f>gaz_3[[#This Row],[Rok]]</f>
        <v>2014</v>
      </c>
      <c r="P157">
        <f>gaz_3[[#This Row],[laczna oplata]]</f>
        <v>482.85</v>
      </c>
    </row>
    <row r="158" spans="1:16" x14ac:dyDescent="0.25">
      <c r="A158" s="1">
        <v>42035</v>
      </c>
      <c r="B158">
        <v>26808</v>
      </c>
      <c r="C158">
        <f>MONTH(gaz_3[[#This Row],[Data odczytu]])</f>
        <v>1</v>
      </c>
      <c r="D158">
        <f>gaz_3[[#This Row],[Odczyt licznika]]-B157</f>
        <v>330</v>
      </c>
      <c r="E158">
        <f>YEAR(gaz_3[[#This Row],[Data odczytu]])</f>
        <v>2015</v>
      </c>
      <c r="F158" s="4">
        <f>IF(gaz_3[[#This Row],[Zuzycie]]&gt;100,IF(gaz_3[[#This Row],[Zuzycie]]&gt;200,120,90),70)</f>
        <v>120</v>
      </c>
      <c r="G158" s="4">
        <f>VLOOKUP(gaz_3[[#This Row],[Rok]],$L$3:$M$20,2)</f>
        <v>1.2</v>
      </c>
      <c r="H158" s="4">
        <f>gaz_3[[#This Row],[cena]]*gaz_3[[#This Row],[Zuzycie]]+gaz_3[[#This Row],[taryfa]]</f>
        <v>516</v>
      </c>
      <c r="O158">
        <f>gaz_3[[#This Row],[Rok]]</f>
        <v>2015</v>
      </c>
      <c r="P158">
        <f>gaz_3[[#This Row],[laczna oplata]]</f>
        <v>516</v>
      </c>
    </row>
    <row r="159" spans="1:16" x14ac:dyDescent="0.25">
      <c r="A159" s="1">
        <v>42063</v>
      </c>
      <c r="B159">
        <v>27156</v>
      </c>
      <c r="C159">
        <f>MONTH(gaz_3[[#This Row],[Data odczytu]])</f>
        <v>2</v>
      </c>
      <c r="D159">
        <f>gaz_3[[#This Row],[Odczyt licznika]]-B158</f>
        <v>348</v>
      </c>
      <c r="E159">
        <f>YEAR(gaz_3[[#This Row],[Data odczytu]])</f>
        <v>2015</v>
      </c>
      <c r="F159" s="4">
        <f>IF(gaz_3[[#This Row],[Zuzycie]]&gt;100,IF(gaz_3[[#This Row],[Zuzycie]]&gt;200,120,90),70)</f>
        <v>120</v>
      </c>
      <c r="G159" s="4">
        <f>VLOOKUP(gaz_3[[#This Row],[Rok]],$L$3:$M$20,2)</f>
        <v>1.2</v>
      </c>
      <c r="H159" s="4">
        <f>gaz_3[[#This Row],[cena]]*gaz_3[[#This Row],[Zuzycie]]+gaz_3[[#This Row],[taryfa]]</f>
        <v>537.59999999999991</v>
      </c>
      <c r="O159">
        <f>gaz_3[[#This Row],[Rok]]</f>
        <v>2015</v>
      </c>
      <c r="P159">
        <f>gaz_3[[#This Row],[laczna oplata]]</f>
        <v>537.59999999999991</v>
      </c>
    </row>
    <row r="160" spans="1:16" x14ac:dyDescent="0.25">
      <c r="A160" s="1">
        <v>42094</v>
      </c>
      <c r="B160">
        <v>27366</v>
      </c>
      <c r="C160">
        <f>MONTH(gaz_3[[#This Row],[Data odczytu]])</f>
        <v>3</v>
      </c>
      <c r="D160">
        <f>gaz_3[[#This Row],[Odczyt licznika]]-B159</f>
        <v>210</v>
      </c>
      <c r="E160">
        <f>YEAR(gaz_3[[#This Row],[Data odczytu]])</f>
        <v>2015</v>
      </c>
      <c r="F160" s="4">
        <f>IF(gaz_3[[#This Row],[Zuzycie]]&gt;100,IF(gaz_3[[#This Row],[Zuzycie]]&gt;200,120,90),70)</f>
        <v>120</v>
      </c>
      <c r="G160" s="4">
        <f>VLOOKUP(gaz_3[[#This Row],[Rok]],$L$3:$M$20,2)</f>
        <v>1.2</v>
      </c>
      <c r="H160" s="4">
        <f>gaz_3[[#This Row],[cena]]*gaz_3[[#This Row],[Zuzycie]]+gaz_3[[#This Row],[taryfa]]</f>
        <v>372</v>
      </c>
      <c r="O160">
        <f>gaz_3[[#This Row],[Rok]]</f>
        <v>2015</v>
      </c>
      <c r="P160">
        <f>gaz_3[[#This Row],[laczna oplata]]</f>
        <v>372</v>
      </c>
    </row>
    <row r="161" spans="1:16" x14ac:dyDescent="0.25">
      <c r="A161" s="1">
        <v>42124</v>
      </c>
      <c r="B161">
        <v>27501</v>
      </c>
      <c r="C161">
        <f>MONTH(gaz_3[[#This Row],[Data odczytu]])</f>
        <v>4</v>
      </c>
      <c r="D161">
        <f>gaz_3[[#This Row],[Odczyt licznika]]-B160</f>
        <v>135</v>
      </c>
      <c r="E161">
        <f>YEAR(gaz_3[[#This Row],[Data odczytu]])</f>
        <v>2015</v>
      </c>
      <c r="F161" s="4">
        <f>IF(gaz_3[[#This Row],[Zuzycie]]&gt;100,IF(gaz_3[[#This Row],[Zuzycie]]&gt;200,120,90),70)</f>
        <v>90</v>
      </c>
      <c r="G161" s="4">
        <f>VLOOKUP(gaz_3[[#This Row],[Rok]],$L$3:$M$20,2)</f>
        <v>1.2</v>
      </c>
      <c r="H161" s="4">
        <f>gaz_3[[#This Row],[cena]]*gaz_3[[#This Row],[Zuzycie]]+gaz_3[[#This Row],[taryfa]]</f>
        <v>252</v>
      </c>
      <c r="O161">
        <f>gaz_3[[#This Row],[Rok]]</f>
        <v>2015</v>
      </c>
      <c r="P161">
        <f>gaz_3[[#This Row],[laczna oplata]]</f>
        <v>252</v>
      </c>
    </row>
    <row r="162" spans="1:16" x14ac:dyDescent="0.25">
      <c r="A162" s="1">
        <v>42155</v>
      </c>
      <c r="B162">
        <v>27661</v>
      </c>
      <c r="C162">
        <f>MONTH(gaz_3[[#This Row],[Data odczytu]])</f>
        <v>5</v>
      </c>
      <c r="D162">
        <f>gaz_3[[#This Row],[Odczyt licznika]]-B161</f>
        <v>160</v>
      </c>
      <c r="E162">
        <f>YEAR(gaz_3[[#This Row],[Data odczytu]])</f>
        <v>2015</v>
      </c>
      <c r="F162" s="4">
        <f>IF(gaz_3[[#This Row],[Zuzycie]]&gt;100,IF(gaz_3[[#This Row],[Zuzycie]]&gt;200,120,90),70)</f>
        <v>90</v>
      </c>
      <c r="G162" s="4">
        <f>VLOOKUP(gaz_3[[#This Row],[Rok]],$L$3:$M$20,2)</f>
        <v>1.2</v>
      </c>
      <c r="H162" s="4">
        <f>gaz_3[[#This Row],[cena]]*gaz_3[[#This Row],[Zuzycie]]+gaz_3[[#This Row],[taryfa]]</f>
        <v>282</v>
      </c>
      <c r="O162">
        <f>gaz_3[[#This Row],[Rok]]</f>
        <v>2015</v>
      </c>
      <c r="P162">
        <f>gaz_3[[#This Row],[laczna oplata]]</f>
        <v>282</v>
      </c>
    </row>
    <row r="163" spans="1:16" x14ac:dyDescent="0.25">
      <c r="A163" s="1">
        <v>42185</v>
      </c>
      <c r="B163">
        <v>27752</v>
      </c>
      <c r="C163">
        <f>MONTH(gaz_3[[#This Row],[Data odczytu]])</f>
        <v>6</v>
      </c>
      <c r="D163">
        <f>gaz_3[[#This Row],[Odczyt licznika]]-B162</f>
        <v>91</v>
      </c>
      <c r="E163">
        <f>YEAR(gaz_3[[#This Row],[Data odczytu]])</f>
        <v>2015</v>
      </c>
      <c r="F163" s="4">
        <f>IF(gaz_3[[#This Row],[Zuzycie]]&gt;100,IF(gaz_3[[#This Row],[Zuzycie]]&gt;200,120,90),70)</f>
        <v>70</v>
      </c>
      <c r="G163" s="4">
        <f>VLOOKUP(gaz_3[[#This Row],[Rok]],$L$3:$M$20,2)</f>
        <v>1.2</v>
      </c>
      <c r="H163" s="4">
        <f>gaz_3[[#This Row],[cena]]*gaz_3[[#This Row],[Zuzycie]]+gaz_3[[#This Row],[taryfa]]</f>
        <v>179.2</v>
      </c>
      <c r="O163">
        <f>gaz_3[[#This Row],[Rok]]</f>
        <v>2015</v>
      </c>
      <c r="P163">
        <f>gaz_3[[#This Row],[laczna oplata]]</f>
        <v>179.2</v>
      </c>
    </row>
    <row r="164" spans="1:16" x14ac:dyDescent="0.25">
      <c r="A164" s="1">
        <v>42216</v>
      </c>
      <c r="B164">
        <v>27767</v>
      </c>
      <c r="C164">
        <f>MONTH(gaz_3[[#This Row],[Data odczytu]])</f>
        <v>7</v>
      </c>
      <c r="D164">
        <f>gaz_3[[#This Row],[Odczyt licznika]]-B163</f>
        <v>15</v>
      </c>
      <c r="E164">
        <f>YEAR(gaz_3[[#This Row],[Data odczytu]])</f>
        <v>2015</v>
      </c>
      <c r="F164" s="4">
        <f>IF(gaz_3[[#This Row],[Zuzycie]]&gt;100,IF(gaz_3[[#This Row],[Zuzycie]]&gt;200,120,90),70)</f>
        <v>70</v>
      </c>
      <c r="G164" s="4">
        <f>VLOOKUP(gaz_3[[#This Row],[Rok]],$L$3:$M$20,2)</f>
        <v>1.2</v>
      </c>
      <c r="H164" s="4">
        <f>gaz_3[[#This Row],[cena]]*gaz_3[[#This Row],[Zuzycie]]+gaz_3[[#This Row],[taryfa]]</f>
        <v>88</v>
      </c>
      <c r="O164">
        <f>gaz_3[[#This Row],[Rok]]</f>
        <v>2015</v>
      </c>
      <c r="P164">
        <f>gaz_3[[#This Row],[laczna oplata]]</f>
        <v>88</v>
      </c>
    </row>
    <row r="165" spans="1:16" x14ac:dyDescent="0.25">
      <c r="A165" s="1">
        <v>42247</v>
      </c>
      <c r="B165">
        <v>27783</v>
      </c>
      <c r="C165">
        <f>MONTH(gaz_3[[#This Row],[Data odczytu]])</f>
        <v>8</v>
      </c>
      <c r="D165">
        <f>gaz_3[[#This Row],[Odczyt licznika]]-B164</f>
        <v>16</v>
      </c>
      <c r="E165">
        <f>YEAR(gaz_3[[#This Row],[Data odczytu]])</f>
        <v>2015</v>
      </c>
      <c r="F165" s="4">
        <f>IF(gaz_3[[#This Row],[Zuzycie]]&gt;100,IF(gaz_3[[#This Row],[Zuzycie]]&gt;200,120,90),70)</f>
        <v>70</v>
      </c>
      <c r="G165" s="4">
        <f>VLOOKUP(gaz_3[[#This Row],[Rok]],$L$3:$M$20,2)</f>
        <v>1.2</v>
      </c>
      <c r="H165" s="4">
        <f>gaz_3[[#This Row],[cena]]*gaz_3[[#This Row],[Zuzycie]]+gaz_3[[#This Row],[taryfa]]</f>
        <v>89.2</v>
      </c>
      <c r="O165">
        <f>gaz_3[[#This Row],[Rok]]</f>
        <v>2015</v>
      </c>
      <c r="P165">
        <f>gaz_3[[#This Row],[laczna oplata]]</f>
        <v>89.2</v>
      </c>
    </row>
    <row r="166" spans="1:16" x14ac:dyDescent="0.25">
      <c r="A166" s="1">
        <v>42277</v>
      </c>
      <c r="B166">
        <v>27857</v>
      </c>
      <c r="C166">
        <f>MONTH(gaz_3[[#This Row],[Data odczytu]])</f>
        <v>9</v>
      </c>
      <c r="D166">
        <f>gaz_3[[#This Row],[Odczyt licznika]]-B165</f>
        <v>74</v>
      </c>
      <c r="E166">
        <f>YEAR(gaz_3[[#This Row],[Data odczytu]])</f>
        <v>2015</v>
      </c>
      <c r="F166" s="4">
        <f>IF(gaz_3[[#This Row],[Zuzycie]]&gt;100,IF(gaz_3[[#This Row],[Zuzycie]]&gt;200,120,90),70)</f>
        <v>70</v>
      </c>
      <c r="G166" s="4">
        <f>VLOOKUP(gaz_3[[#This Row],[Rok]],$L$3:$M$20,2)</f>
        <v>1.2</v>
      </c>
      <c r="H166" s="4">
        <f>gaz_3[[#This Row],[cena]]*gaz_3[[#This Row],[Zuzycie]]+gaz_3[[#This Row],[taryfa]]</f>
        <v>158.80000000000001</v>
      </c>
      <c r="O166">
        <f>gaz_3[[#This Row],[Rok]]</f>
        <v>2015</v>
      </c>
      <c r="P166">
        <f>gaz_3[[#This Row],[laczna oplata]]</f>
        <v>158.80000000000001</v>
      </c>
    </row>
    <row r="167" spans="1:16" x14ac:dyDescent="0.25">
      <c r="A167" s="1">
        <v>42308</v>
      </c>
      <c r="B167">
        <v>27978</v>
      </c>
      <c r="C167">
        <f>MONTH(gaz_3[[#This Row],[Data odczytu]])</f>
        <v>10</v>
      </c>
      <c r="D167">
        <f>gaz_3[[#This Row],[Odczyt licznika]]-B166</f>
        <v>121</v>
      </c>
      <c r="E167">
        <f>YEAR(gaz_3[[#This Row],[Data odczytu]])</f>
        <v>2015</v>
      </c>
      <c r="F167" s="4">
        <f>IF(gaz_3[[#This Row],[Zuzycie]]&gt;100,IF(gaz_3[[#This Row],[Zuzycie]]&gt;200,120,90),70)</f>
        <v>90</v>
      </c>
      <c r="G167" s="4">
        <f>VLOOKUP(gaz_3[[#This Row],[Rok]],$L$3:$M$20,2)</f>
        <v>1.2</v>
      </c>
      <c r="H167" s="4">
        <f>gaz_3[[#This Row],[cena]]*gaz_3[[#This Row],[Zuzycie]]+gaz_3[[#This Row],[taryfa]]</f>
        <v>235.2</v>
      </c>
      <c r="O167">
        <f>gaz_3[[#This Row],[Rok]]</f>
        <v>2015</v>
      </c>
      <c r="P167">
        <f>gaz_3[[#This Row],[laczna oplata]]</f>
        <v>235.2</v>
      </c>
    </row>
    <row r="168" spans="1:16" x14ac:dyDescent="0.25">
      <c r="A168" s="1">
        <v>42338</v>
      </c>
      <c r="B168">
        <v>28103</v>
      </c>
      <c r="C168">
        <f>MONTH(gaz_3[[#This Row],[Data odczytu]])</f>
        <v>11</v>
      </c>
      <c r="D168">
        <f>gaz_3[[#This Row],[Odczyt licznika]]-B167</f>
        <v>125</v>
      </c>
      <c r="E168">
        <f>YEAR(gaz_3[[#This Row],[Data odczytu]])</f>
        <v>2015</v>
      </c>
      <c r="F168" s="4">
        <f>IF(gaz_3[[#This Row],[Zuzycie]]&gt;100,IF(gaz_3[[#This Row],[Zuzycie]]&gt;200,120,90),70)</f>
        <v>90</v>
      </c>
      <c r="G168" s="4">
        <f>VLOOKUP(gaz_3[[#This Row],[Rok]],$L$3:$M$20,2)</f>
        <v>1.2</v>
      </c>
      <c r="H168" s="4">
        <f>gaz_3[[#This Row],[cena]]*gaz_3[[#This Row],[Zuzycie]]+gaz_3[[#This Row],[taryfa]]</f>
        <v>240</v>
      </c>
      <c r="O168">
        <f>gaz_3[[#This Row],[Rok]]</f>
        <v>2015</v>
      </c>
      <c r="P168">
        <f>gaz_3[[#This Row],[laczna oplata]]</f>
        <v>240</v>
      </c>
    </row>
    <row r="169" spans="1:16" x14ac:dyDescent="0.25">
      <c r="A169" s="1">
        <v>42369</v>
      </c>
      <c r="B169">
        <v>28326</v>
      </c>
      <c r="C169">
        <f>MONTH(gaz_3[[#This Row],[Data odczytu]])</f>
        <v>12</v>
      </c>
      <c r="D169">
        <f>gaz_3[[#This Row],[Odczyt licznika]]-B168</f>
        <v>223</v>
      </c>
      <c r="E169">
        <f>YEAR(gaz_3[[#This Row],[Data odczytu]])</f>
        <v>2015</v>
      </c>
      <c r="F169" s="4">
        <f>IF(gaz_3[[#This Row],[Zuzycie]]&gt;100,IF(gaz_3[[#This Row],[Zuzycie]]&gt;200,120,90),70)</f>
        <v>120</v>
      </c>
      <c r="G169" s="4">
        <f>VLOOKUP(gaz_3[[#This Row],[Rok]],$L$3:$M$20,2)</f>
        <v>1.2</v>
      </c>
      <c r="H169" s="4">
        <f>gaz_3[[#This Row],[cena]]*gaz_3[[#This Row],[Zuzycie]]+gaz_3[[#This Row],[taryfa]]</f>
        <v>387.59999999999997</v>
      </c>
      <c r="O169">
        <f>gaz_3[[#This Row],[Rok]]</f>
        <v>2015</v>
      </c>
      <c r="P169">
        <f>gaz_3[[#This Row],[laczna oplata]]</f>
        <v>387.59999999999997</v>
      </c>
    </row>
    <row r="170" spans="1:16" x14ac:dyDescent="0.25">
      <c r="A170" s="1">
        <v>42400</v>
      </c>
      <c r="B170">
        <v>28631</v>
      </c>
      <c r="C170">
        <f>MONTH(gaz_3[[#This Row],[Data odczytu]])</f>
        <v>1</v>
      </c>
      <c r="D170">
        <f>gaz_3[[#This Row],[Odczyt licznika]]-B169</f>
        <v>305</v>
      </c>
      <c r="E170">
        <f>YEAR(gaz_3[[#This Row],[Data odczytu]])</f>
        <v>2016</v>
      </c>
      <c r="F170" s="4">
        <f>IF(gaz_3[[#This Row],[Zuzycie]]&gt;100,IF(gaz_3[[#This Row],[Zuzycie]]&gt;200,120,90),70)</f>
        <v>120</v>
      </c>
      <c r="G170" s="4">
        <f>VLOOKUP(gaz_3[[#This Row],[Rok]],$L$3:$M$20,2)</f>
        <v>1.21</v>
      </c>
      <c r="H170" s="4">
        <f>gaz_3[[#This Row],[cena]]*gaz_3[[#This Row],[Zuzycie]]+gaz_3[[#This Row],[taryfa]]</f>
        <v>489.05</v>
      </c>
      <c r="O170">
        <f>gaz_3[[#This Row],[Rok]]</f>
        <v>2016</v>
      </c>
      <c r="P170">
        <f>gaz_3[[#This Row],[laczna oplata]]</f>
        <v>489.05</v>
      </c>
    </row>
    <row r="171" spans="1:16" x14ac:dyDescent="0.25">
      <c r="A171" s="1">
        <v>42428</v>
      </c>
      <c r="B171">
        <v>28931</v>
      </c>
      <c r="C171">
        <f>MONTH(gaz_3[[#This Row],[Data odczytu]])</f>
        <v>2</v>
      </c>
      <c r="D171">
        <f>gaz_3[[#This Row],[Odczyt licznika]]-B170</f>
        <v>300</v>
      </c>
      <c r="E171">
        <f>YEAR(gaz_3[[#This Row],[Data odczytu]])</f>
        <v>2016</v>
      </c>
      <c r="F171" s="4">
        <f>IF(gaz_3[[#This Row],[Zuzycie]]&gt;100,IF(gaz_3[[#This Row],[Zuzycie]]&gt;200,120,90),70)</f>
        <v>120</v>
      </c>
      <c r="G171" s="4">
        <f>VLOOKUP(gaz_3[[#This Row],[Rok]],$L$3:$M$20,2)</f>
        <v>1.21</v>
      </c>
      <c r="H171" s="4">
        <f>gaz_3[[#This Row],[cena]]*gaz_3[[#This Row],[Zuzycie]]+gaz_3[[#This Row],[taryfa]]</f>
        <v>483</v>
      </c>
      <c r="O171">
        <f>gaz_3[[#This Row],[Rok]]</f>
        <v>2016</v>
      </c>
      <c r="P171">
        <f>gaz_3[[#This Row],[laczna oplata]]</f>
        <v>483</v>
      </c>
    </row>
    <row r="172" spans="1:16" x14ac:dyDescent="0.25">
      <c r="A172" s="1">
        <v>42460</v>
      </c>
      <c r="B172">
        <v>29165</v>
      </c>
      <c r="C172">
        <f>MONTH(gaz_3[[#This Row],[Data odczytu]])</f>
        <v>3</v>
      </c>
      <c r="D172">
        <f>gaz_3[[#This Row],[Odczyt licznika]]-B171</f>
        <v>234</v>
      </c>
      <c r="E172">
        <f>YEAR(gaz_3[[#This Row],[Data odczytu]])</f>
        <v>2016</v>
      </c>
      <c r="F172" s="4">
        <f>IF(gaz_3[[#This Row],[Zuzycie]]&gt;100,IF(gaz_3[[#This Row],[Zuzycie]]&gt;200,120,90),70)</f>
        <v>120</v>
      </c>
      <c r="G172" s="4">
        <f>VLOOKUP(gaz_3[[#This Row],[Rok]],$L$3:$M$20,2)</f>
        <v>1.21</v>
      </c>
      <c r="H172" s="4">
        <f>gaz_3[[#This Row],[cena]]*gaz_3[[#This Row],[Zuzycie]]+gaz_3[[#This Row],[taryfa]]</f>
        <v>403.14</v>
      </c>
      <c r="O172">
        <f>gaz_3[[#This Row],[Rok]]</f>
        <v>2016</v>
      </c>
      <c r="P172">
        <f>gaz_3[[#This Row],[laczna oplata]]</f>
        <v>403.14</v>
      </c>
    </row>
    <row r="173" spans="1:16" x14ac:dyDescent="0.25">
      <c r="A173" s="1">
        <v>42490</v>
      </c>
      <c r="B173">
        <v>29279</v>
      </c>
      <c r="C173">
        <f>MONTH(gaz_3[[#This Row],[Data odczytu]])</f>
        <v>4</v>
      </c>
      <c r="D173">
        <f>gaz_3[[#This Row],[Odczyt licznika]]-B172</f>
        <v>114</v>
      </c>
      <c r="E173">
        <f>YEAR(gaz_3[[#This Row],[Data odczytu]])</f>
        <v>2016</v>
      </c>
      <c r="F173" s="4">
        <f>IF(gaz_3[[#This Row],[Zuzycie]]&gt;100,IF(gaz_3[[#This Row],[Zuzycie]]&gt;200,120,90),70)</f>
        <v>90</v>
      </c>
      <c r="G173" s="4">
        <f>VLOOKUP(gaz_3[[#This Row],[Rok]],$L$3:$M$20,2)</f>
        <v>1.21</v>
      </c>
      <c r="H173" s="4">
        <f>gaz_3[[#This Row],[cena]]*gaz_3[[#This Row],[Zuzycie]]+gaz_3[[#This Row],[taryfa]]</f>
        <v>227.94</v>
      </c>
      <c r="O173">
        <f>gaz_3[[#This Row],[Rok]]</f>
        <v>2016</v>
      </c>
      <c r="P173">
        <f>gaz_3[[#This Row],[laczna oplata]]</f>
        <v>227.94</v>
      </c>
    </row>
    <row r="174" spans="1:16" x14ac:dyDescent="0.25">
      <c r="A174" s="1">
        <v>42521</v>
      </c>
      <c r="B174">
        <v>29381</v>
      </c>
      <c r="C174">
        <f>MONTH(gaz_3[[#This Row],[Data odczytu]])</f>
        <v>5</v>
      </c>
      <c r="D174">
        <f>gaz_3[[#This Row],[Odczyt licznika]]-B173</f>
        <v>102</v>
      </c>
      <c r="E174">
        <f>YEAR(gaz_3[[#This Row],[Data odczytu]])</f>
        <v>2016</v>
      </c>
      <c r="F174" s="4">
        <f>IF(gaz_3[[#This Row],[Zuzycie]]&gt;100,IF(gaz_3[[#This Row],[Zuzycie]]&gt;200,120,90),70)</f>
        <v>90</v>
      </c>
      <c r="G174" s="4">
        <f>VLOOKUP(gaz_3[[#This Row],[Rok]],$L$3:$M$20,2)</f>
        <v>1.21</v>
      </c>
      <c r="H174" s="4">
        <f>gaz_3[[#This Row],[cena]]*gaz_3[[#This Row],[Zuzycie]]+gaz_3[[#This Row],[taryfa]]</f>
        <v>213.42000000000002</v>
      </c>
      <c r="O174">
        <f>gaz_3[[#This Row],[Rok]]</f>
        <v>2016</v>
      </c>
      <c r="P174">
        <f>gaz_3[[#This Row],[laczna oplata]]</f>
        <v>213.42000000000002</v>
      </c>
    </row>
    <row r="175" spans="1:16" x14ac:dyDescent="0.25">
      <c r="A175" s="1">
        <v>42551</v>
      </c>
      <c r="B175">
        <v>29409</v>
      </c>
      <c r="C175">
        <f>MONTH(gaz_3[[#This Row],[Data odczytu]])</f>
        <v>6</v>
      </c>
      <c r="D175">
        <f>gaz_3[[#This Row],[Odczyt licznika]]-B174</f>
        <v>28</v>
      </c>
      <c r="E175">
        <f>YEAR(gaz_3[[#This Row],[Data odczytu]])</f>
        <v>2016</v>
      </c>
      <c r="F175" s="4">
        <f>IF(gaz_3[[#This Row],[Zuzycie]]&gt;100,IF(gaz_3[[#This Row],[Zuzycie]]&gt;200,120,90),70)</f>
        <v>70</v>
      </c>
      <c r="G175" s="4">
        <f>VLOOKUP(gaz_3[[#This Row],[Rok]],$L$3:$M$20,2)</f>
        <v>1.21</v>
      </c>
      <c r="H175" s="4">
        <f>gaz_3[[#This Row],[cena]]*gaz_3[[#This Row],[Zuzycie]]+gaz_3[[#This Row],[taryfa]]</f>
        <v>103.88</v>
      </c>
      <c r="O175">
        <f>gaz_3[[#This Row],[Rok]]</f>
        <v>2016</v>
      </c>
      <c r="P175">
        <f>gaz_3[[#This Row],[laczna oplata]]</f>
        <v>103.88</v>
      </c>
    </row>
    <row r="176" spans="1:16" x14ac:dyDescent="0.25">
      <c r="A176" s="1">
        <v>42582</v>
      </c>
      <c r="B176">
        <v>29427</v>
      </c>
      <c r="C176">
        <f>MONTH(gaz_3[[#This Row],[Data odczytu]])</f>
        <v>7</v>
      </c>
      <c r="D176">
        <f>gaz_3[[#This Row],[Odczyt licznika]]-B175</f>
        <v>18</v>
      </c>
      <c r="E176">
        <f>YEAR(gaz_3[[#This Row],[Data odczytu]])</f>
        <v>2016</v>
      </c>
      <c r="F176" s="4">
        <f>IF(gaz_3[[#This Row],[Zuzycie]]&gt;100,IF(gaz_3[[#This Row],[Zuzycie]]&gt;200,120,90),70)</f>
        <v>70</v>
      </c>
      <c r="G176" s="4">
        <f>VLOOKUP(gaz_3[[#This Row],[Rok]],$L$3:$M$20,2)</f>
        <v>1.21</v>
      </c>
      <c r="H176" s="4">
        <f>gaz_3[[#This Row],[cena]]*gaz_3[[#This Row],[Zuzycie]]+gaz_3[[#This Row],[taryfa]]</f>
        <v>91.78</v>
      </c>
      <c r="O176">
        <f>gaz_3[[#This Row],[Rok]]</f>
        <v>2016</v>
      </c>
      <c r="P176">
        <f>gaz_3[[#This Row],[laczna oplata]]</f>
        <v>91.78</v>
      </c>
    </row>
    <row r="177" spans="1:16" x14ac:dyDescent="0.25">
      <c r="A177" s="1">
        <v>42613</v>
      </c>
      <c r="B177">
        <v>29440</v>
      </c>
      <c r="C177">
        <f>MONTH(gaz_3[[#This Row],[Data odczytu]])</f>
        <v>8</v>
      </c>
      <c r="D177">
        <f>gaz_3[[#This Row],[Odczyt licznika]]-B176</f>
        <v>13</v>
      </c>
      <c r="E177">
        <f>YEAR(gaz_3[[#This Row],[Data odczytu]])</f>
        <v>2016</v>
      </c>
      <c r="F177" s="4">
        <f>IF(gaz_3[[#This Row],[Zuzycie]]&gt;100,IF(gaz_3[[#This Row],[Zuzycie]]&gt;200,120,90),70)</f>
        <v>70</v>
      </c>
      <c r="G177" s="4">
        <f>VLOOKUP(gaz_3[[#This Row],[Rok]],$L$3:$M$20,2)</f>
        <v>1.21</v>
      </c>
      <c r="H177" s="4">
        <f>gaz_3[[#This Row],[cena]]*gaz_3[[#This Row],[Zuzycie]]+gaz_3[[#This Row],[taryfa]]</f>
        <v>85.73</v>
      </c>
      <c r="O177">
        <f>gaz_3[[#This Row],[Rok]]</f>
        <v>2016</v>
      </c>
      <c r="P177">
        <f>gaz_3[[#This Row],[laczna oplata]]</f>
        <v>85.73</v>
      </c>
    </row>
    <row r="178" spans="1:16" x14ac:dyDescent="0.25">
      <c r="A178" s="1">
        <v>42643</v>
      </c>
      <c r="B178">
        <v>29574</v>
      </c>
      <c r="C178">
        <f>MONTH(gaz_3[[#This Row],[Data odczytu]])</f>
        <v>9</v>
      </c>
      <c r="D178">
        <f>gaz_3[[#This Row],[Odczyt licznika]]-B177</f>
        <v>134</v>
      </c>
      <c r="E178">
        <f>YEAR(gaz_3[[#This Row],[Data odczytu]])</f>
        <v>2016</v>
      </c>
      <c r="F178" s="4">
        <f>IF(gaz_3[[#This Row],[Zuzycie]]&gt;100,IF(gaz_3[[#This Row],[Zuzycie]]&gt;200,120,90),70)</f>
        <v>90</v>
      </c>
      <c r="G178" s="4">
        <f>VLOOKUP(gaz_3[[#This Row],[Rok]],$L$3:$M$20,2)</f>
        <v>1.21</v>
      </c>
      <c r="H178" s="4">
        <f>gaz_3[[#This Row],[cena]]*gaz_3[[#This Row],[Zuzycie]]+gaz_3[[#This Row],[taryfa]]</f>
        <v>252.14</v>
      </c>
      <c r="O178">
        <f>gaz_3[[#This Row],[Rok]]</f>
        <v>2016</v>
      </c>
      <c r="P178">
        <f>gaz_3[[#This Row],[laczna oplata]]</f>
        <v>252.14</v>
      </c>
    </row>
    <row r="179" spans="1:16" x14ac:dyDescent="0.25">
      <c r="A179" s="1">
        <v>42674</v>
      </c>
      <c r="B179">
        <v>29743</v>
      </c>
      <c r="C179">
        <f>MONTH(gaz_3[[#This Row],[Data odczytu]])</f>
        <v>10</v>
      </c>
      <c r="D179">
        <f>gaz_3[[#This Row],[Odczyt licznika]]-B178</f>
        <v>169</v>
      </c>
      <c r="E179">
        <f>YEAR(gaz_3[[#This Row],[Data odczytu]])</f>
        <v>2016</v>
      </c>
      <c r="F179" s="4">
        <f>IF(gaz_3[[#This Row],[Zuzycie]]&gt;100,IF(gaz_3[[#This Row],[Zuzycie]]&gt;200,120,90),70)</f>
        <v>90</v>
      </c>
      <c r="G179" s="4">
        <f>VLOOKUP(gaz_3[[#This Row],[Rok]],$L$3:$M$20,2)</f>
        <v>1.21</v>
      </c>
      <c r="H179" s="4">
        <f>gaz_3[[#This Row],[cena]]*gaz_3[[#This Row],[Zuzycie]]+gaz_3[[#This Row],[taryfa]]</f>
        <v>294.49</v>
      </c>
      <c r="O179">
        <f>gaz_3[[#This Row],[Rok]]</f>
        <v>2016</v>
      </c>
      <c r="P179">
        <f>gaz_3[[#This Row],[laczna oplata]]</f>
        <v>294.49</v>
      </c>
    </row>
    <row r="180" spans="1:16" x14ac:dyDescent="0.25">
      <c r="A180" s="1">
        <v>42704</v>
      </c>
      <c r="B180">
        <v>30031</v>
      </c>
      <c r="C180">
        <f>MONTH(gaz_3[[#This Row],[Data odczytu]])</f>
        <v>11</v>
      </c>
      <c r="D180">
        <f>gaz_3[[#This Row],[Odczyt licznika]]-B179</f>
        <v>288</v>
      </c>
      <c r="E180">
        <f>YEAR(gaz_3[[#This Row],[Data odczytu]])</f>
        <v>2016</v>
      </c>
      <c r="F180" s="4">
        <f>IF(gaz_3[[#This Row],[Zuzycie]]&gt;100,IF(gaz_3[[#This Row],[Zuzycie]]&gt;200,120,90),70)</f>
        <v>120</v>
      </c>
      <c r="G180" s="4">
        <f>VLOOKUP(gaz_3[[#This Row],[Rok]],$L$3:$M$20,2)</f>
        <v>1.21</v>
      </c>
      <c r="H180" s="4">
        <f>gaz_3[[#This Row],[cena]]*gaz_3[[#This Row],[Zuzycie]]+gaz_3[[#This Row],[taryfa]]</f>
        <v>468.48</v>
      </c>
      <c r="O180">
        <f>gaz_3[[#This Row],[Rok]]</f>
        <v>2016</v>
      </c>
      <c r="P180">
        <f>gaz_3[[#This Row],[laczna oplata]]</f>
        <v>468.48</v>
      </c>
    </row>
    <row r="181" spans="1:16" x14ac:dyDescent="0.25">
      <c r="A181" s="1">
        <v>42735</v>
      </c>
      <c r="B181">
        <v>30314</v>
      </c>
      <c r="C181">
        <f>MONTH(gaz_3[[#This Row],[Data odczytu]])</f>
        <v>12</v>
      </c>
      <c r="D181">
        <f>gaz_3[[#This Row],[Odczyt licznika]]-B180</f>
        <v>283</v>
      </c>
      <c r="E181">
        <f>YEAR(gaz_3[[#This Row],[Data odczytu]])</f>
        <v>2016</v>
      </c>
      <c r="F181" s="4">
        <f>IF(gaz_3[[#This Row],[Zuzycie]]&gt;100,IF(gaz_3[[#This Row],[Zuzycie]]&gt;200,120,90),70)</f>
        <v>120</v>
      </c>
      <c r="G181" s="4">
        <f>VLOOKUP(gaz_3[[#This Row],[Rok]],$L$3:$M$20,2)</f>
        <v>1.21</v>
      </c>
      <c r="H181" s="4">
        <f>gaz_3[[#This Row],[cena]]*gaz_3[[#This Row],[Zuzycie]]+gaz_3[[#This Row],[taryfa]]</f>
        <v>462.43</v>
      </c>
      <c r="O181">
        <f>gaz_3[[#This Row],[Rok]]</f>
        <v>2016</v>
      </c>
      <c r="P181">
        <f>gaz_3[[#This Row],[laczna oplata]]</f>
        <v>462.43</v>
      </c>
    </row>
    <row r="182" spans="1:16" x14ac:dyDescent="0.25">
      <c r="A182" s="1">
        <v>42766</v>
      </c>
      <c r="B182">
        <v>30630</v>
      </c>
      <c r="C182">
        <f>MONTH(gaz_3[[#This Row],[Data odczytu]])</f>
        <v>1</v>
      </c>
      <c r="D182">
        <f>gaz_3[[#This Row],[Odczyt licznika]]-B181</f>
        <v>316</v>
      </c>
      <c r="E182">
        <f>YEAR(gaz_3[[#This Row],[Data odczytu]])</f>
        <v>2017</v>
      </c>
      <c r="F182" s="4">
        <f>IF(gaz_3[[#This Row],[Zuzycie]]&gt;100,IF(gaz_3[[#This Row],[Zuzycie]]&gt;200,120,90),70)</f>
        <v>120</v>
      </c>
      <c r="G182" s="4">
        <f>VLOOKUP(gaz_3[[#This Row],[Rok]],$L$3:$M$20,2)</f>
        <v>1.21</v>
      </c>
      <c r="H182" s="4">
        <f>gaz_3[[#This Row],[cena]]*gaz_3[[#This Row],[Zuzycie]]+gaz_3[[#This Row],[taryfa]]</f>
        <v>502.36</v>
      </c>
      <c r="O182">
        <f>gaz_3[[#This Row],[Rok]]</f>
        <v>2017</v>
      </c>
      <c r="P182">
        <f>gaz_3[[#This Row],[laczna oplata]]</f>
        <v>502.36</v>
      </c>
    </row>
    <row r="183" spans="1:16" x14ac:dyDescent="0.25">
      <c r="A183" s="1">
        <v>42794</v>
      </c>
      <c r="B183">
        <v>30964</v>
      </c>
      <c r="C183">
        <f>MONTH(gaz_3[[#This Row],[Data odczytu]])</f>
        <v>2</v>
      </c>
      <c r="D183">
        <f>gaz_3[[#This Row],[Odczyt licznika]]-B182</f>
        <v>334</v>
      </c>
      <c r="E183">
        <f>YEAR(gaz_3[[#This Row],[Data odczytu]])</f>
        <v>2017</v>
      </c>
      <c r="F183" s="4">
        <f>IF(gaz_3[[#This Row],[Zuzycie]]&gt;100,IF(gaz_3[[#This Row],[Zuzycie]]&gt;200,120,90),70)</f>
        <v>120</v>
      </c>
      <c r="G183" s="4">
        <f>VLOOKUP(gaz_3[[#This Row],[Rok]],$L$3:$M$20,2)</f>
        <v>1.21</v>
      </c>
      <c r="H183" s="4">
        <f>gaz_3[[#This Row],[cena]]*gaz_3[[#This Row],[Zuzycie]]+gaz_3[[#This Row],[taryfa]]</f>
        <v>524.14</v>
      </c>
      <c r="O183">
        <f>gaz_3[[#This Row],[Rok]]</f>
        <v>2017</v>
      </c>
      <c r="P183">
        <f>gaz_3[[#This Row],[laczna oplata]]</f>
        <v>524.14</v>
      </c>
    </row>
    <row r="184" spans="1:16" x14ac:dyDescent="0.25">
      <c r="A184" s="1">
        <v>42825</v>
      </c>
      <c r="B184">
        <v>31166</v>
      </c>
      <c r="C184">
        <f>MONTH(gaz_3[[#This Row],[Data odczytu]])</f>
        <v>3</v>
      </c>
      <c r="D184">
        <f>gaz_3[[#This Row],[Odczyt licznika]]-B183</f>
        <v>202</v>
      </c>
      <c r="E184">
        <f>YEAR(gaz_3[[#This Row],[Data odczytu]])</f>
        <v>2017</v>
      </c>
      <c r="F184" s="4">
        <f>IF(gaz_3[[#This Row],[Zuzycie]]&gt;100,IF(gaz_3[[#This Row],[Zuzycie]]&gt;200,120,90),70)</f>
        <v>120</v>
      </c>
      <c r="G184" s="4">
        <f>VLOOKUP(gaz_3[[#This Row],[Rok]],$L$3:$M$20,2)</f>
        <v>1.21</v>
      </c>
      <c r="H184" s="4">
        <f>gaz_3[[#This Row],[cena]]*gaz_3[[#This Row],[Zuzycie]]+gaz_3[[#This Row],[taryfa]]</f>
        <v>364.41999999999996</v>
      </c>
      <c r="O184">
        <f>gaz_3[[#This Row],[Rok]]</f>
        <v>2017</v>
      </c>
      <c r="P184">
        <f>gaz_3[[#This Row],[laczna oplata]]</f>
        <v>364.41999999999996</v>
      </c>
    </row>
    <row r="185" spans="1:16" x14ac:dyDescent="0.25">
      <c r="A185" s="1">
        <v>42855</v>
      </c>
      <c r="B185">
        <v>31296</v>
      </c>
      <c r="C185">
        <f>MONTH(gaz_3[[#This Row],[Data odczytu]])</f>
        <v>4</v>
      </c>
      <c r="D185">
        <f>gaz_3[[#This Row],[Odczyt licznika]]-B184</f>
        <v>130</v>
      </c>
      <c r="E185">
        <f>YEAR(gaz_3[[#This Row],[Data odczytu]])</f>
        <v>2017</v>
      </c>
      <c r="F185" s="4">
        <f>IF(gaz_3[[#This Row],[Zuzycie]]&gt;100,IF(gaz_3[[#This Row],[Zuzycie]]&gt;200,120,90),70)</f>
        <v>90</v>
      </c>
      <c r="G185" s="4">
        <f>VLOOKUP(gaz_3[[#This Row],[Rok]],$L$3:$M$20,2)</f>
        <v>1.21</v>
      </c>
      <c r="H185" s="4">
        <f>gaz_3[[#This Row],[cena]]*gaz_3[[#This Row],[Zuzycie]]+gaz_3[[#This Row],[taryfa]]</f>
        <v>247.29999999999998</v>
      </c>
      <c r="O185">
        <f>gaz_3[[#This Row],[Rok]]</f>
        <v>2017</v>
      </c>
      <c r="P185">
        <f>gaz_3[[#This Row],[laczna oplata]]</f>
        <v>247.29999999999998</v>
      </c>
    </row>
    <row r="186" spans="1:16" x14ac:dyDescent="0.25">
      <c r="A186" s="1">
        <v>42886</v>
      </c>
      <c r="B186">
        <v>31449</v>
      </c>
      <c r="C186">
        <f>MONTH(gaz_3[[#This Row],[Data odczytu]])</f>
        <v>5</v>
      </c>
      <c r="D186">
        <f>gaz_3[[#This Row],[Odczyt licznika]]-B185</f>
        <v>153</v>
      </c>
      <c r="E186">
        <f>YEAR(gaz_3[[#This Row],[Data odczytu]])</f>
        <v>2017</v>
      </c>
      <c r="F186" s="4">
        <f>IF(gaz_3[[#This Row],[Zuzycie]]&gt;100,IF(gaz_3[[#This Row],[Zuzycie]]&gt;200,120,90),70)</f>
        <v>90</v>
      </c>
      <c r="G186" s="4">
        <f>VLOOKUP(gaz_3[[#This Row],[Rok]],$L$3:$M$20,2)</f>
        <v>1.21</v>
      </c>
      <c r="H186" s="4">
        <f>gaz_3[[#This Row],[cena]]*gaz_3[[#This Row],[Zuzycie]]+gaz_3[[#This Row],[taryfa]]</f>
        <v>275.13</v>
      </c>
      <c r="O186">
        <f>gaz_3[[#This Row],[Rok]]</f>
        <v>2017</v>
      </c>
      <c r="P186">
        <f>gaz_3[[#This Row],[laczna oplata]]</f>
        <v>275.13</v>
      </c>
    </row>
    <row r="187" spans="1:16" x14ac:dyDescent="0.25">
      <c r="A187" s="1">
        <v>42916</v>
      </c>
      <c r="B187">
        <v>31535</v>
      </c>
      <c r="C187">
        <f>MONTH(gaz_3[[#This Row],[Data odczytu]])</f>
        <v>6</v>
      </c>
      <c r="D187">
        <f>gaz_3[[#This Row],[Odczyt licznika]]-B186</f>
        <v>86</v>
      </c>
      <c r="E187">
        <f>YEAR(gaz_3[[#This Row],[Data odczytu]])</f>
        <v>2017</v>
      </c>
      <c r="F187" s="4">
        <f>IF(gaz_3[[#This Row],[Zuzycie]]&gt;100,IF(gaz_3[[#This Row],[Zuzycie]]&gt;200,120,90),70)</f>
        <v>70</v>
      </c>
      <c r="G187" s="4">
        <f>VLOOKUP(gaz_3[[#This Row],[Rok]],$L$3:$M$20,2)</f>
        <v>1.21</v>
      </c>
      <c r="H187" s="4">
        <f>gaz_3[[#This Row],[cena]]*gaz_3[[#This Row],[Zuzycie]]+gaz_3[[#This Row],[taryfa]]</f>
        <v>174.06</v>
      </c>
      <c r="O187">
        <f>gaz_3[[#This Row],[Rok]]</f>
        <v>2017</v>
      </c>
      <c r="P187">
        <f>gaz_3[[#This Row],[laczna oplata]]</f>
        <v>174.06</v>
      </c>
    </row>
    <row r="188" spans="1:16" x14ac:dyDescent="0.25">
      <c r="A188" s="1">
        <v>42947</v>
      </c>
      <c r="B188">
        <v>31550</v>
      </c>
      <c r="C188">
        <f>MONTH(gaz_3[[#This Row],[Data odczytu]])</f>
        <v>7</v>
      </c>
      <c r="D188">
        <f>gaz_3[[#This Row],[Odczyt licznika]]-B187</f>
        <v>15</v>
      </c>
      <c r="E188">
        <f>YEAR(gaz_3[[#This Row],[Data odczytu]])</f>
        <v>2017</v>
      </c>
      <c r="F188" s="4">
        <f>IF(gaz_3[[#This Row],[Zuzycie]]&gt;100,IF(gaz_3[[#This Row],[Zuzycie]]&gt;200,120,90),70)</f>
        <v>70</v>
      </c>
      <c r="G188" s="4">
        <f>VLOOKUP(gaz_3[[#This Row],[Rok]],$L$3:$M$20,2)</f>
        <v>1.21</v>
      </c>
      <c r="H188" s="4">
        <f>gaz_3[[#This Row],[cena]]*gaz_3[[#This Row],[Zuzycie]]+gaz_3[[#This Row],[taryfa]]</f>
        <v>88.15</v>
      </c>
      <c r="O188">
        <f>gaz_3[[#This Row],[Rok]]</f>
        <v>2017</v>
      </c>
      <c r="P188">
        <f>gaz_3[[#This Row],[laczna oplata]]</f>
        <v>88.15</v>
      </c>
    </row>
    <row r="189" spans="1:16" x14ac:dyDescent="0.25">
      <c r="A189" s="1">
        <v>42978</v>
      </c>
      <c r="B189">
        <v>31565</v>
      </c>
      <c r="C189">
        <f>MONTH(gaz_3[[#This Row],[Data odczytu]])</f>
        <v>8</v>
      </c>
      <c r="D189">
        <f>gaz_3[[#This Row],[Odczyt licznika]]-B188</f>
        <v>15</v>
      </c>
      <c r="E189">
        <f>YEAR(gaz_3[[#This Row],[Data odczytu]])</f>
        <v>2017</v>
      </c>
      <c r="F189" s="4">
        <f>IF(gaz_3[[#This Row],[Zuzycie]]&gt;100,IF(gaz_3[[#This Row],[Zuzycie]]&gt;200,120,90),70)</f>
        <v>70</v>
      </c>
      <c r="G189" s="4">
        <f>VLOOKUP(gaz_3[[#This Row],[Rok]],$L$3:$M$20,2)</f>
        <v>1.21</v>
      </c>
      <c r="H189" s="4">
        <f>gaz_3[[#This Row],[cena]]*gaz_3[[#This Row],[Zuzycie]]+gaz_3[[#This Row],[taryfa]]</f>
        <v>88.15</v>
      </c>
      <c r="O189">
        <f>gaz_3[[#This Row],[Rok]]</f>
        <v>2017</v>
      </c>
      <c r="P189">
        <f>gaz_3[[#This Row],[laczna oplata]]</f>
        <v>88.15</v>
      </c>
    </row>
    <row r="190" spans="1:16" x14ac:dyDescent="0.25">
      <c r="A190" s="1">
        <v>43008</v>
      </c>
      <c r="B190">
        <v>31635</v>
      </c>
      <c r="C190">
        <f>MONTH(gaz_3[[#This Row],[Data odczytu]])</f>
        <v>9</v>
      </c>
      <c r="D190">
        <f>gaz_3[[#This Row],[Odczyt licznika]]-B189</f>
        <v>70</v>
      </c>
      <c r="E190">
        <f>YEAR(gaz_3[[#This Row],[Data odczytu]])</f>
        <v>2017</v>
      </c>
      <c r="F190" s="4">
        <f>IF(gaz_3[[#This Row],[Zuzycie]]&gt;100,IF(gaz_3[[#This Row],[Zuzycie]]&gt;200,120,90),70)</f>
        <v>70</v>
      </c>
      <c r="G190" s="4">
        <f>VLOOKUP(gaz_3[[#This Row],[Rok]],$L$3:$M$20,2)</f>
        <v>1.21</v>
      </c>
      <c r="H190" s="4">
        <f>gaz_3[[#This Row],[cena]]*gaz_3[[#This Row],[Zuzycie]]+gaz_3[[#This Row],[taryfa]]</f>
        <v>154.69999999999999</v>
      </c>
      <c r="O190">
        <f>gaz_3[[#This Row],[Rok]]</f>
        <v>2017</v>
      </c>
      <c r="P190">
        <f>gaz_3[[#This Row],[laczna oplata]]</f>
        <v>154.69999999999999</v>
      </c>
    </row>
    <row r="191" spans="1:16" x14ac:dyDescent="0.25">
      <c r="A191" s="1">
        <v>43039</v>
      </c>
      <c r="B191">
        <v>31751</v>
      </c>
      <c r="C191">
        <f>MONTH(gaz_3[[#This Row],[Data odczytu]])</f>
        <v>10</v>
      </c>
      <c r="D191">
        <f>gaz_3[[#This Row],[Odczyt licznika]]-B190</f>
        <v>116</v>
      </c>
      <c r="E191">
        <f>YEAR(gaz_3[[#This Row],[Data odczytu]])</f>
        <v>2017</v>
      </c>
      <c r="F191" s="4">
        <f>IF(gaz_3[[#This Row],[Zuzycie]]&gt;100,IF(gaz_3[[#This Row],[Zuzycie]]&gt;200,120,90),70)</f>
        <v>90</v>
      </c>
      <c r="G191" s="4">
        <f>VLOOKUP(gaz_3[[#This Row],[Rok]],$L$3:$M$20,2)</f>
        <v>1.21</v>
      </c>
      <c r="H191" s="4">
        <f>gaz_3[[#This Row],[cena]]*gaz_3[[#This Row],[Zuzycie]]+gaz_3[[#This Row],[taryfa]]</f>
        <v>230.35999999999999</v>
      </c>
      <c r="O191">
        <f>gaz_3[[#This Row],[Rok]]</f>
        <v>2017</v>
      </c>
      <c r="P191">
        <f>gaz_3[[#This Row],[laczna oplata]]</f>
        <v>230.35999999999999</v>
      </c>
    </row>
    <row r="192" spans="1:16" x14ac:dyDescent="0.25">
      <c r="A192" s="1">
        <v>43069</v>
      </c>
      <c r="B192">
        <v>31871</v>
      </c>
      <c r="C192">
        <f>MONTH(gaz_3[[#This Row],[Data odczytu]])</f>
        <v>11</v>
      </c>
      <c r="D192">
        <f>gaz_3[[#This Row],[Odczyt licznika]]-B191</f>
        <v>120</v>
      </c>
      <c r="E192">
        <f>YEAR(gaz_3[[#This Row],[Data odczytu]])</f>
        <v>2017</v>
      </c>
      <c r="F192" s="4">
        <f>IF(gaz_3[[#This Row],[Zuzycie]]&gt;100,IF(gaz_3[[#This Row],[Zuzycie]]&gt;200,120,90),70)</f>
        <v>90</v>
      </c>
      <c r="G192" s="4">
        <f>VLOOKUP(gaz_3[[#This Row],[Rok]],$L$3:$M$20,2)</f>
        <v>1.21</v>
      </c>
      <c r="H192" s="4">
        <f>gaz_3[[#This Row],[cena]]*gaz_3[[#This Row],[Zuzycie]]+gaz_3[[#This Row],[taryfa]]</f>
        <v>235.2</v>
      </c>
      <c r="O192">
        <f>gaz_3[[#This Row],[Rok]]</f>
        <v>2017</v>
      </c>
      <c r="P192">
        <f>gaz_3[[#This Row],[laczna oplata]]</f>
        <v>235.2</v>
      </c>
    </row>
    <row r="193" spans="1:16" x14ac:dyDescent="0.25">
      <c r="A193" s="1">
        <v>43100</v>
      </c>
      <c r="B193">
        <v>32085</v>
      </c>
      <c r="C193">
        <f>MONTH(gaz_3[[#This Row],[Data odczytu]])</f>
        <v>12</v>
      </c>
      <c r="D193">
        <f>gaz_3[[#This Row],[Odczyt licznika]]-B192</f>
        <v>214</v>
      </c>
      <c r="E193">
        <f>YEAR(gaz_3[[#This Row],[Data odczytu]])</f>
        <v>2017</v>
      </c>
      <c r="F193" s="4">
        <f>IF(gaz_3[[#This Row],[Zuzycie]]&gt;100,IF(gaz_3[[#This Row],[Zuzycie]]&gt;200,120,90),70)</f>
        <v>120</v>
      </c>
      <c r="G193" s="4">
        <f>VLOOKUP(gaz_3[[#This Row],[Rok]],$L$3:$M$20,2)</f>
        <v>1.21</v>
      </c>
      <c r="H193" s="4">
        <f>gaz_3[[#This Row],[cena]]*gaz_3[[#This Row],[Zuzycie]]+gaz_3[[#This Row],[taryfa]]</f>
        <v>378.94</v>
      </c>
      <c r="O193">
        <f>gaz_3[[#This Row],[Rok]]</f>
        <v>2017</v>
      </c>
      <c r="P193">
        <f>gaz_3[[#This Row],[laczna oplata]]</f>
        <v>378.94</v>
      </c>
    </row>
    <row r="194" spans="1:16" x14ac:dyDescent="0.25">
      <c r="A194" s="1">
        <v>43131</v>
      </c>
      <c r="B194">
        <v>32376</v>
      </c>
      <c r="C194">
        <f>MONTH(gaz_3[[#This Row],[Data odczytu]])</f>
        <v>1</v>
      </c>
      <c r="D194">
        <f>gaz_3[[#This Row],[Odczyt licznika]]-B193</f>
        <v>291</v>
      </c>
      <c r="E194">
        <f>YEAR(gaz_3[[#This Row],[Data odczytu]])</f>
        <v>2018</v>
      </c>
      <c r="F194" s="4">
        <f>IF(gaz_3[[#This Row],[Zuzycie]]&gt;100,IF(gaz_3[[#This Row],[Zuzycie]]&gt;200,120,90),70)</f>
        <v>120</v>
      </c>
      <c r="G194" s="4">
        <f>VLOOKUP(gaz_3[[#This Row],[Rok]],$L$3:$M$20,2)</f>
        <v>1.22</v>
      </c>
      <c r="H194" s="4">
        <f>gaz_3[[#This Row],[cena]]*gaz_3[[#This Row],[Zuzycie]]+gaz_3[[#This Row],[taryfa]]</f>
        <v>475.02</v>
      </c>
      <c r="O194">
        <f>gaz_3[[#This Row],[Rok]]</f>
        <v>2018</v>
      </c>
      <c r="P194">
        <f>gaz_3[[#This Row],[laczna oplata]]</f>
        <v>475.02</v>
      </c>
    </row>
    <row r="195" spans="1:16" x14ac:dyDescent="0.25">
      <c r="A195" s="1">
        <v>43159</v>
      </c>
      <c r="B195">
        <v>32621</v>
      </c>
      <c r="C195">
        <f>MONTH(gaz_3[[#This Row],[Data odczytu]])</f>
        <v>2</v>
      </c>
      <c r="D195">
        <f>gaz_3[[#This Row],[Odczyt licznika]]-B194</f>
        <v>245</v>
      </c>
      <c r="E195">
        <f>YEAR(gaz_3[[#This Row],[Data odczytu]])</f>
        <v>2018</v>
      </c>
      <c r="F195" s="4">
        <f>IF(gaz_3[[#This Row],[Zuzycie]]&gt;100,IF(gaz_3[[#This Row],[Zuzycie]]&gt;200,120,90),70)</f>
        <v>120</v>
      </c>
      <c r="G195" s="4">
        <f>VLOOKUP(gaz_3[[#This Row],[Rok]],$L$3:$M$20,2)</f>
        <v>1.22</v>
      </c>
      <c r="H195" s="4">
        <f>gaz_3[[#This Row],[cena]]*gaz_3[[#This Row],[Zuzycie]]+gaz_3[[#This Row],[taryfa]]</f>
        <v>418.9</v>
      </c>
      <c r="O195">
        <f>gaz_3[[#This Row],[Rok]]</f>
        <v>2018</v>
      </c>
      <c r="P195">
        <f>gaz_3[[#This Row],[laczna oplata]]</f>
        <v>418.9</v>
      </c>
    </row>
    <row r="196" spans="1:16" x14ac:dyDescent="0.25">
      <c r="A196" s="1">
        <v>43190</v>
      </c>
      <c r="B196">
        <v>32846</v>
      </c>
      <c r="C196">
        <f>MONTH(gaz_3[[#This Row],[Data odczytu]])</f>
        <v>3</v>
      </c>
      <c r="D196">
        <f>gaz_3[[#This Row],[Odczyt licznika]]-B195</f>
        <v>225</v>
      </c>
      <c r="E196">
        <f>YEAR(gaz_3[[#This Row],[Data odczytu]])</f>
        <v>2018</v>
      </c>
      <c r="F196" s="4">
        <f>IF(gaz_3[[#This Row],[Zuzycie]]&gt;100,IF(gaz_3[[#This Row],[Zuzycie]]&gt;200,120,90),70)</f>
        <v>120</v>
      </c>
      <c r="G196" s="4">
        <f>VLOOKUP(gaz_3[[#This Row],[Rok]],$L$3:$M$20,2)</f>
        <v>1.22</v>
      </c>
      <c r="H196" s="4">
        <f>gaz_3[[#This Row],[cena]]*gaz_3[[#This Row],[Zuzycie]]+gaz_3[[#This Row],[taryfa]]</f>
        <v>394.5</v>
      </c>
      <c r="O196">
        <f>gaz_3[[#This Row],[Rok]]</f>
        <v>2018</v>
      </c>
      <c r="P196">
        <f>gaz_3[[#This Row],[laczna oplata]]</f>
        <v>394.5</v>
      </c>
    </row>
    <row r="197" spans="1:16" x14ac:dyDescent="0.25">
      <c r="A197" s="1">
        <v>43220</v>
      </c>
      <c r="B197">
        <v>32955</v>
      </c>
      <c r="C197">
        <f>MONTH(gaz_3[[#This Row],[Data odczytu]])</f>
        <v>4</v>
      </c>
      <c r="D197">
        <f>gaz_3[[#This Row],[Odczyt licznika]]-B196</f>
        <v>109</v>
      </c>
      <c r="E197">
        <f>YEAR(gaz_3[[#This Row],[Data odczytu]])</f>
        <v>2018</v>
      </c>
      <c r="F197" s="4">
        <f>IF(gaz_3[[#This Row],[Zuzycie]]&gt;100,IF(gaz_3[[#This Row],[Zuzycie]]&gt;200,120,90),70)</f>
        <v>90</v>
      </c>
      <c r="G197" s="4">
        <f>VLOOKUP(gaz_3[[#This Row],[Rok]],$L$3:$M$20,2)</f>
        <v>1.22</v>
      </c>
      <c r="H197" s="4">
        <f>gaz_3[[#This Row],[cena]]*gaz_3[[#This Row],[Zuzycie]]+gaz_3[[#This Row],[taryfa]]</f>
        <v>222.98</v>
      </c>
      <c r="O197">
        <f>gaz_3[[#This Row],[Rok]]</f>
        <v>2018</v>
      </c>
      <c r="P197">
        <f>gaz_3[[#This Row],[laczna oplata]]</f>
        <v>222.98</v>
      </c>
    </row>
    <row r="198" spans="1:16" x14ac:dyDescent="0.25">
      <c r="A198" s="1">
        <v>43251</v>
      </c>
      <c r="B198">
        <v>33003</v>
      </c>
      <c r="C198">
        <f>MONTH(gaz_3[[#This Row],[Data odczytu]])</f>
        <v>5</v>
      </c>
      <c r="D198">
        <f>gaz_3[[#This Row],[Odczyt licznika]]-B197</f>
        <v>48</v>
      </c>
      <c r="E198">
        <f>YEAR(gaz_3[[#This Row],[Data odczytu]])</f>
        <v>2018</v>
      </c>
      <c r="F198" s="4">
        <f>IF(gaz_3[[#This Row],[Zuzycie]]&gt;100,IF(gaz_3[[#This Row],[Zuzycie]]&gt;200,120,90),70)</f>
        <v>70</v>
      </c>
      <c r="G198" s="4">
        <f>VLOOKUP(gaz_3[[#This Row],[Rok]],$L$3:$M$20,2)</f>
        <v>1.22</v>
      </c>
      <c r="H198" s="4">
        <f>gaz_3[[#This Row],[cena]]*gaz_3[[#This Row],[Zuzycie]]+gaz_3[[#This Row],[taryfa]]</f>
        <v>128.56</v>
      </c>
      <c r="O198">
        <f>gaz_3[[#This Row],[Rok]]</f>
        <v>2018</v>
      </c>
      <c r="P198">
        <f>gaz_3[[#This Row],[laczna oplata]]</f>
        <v>128.56</v>
      </c>
    </row>
    <row r="199" spans="1:16" x14ac:dyDescent="0.25">
      <c r="A199" s="1">
        <v>43281</v>
      </c>
      <c r="B199">
        <v>33030</v>
      </c>
      <c r="C199">
        <f>MONTH(gaz_3[[#This Row],[Data odczytu]])</f>
        <v>6</v>
      </c>
      <c r="D199">
        <f>gaz_3[[#This Row],[Odczyt licznika]]-B198</f>
        <v>27</v>
      </c>
      <c r="E199">
        <f>YEAR(gaz_3[[#This Row],[Data odczytu]])</f>
        <v>2018</v>
      </c>
      <c r="F199" s="4">
        <f>IF(gaz_3[[#This Row],[Zuzycie]]&gt;100,IF(gaz_3[[#This Row],[Zuzycie]]&gt;200,120,90),70)</f>
        <v>70</v>
      </c>
      <c r="G199" s="4">
        <f>VLOOKUP(gaz_3[[#This Row],[Rok]],$L$3:$M$20,2)</f>
        <v>1.22</v>
      </c>
      <c r="H199" s="4">
        <f>gaz_3[[#This Row],[cena]]*gaz_3[[#This Row],[Zuzycie]]+gaz_3[[#This Row],[taryfa]]</f>
        <v>102.94</v>
      </c>
      <c r="O199">
        <f>gaz_3[[#This Row],[Rok]]</f>
        <v>2018</v>
      </c>
      <c r="P199">
        <f>gaz_3[[#This Row],[laczna oplata]]</f>
        <v>102.94</v>
      </c>
    </row>
    <row r="200" spans="1:16" x14ac:dyDescent="0.25">
      <c r="A200" s="1">
        <v>43312</v>
      </c>
      <c r="B200">
        <v>33046</v>
      </c>
      <c r="C200">
        <f>MONTH(gaz_3[[#This Row],[Data odczytu]])</f>
        <v>7</v>
      </c>
      <c r="D200">
        <f>gaz_3[[#This Row],[Odczyt licznika]]-B199</f>
        <v>16</v>
      </c>
      <c r="E200">
        <f>YEAR(gaz_3[[#This Row],[Data odczytu]])</f>
        <v>2018</v>
      </c>
      <c r="F200" s="4">
        <f>IF(gaz_3[[#This Row],[Zuzycie]]&gt;100,IF(gaz_3[[#This Row],[Zuzycie]]&gt;200,120,90),70)</f>
        <v>70</v>
      </c>
      <c r="G200" s="4">
        <f>VLOOKUP(gaz_3[[#This Row],[Rok]],$L$3:$M$20,2)</f>
        <v>1.22</v>
      </c>
      <c r="H200" s="4">
        <f>gaz_3[[#This Row],[cena]]*gaz_3[[#This Row],[Zuzycie]]+gaz_3[[#This Row],[taryfa]]</f>
        <v>89.52</v>
      </c>
      <c r="O200">
        <f>gaz_3[[#This Row],[Rok]]</f>
        <v>2018</v>
      </c>
      <c r="P200">
        <f>gaz_3[[#This Row],[laczna oplata]]</f>
        <v>89.52</v>
      </c>
    </row>
    <row r="201" spans="1:16" x14ac:dyDescent="0.25">
      <c r="A201" s="1">
        <v>43343</v>
      </c>
      <c r="B201">
        <v>33058</v>
      </c>
      <c r="C201">
        <f>MONTH(gaz_3[[#This Row],[Data odczytu]])</f>
        <v>8</v>
      </c>
      <c r="D201">
        <f>gaz_3[[#This Row],[Odczyt licznika]]-B200</f>
        <v>12</v>
      </c>
      <c r="E201">
        <f>YEAR(gaz_3[[#This Row],[Data odczytu]])</f>
        <v>2018</v>
      </c>
      <c r="F201" s="4">
        <f>IF(gaz_3[[#This Row],[Zuzycie]]&gt;100,IF(gaz_3[[#This Row],[Zuzycie]]&gt;200,120,90),70)</f>
        <v>70</v>
      </c>
      <c r="G201" s="4">
        <f>VLOOKUP(gaz_3[[#This Row],[Rok]],$L$3:$M$20,2)</f>
        <v>1.22</v>
      </c>
      <c r="H201" s="4">
        <f>gaz_3[[#This Row],[cena]]*gaz_3[[#This Row],[Zuzycie]]+gaz_3[[#This Row],[taryfa]]</f>
        <v>84.64</v>
      </c>
      <c r="O201">
        <f>gaz_3[[#This Row],[Rok]]</f>
        <v>2018</v>
      </c>
      <c r="P201">
        <f>gaz_3[[#This Row],[laczna oplata]]</f>
        <v>84.64</v>
      </c>
    </row>
    <row r="202" spans="1:16" x14ac:dyDescent="0.25">
      <c r="A202" s="1">
        <v>43373</v>
      </c>
      <c r="B202">
        <v>33186</v>
      </c>
      <c r="C202">
        <f>MONTH(gaz_3[[#This Row],[Data odczytu]])</f>
        <v>9</v>
      </c>
      <c r="D202">
        <f>gaz_3[[#This Row],[Odczyt licznika]]-B201</f>
        <v>128</v>
      </c>
      <c r="E202">
        <f>YEAR(gaz_3[[#This Row],[Data odczytu]])</f>
        <v>2018</v>
      </c>
      <c r="F202" s="4">
        <f>IF(gaz_3[[#This Row],[Zuzycie]]&gt;100,IF(gaz_3[[#This Row],[Zuzycie]]&gt;200,120,90),70)</f>
        <v>90</v>
      </c>
      <c r="G202" s="4">
        <f>VLOOKUP(gaz_3[[#This Row],[Rok]],$L$3:$M$20,2)</f>
        <v>1.22</v>
      </c>
      <c r="H202" s="4">
        <f>gaz_3[[#This Row],[cena]]*gaz_3[[#This Row],[Zuzycie]]+gaz_3[[#This Row],[taryfa]]</f>
        <v>246.16</v>
      </c>
      <c r="O202">
        <f>gaz_3[[#This Row],[Rok]]</f>
        <v>2018</v>
      </c>
      <c r="P202">
        <f>gaz_3[[#This Row],[laczna oplata]]</f>
        <v>246.16</v>
      </c>
    </row>
    <row r="203" spans="1:16" x14ac:dyDescent="0.25">
      <c r="A203" s="1">
        <v>43404</v>
      </c>
      <c r="B203">
        <v>33323</v>
      </c>
      <c r="C203">
        <f>MONTH(gaz_3[[#This Row],[Data odczytu]])</f>
        <v>10</v>
      </c>
      <c r="D203">
        <f>gaz_3[[#This Row],[Odczyt licznika]]-B202</f>
        <v>137</v>
      </c>
      <c r="E203">
        <f>YEAR(gaz_3[[#This Row],[Data odczytu]])</f>
        <v>2018</v>
      </c>
      <c r="F203" s="4">
        <f>IF(gaz_3[[#This Row],[Zuzycie]]&gt;100,IF(gaz_3[[#This Row],[Zuzycie]]&gt;200,120,90),70)</f>
        <v>90</v>
      </c>
      <c r="G203" s="4">
        <f>VLOOKUP(gaz_3[[#This Row],[Rok]],$L$3:$M$20,2)</f>
        <v>1.22</v>
      </c>
      <c r="H203" s="4">
        <f>gaz_3[[#This Row],[cena]]*gaz_3[[#This Row],[Zuzycie]]+gaz_3[[#This Row],[taryfa]]</f>
        <v>257.14</v>
      </c>
      <c r="O203">
        <f>gaz_3[[#This Row],[Rok]]</f>
        <v>2018</v>
      </c>
      <c r="P203">
        <f>gaz_3[[#This Row],[laczna oplata]]</f>
        <v>257.14</v>
      </c>
    </row>
    <row r="204" spans="1:16" x14ac:dyDescent="0.25">
      <c r="A204" s="1">
        <v>43434</v>
      </c>
      <c r="B204">
        <v>33483</v>
      </c>
      <c r="C204">
        <f>MONTH(gaz_3[[#This Row],[Data odczytu]])</f>
        <v>11</v>
      </c>
      <c r="D204">
        <f>gaz_3[[#This Row],[Odczyt licznika]]-B203</f>
        <v>160</v>
      </c>
      <c r="E204">
        <f>YEAR(gaz_3[[#This Row],[Data odczytu]])</f>
        <v>2018</v>
      </c>
      <c r="F204" s="4">
        <f>IF(gaz_3[[#This Row],[Zuzycie]]&gt;100,IF(gaz_3[[#This Row],[Zuzycie]]&gt;200,120,90),70)</f>
        <v>90</v>
      </c>
      <c r="G204" s="4">
        <f>VLOOKUP(gaz_3[[#This Row],[Rok]],$L$3:$M$20,2)</f>
        <v>1.22</v>
      </c>
      <c r="H204" s="4">
        <f>gaz_3[[#This Row],[cena]]*gaz_3[[#This Row],[Zuzycie]]+gaz_3[[#This Row],[taryfa]]</f>
        <v>285.2</v>
      </c>
      <c r="O204">
        <f>gaz_3[[#This Row],[Rok]]</f>
        <v>2018</v>
      </c>
      <c r="P204">
        <f>gaz_3[[#This Row],[laczna oplata]]</f>
        <v>285.2</v>
      </c>
    </row>
    <row r="205" spans="1:16" x14ac:dyDescent="0.25">
      <c r="A205" s="1">
        <v>43465</v>
      </c>
      <c r="B205">
        <v>33734</v>
      </c>
      <c r="C205">
        <f>MONTH(gaz_3[[#This Row],[Data odczytu]])</f>
        <v>12</v>
      </c>
      <c r="D205">
        <f>gaz_3[[#This Row],[Odczyt licznika]]-B204</f>
        <v>251</v>
      </c>
      <c r="E205">
        <f>YEAR(gaz_3[[#This Row],[Data odczytu]])</f>
        <v>2018</v>
      </c>
      <c r="F205" s="4">
        <f>IF(gaz_3[[#This Row],[Zuzycie]]&gt;100,IF(gaz_3[[#This Row],[Zuzycie]]&gt;200,120,90),70)</f>
        <v>120</v>
      </c>
      <c r="G205" s="4">
        <f>VLOOKUP(gaz_3[[#This Row],[Rok]],$L$3:$M$20,2)</f>
        <v>1.22</v>
      </c>
      <c r="H205" s="4">
        <f>gaz_3[[#This Row],[cena]]*gaz_3[[#This Row],[Zuzycie]]+gaz_3[[#This Row],[taryfa]]</f>
        <v>426.21999999999997</v>
      </c>
      <c r="O205">
        <f>gaz_3[[#This Row],[Rok]]</f>
        <v>2018</v>
      </c>
      <c r="P205">
        <f>gaz_3[[#This Row],[laczna oplata]]</f>
        <v>426.21999999999997</v>
      </c>
    </row>
  </sheetData>
  <pageMargins left="0.7" right="0.7" top="0.75" bottom="0.75" header="0.3" footer="0.3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336E860-7E58-47F9-8A60-C18213CE046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3</vt:i4>
      </vt:variant>
    </vt:vector>
  </HeadingPairs>
  <TitlesOfParts>
    <vt:vector size="3" baseType="lpstr">
      <vt:lpstr>gaz</vt:lpstr>
      <vt:lpstr>Arkusz1</vt:lpstr>
      <vt:lpstr>zadanie 11.3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Miłosz Michalak</dc:creator>
  <cp:lastModifiedBy>Miłosz Michalak</cp:lastModifiedBy>
  <dcterms:created xsi:type="dcterms:W3CDTF">2026-01-19T07:35:47Z</dcterms:created>
  <dcterms:modified xsi:type="dcterms:W3CDTF">2026-03-17T19:12:34Z</dcterms:modified>
</cp:coreProperties>
</file>