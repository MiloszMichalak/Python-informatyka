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eleko\Nextcloud7\Wewnetrzny\Szkola\Repos\Informatyka-python\4 Klasa\X.01.26\07. MS Excel - 19.01\"/>
    </mc:Choice>
  </mc:AlternateContent>
  <xr:revisionPtr revIDLastSave="0" documentId="13_ncr:1_{9DEBFE14-6A5E-4A93-B71A-71A79EA4721D}" xr6:coauthVersionLast="47" xr6:coauthVersionMax="47" xr10:uidLastSave="{00000000-0000-0000-0000-000000000000}"/>
  <bookViews>
    <workbookView xWindow="-120" yWindow="-120" windowWidth="29040" windowHeight="15720" xr2:uid="{D6BEEC2F-376C-42A2-BF5D-10E01C6B40BF}"/>
  </bookViews>
  <sheets>
    <sheet name="gaz" sheetId="2" r:id="rId1"/>
    <sheet name="Arkusz1" sheetId="1" r:id="rId2"/>
  </sheets>
  <definedNames>
    <definedName name="ExternalData_1" localSheetId="0" hidden="1">gaz!$A$1:$B$205</definedName>
  </definedNames>
  <calcPr calcId="191029"/>
  <pivotCaches>
    <pivotCache cacheId="3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2" l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51383F2-85D4-4644-9926-1A5D1EB576BE}" keepAlive="1" name="Zapytanie — gaz" description="Połączenie z zapytaniem „gaz” w skoroszycie." type="5" refreshedVersion="8" background="1" saveData="1">
    <dbPr connection="Provider=Microsoft.Mashup.OleDb.1;Data Source=$Workbook$;Location=gaz;Extended Properties=&quot;&quot;" command="SELECT * FROM [gaz]"/>
  </connection>
</connections>
</file>

<file path=xl/sharedStrings.xml><?xml version="1.0" encoding="utf-8"?>
<sst xmlns="http://schemas.openxmlformats.org/spreadsheetml/2006/main" count="7" uniqueCount="7">
  <si>
    <t>Data odczytu</t>
  </si>
  <si>
    <t>Odczyt licznika</t>
  </si>
  <si>
    <t>Miesiac</t>
  </si>
  <si>
    <t>Zuzycie</t>
  </si>
  <si>
    <t>Etykiety wierszy</t>
  </si>
  <si>
    <t>Suma końcowa</t>
  </si>
  <si>
    <t>Średnia z Zuzycie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</si>
</sst>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ny" xfId="0" builtinId="0"/>
  </cellStyles>
  <dxfs count="3">
    <dxf>
      <numFmt numFmtId="0" formatCode="General"/>
    </dxf>
    <dxf>
      <numFmt numFmtId="0" formatCode="General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eleko 2" refreshedDate="46041.362451388886" createdVersion="8" refreshedVersion="8" minRefreshableVersion="3" recordCount="204" xr:uid="{6A5A54FF-A8B8-429C-A045-DCB59A7955B8}">
  <cacheSource type="worksheet">
    <worksheetSource name="gaz"/>
  </cacheSource>
  <cacheFields count="4">
    <cacheField name="Data odczytu" numFmtId="14">
      <sharedItems containsSemiMixedTypes="0" containsNonDate="0" containsDate="1" containsString="0" minDate="2002-01-31T00:00:00" maxDate="2019-01-01T00:00:00"/>
    </cacheField>
    <cacheField name="Odczyt licznika" numFmtId="0">
      <sharedItems containsSemiMixedTypes="0" containsString="0" containsNumber="1" containsInteger="1" minValue="2283" maxValue="33734"/>
    </cacheField>
    <cacheField name="Miesiac" numFmtId="0">
      <sharedItems containsSemiMixedTypes="0" containsString="0" containsNumber="1" containsInteger="1" minValue="1" maxValue="12" count="12">
        <n v="1"/>
        <n v="2"/>
        <n v="3"/>
        <n v="4"/>
        <n v="5"/>
        <n v="6"/>
        <n v="7"/>
        <n v="8"/>
        <n v="9"/>
        <n v="10"/>
        <n v="11"/>
        <n v="12"/>
      </sharedItems>
    </cacheField>
    <cacheField name="Zuzycie" numFmtId="0">
      <sharedItems containsSemiMixedTypes="0" containsString="0" containsNumber="1" containsInteger="1" minValue="10" maxValue="37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4">
  <r>
    <d v="2002-01-31T00:00:00"/>
    <n v="2283"/>
    <x v="0"/>
    <n v="200"/>
  </r>
  <r>
    <d v="2002-02-28T00:00:00"/>
    <n v="2518"/>
    <x v="1"/>
    <n v="235"/>
  </r>
  <r>
    <d v="2002-03-31T00:00:00"/>
    <n v="2696"/>
    <x v="2"/>
    <n v="178"/>
  </r>
  <r>
    <d v="2002-04-30T00:00:00"/>
    <n v="2857"/>
    <x v="3"/>
    <n v="161"/>
  </r>
  <r>
    <d v="2002-05-31T00:00:00"/>
    <n v="2917"/>
    <x v="4"/>
    <n v="60"/>
  </r>
  <r>
    <d v="2002-06-30T00:00:00"/>
    <n v="2952"/>
    <x v="5"/>
    <n v="35"/>
  </r>
  <r>
    <d v="2002-07-31T00:00:00"/>
    <n v="2979"/>
    <x v="6"/>
    <n v="27"/>
  </r>
  <r>
    <d v="2002-08-31T00:00:00"/>
    <n v="3009"/>
    <x v="7"/>
    <n v="30"/>
  </r>
  <r>
    <d v="2002-09-30T00:00:00"/>
    <n v="3040"/>
    <x v="8"/>
    <n v="31"/>
  </r>
  <r>
    <d v="2002-10-31T00:00:00"/>
    <n v="3116"/>
    <x v="9"/>
    <n v="76"/>
  </r>
  <r>
    <d v="2002-11-30T00:00:00"/>
    <n v="3222"/>
    <x v="10"/>
    <n v="106"/>
  </r>
  <r>
    <d v="2002-12-31T00:00:00"/>
    <n v="3393"/>
    <x v="11"/>
    <n v="171"/>
  </r>
  <r>
    <d v="2003-01-31T00:00:00"/>
    <n v="3613"/>
    <x v="0"/>
    <n v="220"/>
  </r>
  <r>
    <d v="2003-02-28T00:00:00"/>
    <n v="3891"/>
    <x v="1"/>
    <n v="278"/>
  </r>
  <r>
    <d v="2003-03-31T00:00:00"/>
    <n v="4151"/>
    <x v="2"/>
    <n v="260"/>
  </r>
  <r>
    <d v="2003-04-30T00:00:00"/>
    <n v="4401"/>
    <x v="3"/>
    <n v="250"/>
  </r>
  <r>
    <d v="2003-05-31T00:00:00"/>
    <n v="4553"/>
    <x v="4"/>
    <n v="152"/>
  </r>
  <r>
    <d v="2003-06-30T00:00:00"/>
    <n v="4639"/>
    <x v="5"/>
    <n v="86"/>
  </r>
  <r>
    <d v="2003-07-31T00:00:00"/>
    <n v="4654"/>
    <x v="6"/>
    <n v="15"/>
  </r>
  <r>
    <d v="2003-08-31T00:00:00"/>
    <n v="4669"/>
    <x v="7"/>
    <n v="15"/>
  </r>
  <r>
    <d v="2003-09-30T00:00:00"/>
    <n v="4819"/>
    <x v="8"/>
    <n v="150"/>
  </r>
  <r>
    <d v="2003-10-31T00:00:00"/>
    <n v="4976"/>
    <x v="9"/>
    <n v="157"/>
  </r>
  <r>
    <d v="2003-11-30T00:00:00"/>
    <n v="5078"/>
    <x v="10"/>
    <n v="102"/>
  </r>
  <r>
    <d v="2003-12-31T00:00:00"/>
    <n v="5260"/>
    <x v="11"/>
    <n v="182"/>
  </r>
  <r>
    <d v="2004-01-31T00:00:00"/>
    <n v="5508"/>
    <x v="0"/>
    <n v="248"/>
  </r>
  <r>
    <d v="2004-02-28T00:00:00"/>
    <n v="5754"/>
    <x v="1"/>
    <n v="246"/>
  </r>
  <r>
    <d v="2004-03-31T00:00:00"/>
    <n v="5945"/>
    <x v="2"/>
    <n v="191"/>
  </r>
  <r>
    <d v="2004-04-30T00:00:00"/>
    <n v="6050"/>
    <x v="3"/>
    <n v="105"/>
  </r>
  <r>
    <d v="2004-05-31T00:00:00"/>
    <n v="6146"/>
    <x v="4"/>
    <n v="96"/>
  </r>
  <r>
    <d v="2004-06-30T00:00:00"/>
    <n v="6173"/>
    <x v="5"/>
    <n v="27"/>
  </r>
  <r>
    <d v="2004-07-31T00:00:00"/>
    <n v="6183"/>
    <x v="6"/>
    <n v="10"/>
  </r>
  <r>
    <d v="2004-08-31T00:00:00"/>
    <n v="6195"/>
    <x v="7"/>
    <n v="12"/>
  </r>
  <r>
    <d v="2004-09-30T00:00:00"/>
    <n v="6304"/>
    <x v="8"/>
    <n v="109"/>
  </r>
  <r>
    <d v="2004-10-31T00:00:00"/>
    <n v="6459"/>
    <x v="9"/>
    <n v="155"/>
  </r>
  <r>
    <d v="2004-11-30T00:00:00"/>
    <n v="6737"/>
    <x v="10"/>
    <n v="278"/>
  </r>
  <r>
    <d v="2004-12-31T00:00:00"/>
    <n v="6997"/>
    <x v="11"/>
    <n v="260"/>
  </r>
  <r>
    <d v="2005-01-31T00:00:00"/>
    <n v="7247"/>
    <x v="0"/>
    <n v="250"/>
  </r>
  <r>
    <d v="2005-02-28T00:00:00"/>
    <n v="7399"/>
    <x v="1"/>
    <n v="152"/>
  </r>
  <r>
    <d v="2005-03-31T00:00:00"/>
    <n v="7584"/>
    <x v="2"/>
    <n v="185"/>
  </r>
  <r>
    <d v="2005-04-30T00:00:00"/>
    <n v="7745"/>
    <x v="3"/>
    <n v="161"/>
  </r>
  <r>
    <d v="2005-05-31T00:00:00"/>
    <n v="7935"/>
    <x v="4"/>
    <n v="190"/>
  </r>
  <r>
    <d v="2005-06-30T00:00:00"/>
    <n v="8043"/>
    <x v="5"/>
    <n v="108"/>
  </r>
  <r>
    <d v="2005-07-31T00:00:00"/>
    <n v="8062"/>
    <x v="6"/>
    <n v="19"/>
  </r>
  <r>
    <d v="2005-08-31T00:00:00"/>
    <n v="8081"/>
    <x v="7"/>
    <n v="19"/>
  </r>
  <r>
    <d v="2005-09-30T00:00:00"/>
    <n v="8269"/>
    <x v="8"/>
    <n v="188"/>
  </r>
  <r>
    <d v="2005-10-31T00:00:00"/>
    <n v="8465"/>
    <x v="9"/>
    <n v="196"/>
  </r>
  <r>
    <d v="2005-11-30T00:00:00"/>
    <n v="8592"/>
    <x v="10"/>
    <n v="127"/>
  </r>
  <r>
    <d v="2005-12-31T00:00:00"/>
    <n v="8819"/>
    <x v="11"/>
    <n v="227"/>
  </r>
  <r>
    <d v="2006-01-31T00:00:00"/>
    <n v="9129"/>
    <x v="0"/>
    <n v="310"/>
  </r>
  <r>
    <d v="2006-02-28T00:00:00"/>
    <n v="9424"/>
    <x v="1"/>
    <n v="295"/>
  </r>
  <r>
    <d v="2006-03-31T00:00:00"/>
    <n v="9662"/>
    <x v="2"/>
    <n v="238"/>
  </r>
  <r>
    <d v="2006-04-30T00:00:00"/>
    <n v="9778"/>
    <x v="3"/>
    <n v="116"/>
  </r>
  <r>
    <d v="2006-05-31T00:00:00"/>
    <n v="9884"/>
    <x v="4"/>
    <n v="106"/>
  </r>
  <r>
    <d v="2006-06-30T00:00:00"/>
    <n v="9914"/>
    <x v="5"/>
    <n v="30"/>
  </r>
  <r>
    <d v="2006-07-31T00:00:00"/>
    <n v="9925"/>
    <x v="6"/>
    <n v="11"/>
  </r>
  <r>
    <d v="2006-08-31T00:00:00"/>
    <n v="9938"/>
    <x v="7"/>
    <n v="13"/>
  </r>
  <r>
    <d v="2006-09-30T00:00:00"/>
    <n v="10059"/>
    <x v="8"/>
    <n v="121"/>
  </r>
  <r>
    <d v="2006-10-31T00:00:00"/>
    <n v="10211"/>
    <x v="9"/>
    <n v="152"/>
  </r>
  <r>
    <d v="2006-11-30T00:00:00"/>
    <n v="10486"/>
    <x v="10"/>
    <n v="275"/>
  </r>
  <r>
    <d v="2006-12-31T00:00:00"/>
    <n v="10742"/>
    <x v="11"/>
    <n v="256"/>
  </r>
  <r>
    <d v="2007-01-31T00:00:00"/>
    <n v="10988"/>
    <x v="0"/>
    <n v="246"/>
  </r>
  <r>
    <d v="2007-02-28T00:00:00"/>
    <n v="11138"/>
    <x v="1"/>
    <n v="150"/>
  </r>
  <r>
    <d v="2007-03-31T00:00:00"/>
    <n v="11321"/>
    <x v="2"/>
    <n v="183"/>
  </r>
  <r>
    <d v="2007-04-30T00:00:00"/>
    <n v="11481"/>
    <x v="3"/>
    <n v="160"/>
  </r>
  <r>
    <d v="2007-05-31T00:00:00"/>
    <n v="11669"/>
    <x v="4"/>
    <n v="188"/>
  </r>
  <r>
    <d v="2007-06-30T00:00:00"/>
    <n v="11776"/>
    <x v="5"/>
    <n v="107"/>
  </r>
  <r>
    <d v="2007-07-31T00:00:00"/>
    <n v="11795"/>
    <x v="6"/>
    <n v="19"/>
  </r>
  <r>
    <d v="2007-08-31T00:00:00"/>
    <n v="11814"/>
    <x v="7"/>
    <n v="19"/>
  </r>
  <r>
    <d v="2007-09-30T00:00:00"/>
    <n v="11901"/>
    <x v="8"/>
    <n v="87"/>
  </r>
  <r>
    <d v="2007-10-31T00:00:00"/>
    <n v="12044"/>
    <x v="9"/>
    <n v="143"/>
  </r>
  <r>
    <d v="2007-11-30T00:00:00"/>
    <n v="12170"/>
    <x v="10"/>
    <n v="126"/>
  </r>
  <r>
    <d v="2007-12-31T00:00:00"/>
    <n v="12395"/>
    <x v="11"/>
    <n v="225"/>
  </r>
  <r>
    <d v="2008-01-31T00:00:00"/>
    <n v="12702"/>
    <x v="0"/>
    <n v="307"/>
  </r>
  <r>
    <d v="2008-02-28T00:00:00"/>
    <n v="13025"/>
    <x v="1"/>
    <n v="323"/>
  </r>
  <r>
    <d v="2008-03-31T00:00:00"/>
    <n v="13261"/>
    <x v="2"/>
    <n v="236"/>
  </r>
  <r>
    <d v="2008-04-30T00:00:00"/>
    <n v="13376"/>
    <x v="3"/>
    <n v="115"/>
  </r>
  <r>
    <d v="2008-05-31T00:00:00"/>
    <n v="13478"/>
    <x v="4"/>
    <n v="102"/>
  </r>
  <r>
    <d v="2008-06-30T00:00:00"/>
    <n v="13506"/>
    <x v="5"/>
    <n v="28"/>
  </r>
  <r>
    <d v="2008-07-31T00:00:00"/>
    <n v="13516"/>
    <x v="6"/>
    <n v="10"/>
  </r>
  <r>
    <d v="2008-08-31T00:00:00"/>
    <n v="13529"/>
    <x v="7"/>
    <n v="13"/>
  </r>
  <r>
    <d v="2008-09-30T00:00:00"/>
    <n v="13645"/>
    <x v="8"/>
    <n v="116"/>
  </r>
  <r>
    <d v="2008-10-31T00:00:00"/>
    <n v="13791"/>
    <x v="9"/>
    <n v="146"/>
  </r>
  <r>
    <d v="2008-11-30T00:00:00"/>
    <n v="14055"/>
    <x v="10"/>
    <n v="264"/>
  </r>
  <r>
    <d v="2008-12-31T00:00:00"/>
    <n v="14301"/>
    <x v="11"/>
    <n v="246"/>
  </r>
  <r>
    <d v="2009-01-31T00:00:00"/>
    <n v="14537"/>
    <x v="0"/>
    <n v="236"/>
  </r>
  <r>
    <d v="2009-02-28T00:00:00"/>
    <n v="14827"/>
    <x v="1"/>
    <n v="290"/>
  </r>
  <r>
    <d v="2009-03-31T00:00:00"/>
    <n v="15002"/>
    <x v="2"/>
    <n v="175"/>
  </r>
  <r>
    <d v="2009-04-30T00:00:00"/>
    <n v="15155"/>
    <x v="3"/>
    <n v="153"/>
  </r>
  <r>
    <d v="2009-05-31T00:00:00"/>
    <n v="15335"/>
    <x v="4"/>
    <n v="180"/>
  </r>
  <r>
    <d v="2009-06-30T00:00:00"/>
    <n v="15437"/>
    <x v="5"/>
    <n v="102"/>
  </r>
  <r>
    <d v="2009-07-31T00:00:00"/>
    <n v="15455"/>
    <x v="6"/>
    <n v="18"/>
  </r>
  <r>
    <d v="2009-08-31T00:00:00"/>
    <n v="15474"/>
    <x v="7"/>
    <n v="19"/>
  </r>
  <r>
    <d v="2009-09-30T00:00:00"/>
    <n v="15557"/>
    <x v="8"/>
    <n v="83"/>
  </r>
  <r>
    <d v="2009-10-31T00:00:00"/>
    <n v="15694"/>
    <x v="9"/>
    <n v="137"/>
  </r>
  <r>
    <d v="2009-11-30T00:00:00"/>
    <n v="15835"/>
    <x v="10"/>
    <n v="141"/>
  </r>
  <r>
    <d v="2009-12-31T00:00:00"/>
    <n v="16087"/>
    <x v="11"/>
    <n v="252"/>
  </r>
  <r>
    <d v="2010-01-31T00:00:00"/>
    <n v="16431"/>
    <x v="0"/>
    <n v="344"/>
  </r>
  <r>
    <d v="2010-02-28T00:00:00"/>
    <n v="16792"/>
    <x v="1"/>
    <n v="361"/>
  </r>
  <r>
    <d v="2010-03-31T00:00:00"/>
    <n v="17057"/>
    <x v="2"/>
    <n v="265"/>
  </r>
  <r>
    <d v="2010-04-30T00:00:00"/>
    <n v="17186"/>
    <x v="3"/>
    <n v="129"/>
  </r>
  <r>
    <d v="2010-05-31T00:00:00"/>
    <n v="17301"/>
    <x v="4"/>
    <n v="115"/>
  </r>
  <r>
    <d v="2010-06-30T00:00:00"/>
    <n v="17332"/>
    <x v="5"/>
    <n v="31"/>
  </r>
  <r>
    <d v="2010-07-31T00:00:00"/>
    <n v="17352"/>
    <x v="6"/>
    <n v="20"/>
  </r>
  <r>
    <d v="2010-08-31T00:00:00"/>
    <n v="17367"/>
    <x v="7"/>
    <n v="15"/>
  </r>
  <r>
    <d v="2010-09-30T00:00:00"/>
    <n v="17517"/>
    <x v="8"/>
    <n v="150"/>
  </r>
  <r>
    <d v="2010-10-31T00:00:00"/>
    <n v="17708"/>
    <x v="9"/>
    <n v="191"/>
  </r>
  <r>
    <d v="2010-11-30T00:00:00"/>
    <n v="18052"/>
    <x v="10"/>
    <n v="344"/>
  </r>
  <r>
    <d v="2010-12-31T00:00:00"/>
    <n v="18372"/>
    <x v="11"/>
    <n v="320"/>
  </r>
  <r>
    <d v="2011-01-31T00:00:00"/>
    <n v="18680"/>
    <x v="0"/>
    <n v="308"/>
  </r>
  <r>
    <d v="2011-02-28T00:00:00"/>
    <n v="19057"/>
    <x v="1"/>
    <n v="377"/>
  </r>
  <r>
    <d v="2011-03-31T00:00:00"/>
    <n v="19285"/>
    <x v="2"/>
    <n v="228"/>
  </r>
  <r>
    <d v="2011-04-30T00:00:00"/>
    <n v="19431"/>
    <x v="3"/>
    <n v="146"/>
  </r>
  <r>
    <d v="2011-05-31T00:00:00"/>
    <n v="19604"/>
    <x v="4"/>
    <n v="173"/>
  </r>
  <r>
    <d v="2011-06-30T00:00:00"/>
    <n v="19702"/>
    <x v="5"/>
    <n v="98"/>
  </r>
  <r>
    <d v="2011-07-31T00:00:00"/>
    <n v="19718"/>
    <x v="6"/>
    <n v="16"/>
  </r>
  <r>
    <d v="2011-08-31T00:00:00"/>
    <n v="19735"/>
    <x v="7"/>
    <n v="17"/>
  </r>
  <r>
    <d v="2011-09-30T00:00:00"/>
    <n v="19815"/>
    <x v="8"/>
    <n v="80"/>
  </r>
  <r>
    <d v="2011-10-31T00:00:00"/>
    <n v="19946"/>
    <x v="9"/>
    <n v="131"/>
  </r>
  <r>
    <d v="2011-11-30T00:00:00"/>
    <n v="20081"/>
    <x v="10"/>
    <n v="135"/>
  </r>
  <r>
    <d v="2011-12-31T00:00:00"/>
    <n v="20323"/>
    <x v="11"/>
    <n v="242"/>
  </r>
  <r>
    <d v="2012-01-31T00:00:00"/>
    <n v="20653"/>
    <x v="0"/>
    <n v="330"/>
  </r>
  <r>
    <d v="2012-02-28T00:00:00"/>
    <n v="21000"/>
    <x v="1"/>
    <n v="347"/>
  </r>
  <r>
    <d v="2012-03-31T00:00:00"/>
    <n v="21254"/>
    <x v="2"/>
    <n v="254"/>
  </r>
  <r>
    <d v="2012-04-30T00:00:00"/>
    <n v="21377"/>
    <x v="3"/>
    <n v="123"/>
  </r>
  <r>
    <d v="2012-05-31T00:00:00"/>
    <n v="21487"/>
    <x v="4"/>
    <n v="110"/>
  </r>
  <r>
    <d v="2012-06-30T00:00:00"/>
    <n v="21517"/>
    <x v="5"/>
    <n v="30"/>
  </r>
  <r>
    <d v="2012-07-31T00:00:00"/>
    <n v="21536"/>
    <x v="6"/>
    <n v="19"/>
  </r>
  <r>
    <d v="2012-08-31T00:00:00"/>
    <n v="21550"/>
    <x v="7"/>
    <n v="14"/>
  </r>
  <r>
    <d v="2012-09-30T00:00:00"/>
    <n v="21695"/>
    <x v="8"/>
    <n v="145"/>
  </r>
  <r>
    <d v="2012-10-31T00:00:00"/>
    <n v="21878"/>
    <x v="9"/>
    <n v="183"/>
  </r>
  <r>
    <d v="2012-11-30T00:00:00"/>
    <n v="22208"/>
    <x v="10"/>
    <n v="330"/>
  </r>
  <r>
    <d v="2012-12-31T00:00:00"/>
    <n v="22516"/>
    <x v="11"/>
    <n v="308"/>
  </r>
  <r>
    <d v="2013-01-31T00:00:00"/>
    <n v="22811"/>
    <x v="0"/>
    <n v="295"/>
  </r>
  <r>
    <d v="2013-02-28T00:00:00"/>
    <n v="23173"/>
    <x v="1"/>
    <n v="362"/>
  </r>
  <r>
    <d v="2013-03-31T00:00:00"/>
    <n v="23392"/>
    <x v="2"/>
    <n v="219"/>
  </r>
  <r>
    <d v="2013-04-30T00:00:00"/>
    <n v="23533"/>
    <x v="3"/>
    <n v="141"/>
  </r>
  <r>
    <d v="2013-05-31T00:00:00"/>
    <n v="23699"/>
    <x v="4"/>
    <n v="166"/>
  </r>
  <r>
    <d v="2013-06-30T00:00:00"/>
    <n v="23793"/>
    <x v="5"/>
    <n v="94"/>
  </r>
  <r>
    <d v="2013-07-31T00:00:00"/>
    <n v="23809"/>
    <x v="6"/>
    <n v="16"/>
  </r>
  <r>
    <d v="2013-08-31T00:00:00"/>
    <n v="23825"/>
    <x v="7"/>
    <n v="16"/>
  </r>
  <r>
    <d v="2013-09-30T00:00:00"/>
    <n v="23902"/>
    <x v="8"/>
    <n v="77"/>
  </r>
  <r>
    <d v="2013-10-31T00:00:00"/>
    <n v="24028"/>
    <x v="9"/>
    <n v="126"/>
  </r>
  <r>
    <d v="2013-11-30T00:00:00"/>
    <n v="24158"/>
    <x v="10"/>
    <n v="130"/>
  </r>
  <r>
    <d v="2013-12-31T00:00:00"/>
    <n v="24390"/>
    <x v="11"/>
    <n v="232"/>
  </r>
  <r>
    <d v="2014-01-31T00:00:00"/>
    <n v="24707"/>
    <x v="0"/>
    <n v="317"/>
  </r>
  <r>
    <d v="2014-02-28T00:00:00"/>
    <n v="25040"/>
    <x v="1"/>
    <n v="333"/>
  </r>
  <r>
    <d v="2014-03-31T00:00:00"/>
    <n v="25284"/>
    <x v="2"/>
    <n v="244"/>
  </r>
  <r>
    <d v="2014-04-30T00:00:00"/>
    <n v="25403"/>
    <x v="3"/>
    <n v="119"/>
  </r>
  <r>
    <d v="2014-05-31T00:00:00"/>
    <n v="25508"/>
    <x v="4"/>
    <n v="105"/>
  </r>
  <r>
    <d v="2014-06-30T00:00:00"/>
    <n v="25537"/>
    <x v="5"/>
    <n v="29"/>
  </r>
  <r>
    <d v="2014-07-31T00:00:00"/>
    <n v="25556"/>
    <x v="6"/>
    <n v="19"/>
  </r>
  <r>
    <d v="2014-08-31T00:00:00"/>
    <n v="25569"/>
    <x v="7"/>
    <n v="13"/>
  </r>
  <r>
    <d v="2014-09-30T00:00:00"/>
    <n v="25708"/>
    <x v="8"/>
    <n v="139"/>
  </r>
  <r>
    <d v="2014-10-31T00:00:00"/>
    <n v="25883"/>
    <x v="9"/>
    <n v="175"/>
  </r>
  <r>
    <d v="2014-11-30T00:00:00"/>
    <n v="26183"/>
    <x v="10"/>
    <n v="300"/>
  </r>
  <r>
    <d v="2014-12-31T00:00:00"/>
    <n v="26478"/>
    <x v="11"/>
    <n v="295"/>
  </r>
  <r>
    <d v="2015-01-31T00:00:00"/>
    <n v="26808"/>
    <x v="0"/>
    <n v="330"/>
  </r>
  <r>
    <d v="2015-02-28T00:00:00"/>
    <n v="27156"/>
    <x v="1"/>
    <n v="348"/>
  </r>
  <r>
    <d v="2015-03-31T00:00:00"/>
    <n v="27366"/>
    <x v="2"/>
    <n v="210"/>
  </r>
  <r>
    <d v="2015-04-30T00:00:00"/>
    <n v="27501"/>
    <x v="3"/>
    <n v="135"/>
  </r>
  <r>
    <d v="2015-05-31T00:00:00"/>
    <n v="27661"/>
    <x v="4"/>
    <n v="160"/>
  </r>
  <r>
    <d v="2015-06-30T00:00:00"/>
    <n v="27752"/>
    <x v="5"/>
    <n v="91"/>
  </r>
  <r>
    <d v="2015-07-31T00:00:00"/>
    <n v="27767"/>
    <x v="6"/>
    <n v="15"/>
  </r>
  <r>
    <d v="2015-08-31T00:00:00"/>
    <n v="27783"/>
    <x v="7"/>
    <n v="16"/>
  </r>
  <r>
    <d v="2015-09-30T00:00:00"/>
    <n v="27857"/>
    <x v="8"/>
    <n v="74"/>
  </r>
  <r>
    <d v="2015-10-31T00:00:00"/>
    <n v="27978"/>
    <x v="9"/>
    <n v="121"/>
  </r>
  <r>
    <d v="2015-11-30T00:00:00"/>
    <n v="28103"/>
    <x v="10"/>
    <n v="125"/>
  </r>
  <r>
    <d v="2015-12-31T00:00:00"/>
    <n v="28326"/>
    <x v="11"/>
    <n v="223"/>
  </r>
  <r>
    <d v="2016-01-31T00:00:00"/>
    <n v="28631"/>
    <x v="0"/>
    <n v="305"/>
  </r>
  <r>
    <d v="2016-02-28T00:00:00"/>
    <n v="28931"/>
    <x v="1"/>
    <n v="300"/>
  </r>
  <r>
    <d v="2016-03-31T00:00:00"/>
    <n v="29165"/>
    <x v="2"/>
    <n v="234"/>
  </r>
  <r>
    <d v="2016-04-30T00:00:00"/>
    <n v="29279"/>
    <x v="3"/>
    <n v="114"/>
  </r>
  <r>
    <d v="2016-05-31T00:00:00"/>
    <n v="29381"/>
    <x v="4"/>
    <n v="102"/>
  </r>
  <r>
    <d v="2016-06-30T00:00:00"/>
    <n v="29409"/>
    <x v="5"/>
    <n v="28"/>
  </r>
  <r>
    <d v="2016-07-31T00:00:00"/>
    <n v="29427"/>
    <x v="6"/>
    <n v="18"/>
  </r>
  <r>
    <d v="2016-08-31T00:00:00"/>
    <n v="29440"/>
    <x v="7"/>
    <n v="13"/>
  </r>
  <r>
    <d v="2016-09-30T00:00:00"/>
    <n v="29574"/>
    <x v="8"/>
    <n v="134"/>
  </r>
  <r>
    <d v="2016-10-31T00:00:00"/>
    <n v="29743"/>
    <x v="9"/>
    <n v="169"/>
  </r>
  <r>
    <d v="2016-11-30T00:00:00"/>
    <n v="30031"/>
    <x v="10"/>
    <n v="288"/>
  </r>
  <r>
    <d v="2016-12-31T00:00:00"/>
    <n v="30314"/>
    <x v="11"/>
    <n v="283"/>
  </r>
  <r>
    <d v="2017-01-31T00:00:00"/>
    <n v="30630"/>
    <x v="0"/>
    <n v="316"/>
  </r>
  <r>
    <d v="2017-02-28T00:00:00"/>
    <n v="30964"/>
    <x v="1"/>
    <n v="334"/>
  </r>
  <r>
    <d v="2017-03-31T00:00:00"/>
    <n v="31166"/>
    <x v="2"/>
    <n v="202"/>
  </r>
  <r>
    <d v="2017-04-30T00:00:00"/>
    <n v="31296"/>
    <x v="3"/>
    <n v="130"/>
  </r>
  <r>
    <d v="2017-05-31T00:00:00"/>
    <n v="31449"/>
    <x v="4"/>
    <n v="153"/>
  </r>
  <r>
    <d v="2017-06-30T00:00:00"/>
    <n v="31535"/>
    <x v="5"/>
    <n v="86"/>
  </r>
  <r>
    <d v="2017-07-31T00:00:00"/>
    <n v="31550"/>
    <x v="6"/>
    <n v="15"/>
  </r>
  <r>
    <d v="2017-08-31T00:00:00"/>
    <n v="31565"/>
    <x v="7"/>
    <n v="15"/>
  </r>
  <r>
    <d v="2017-09-30T00:00:00"/>
    <n v="31635"/>
    <x v="8"/>
    <n v="70"/>
  </r>
  <r>
    <d v="2017-10-31T00:00:00"/>
    <n v="31751"/>
    <x v="9"/>
    <n v="116"/>
  </r>
  <r>
    <d v="2017-11-30T00:00:00"/>
    <n v="31871"/>
    <x v="10"/>
    <n v="120"/>
  </r>
  <r>
    <d v="2017-12-31T00:00:00"/>
    <n v="32085"/>
    <x v="11"/>
    <n v="214"/>
  </r>
  <r>
    <d v="2018-01-31T00:00:00"/>
    <n v="32376"/>
    <x v="0"/>
    <n v="291"/>
  </r>
  <r>
    <d v="2018-02-28T00:00:00"/>
    <n v="32621"/>
    <x v="1"/>
    <n v="245"/>
  </r>
  <r>
    <d v="2018-03-31T00:00:00"/>
    <n v="32846"/>
    <x v="2"/>
    <n v="225"/>
  </r>
  <r>
    <d v="2018-04-30T00:00:00"/>
    <n v="32955"/>
    <x v="3"/>
    <n v="109"/>
  </r>
  <r>
    <d v="2018-05-31T00:00:00"/>
    <n v="33003"/>
    <x v="4"/>
    <n v="48"/>
  </r>
  <r>
    <d v="2018-06-30T00:00:00"/>
    <n v="33030"/>
    <x v="5"/>
    <n v="27"/>
  </r>
  <r>
    <d v="2018-07-31T00:00:00"/>
    <n v="33046"/>
    <x v="6"/>
    <n v="16"/>
  </r>
  <r>
    <d v="2018-08-31T00:00:00"/>
    <n v="33058"/>
    <x v="7"/>
    <n v="12"/>
  </r>
  <r>
    <d v="2018-09-30T00:00:00"/>
    <n v="33186"/>
    <x v="8"/>
    <n v="128"/>
  </r>
  <r>
    <d v="2018-10-31T00:00:00"/>
    <n v="33323"/>
    <x v="9"/>
    <n v="137"/>
  </r>
  <r>
    <d v="2018-11-30T00:00:00"/>
    <n v="33483"/>
    <x v="10"/>
    <n v="160"/>
  </r>
  <r>
    <d v="2018-12-31T00:00:00"/>
    <n v="33734"/>
    <x v="11"/>
    <n v="25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EDED40-551C-441B-984E-20E695B2D2C1}" name="Tabela przestawna1" cacheId="3" applyNumberFormats="0" applyBorderFormats="0" applyFontFormats="0" applyPatternFormats="0" applyAlignmentFormats="0" applyWidthHeightFormats="1" dataCaption="Wartości" updatedVersion="8" minRefreshableVersion="3" useAutoFormatting="1" itemPrintTitles="1" createdVersion="8" indent="0" outline="1" outlineData="1" multipleFieldFilters="0">
  <location ref="E1:F14" firstHeaderRow="1" firstDataRow="1" firstDataCol="1"/>
  <pivotFields count="4">
    <pivotField numFmtId="14" showAll="0"/>
    <pivotField showAll="0"/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dataField="1" showAll="0"/>
  </pivotFields>
  <rowFields count="1">
    <field x="2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Średnia z Zuzycie" fld="3" subtotal="average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12C699E-3120-4907-A544-8AEE56486F62}" autoFormatId="16" applyNumberFormats="0" applyBorderFormats="0" applyFontFormats="0" applyPatternFormats="0" applyAlignmentFormats="0" applyWidthHeightFormats="0">
  <queryTableRefresh nextId="5" unboundColumnsRight="2">
    <queryTableFields count="4">
      <queryTableField id="1" name="Data odczytu" tableColumnId="1"/>
      <queryTableField id="2" name="Odczyt licznika" tableColumnId="2"/>
      <queryTableField id="3" dataBound="0" tableColumnId="3"/>
      <queryTableField id="4" dataBound="0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B5C4C37-4171-490A-81F0-651E9EF62B1F}" name="gaz" displayName="gaz" ref="A1:D205" tableType="queryTable" totalsRowShown="0">
  <autoFilter ref="A1:D205" xr:uid="{5B5C4C37-4171-490A-81F0-651E9EF62B1F}"/>
  <tableColumns count="4">
    <tableColumn id="1" xr3:uid="{4AA94E3A-3E3E-4E25-A8CC-011F93719A99}" uniqueName="1" name="Data odczytu" queryTableFieldId="1" dataDxfId="2"/>
    <tableColumn id="2" xr3:uid="{2DF7FC3B-0AD4-4971-B1B3-C37243529629}" uniqueName="2" name="Odczyt licznika" queryTableFieldId="2"/>
    <tableColumn id="3" xr3:uid="{F6C096FB-1CD4-4C78-9EF9-410144B9FE57}" uniqueName="3" name="Miesiac" queryTableFieldId="3" dataDxfId="1">
      <calculatedColumnFormula>MONTH(gaz[[#This Row],[Data odczytu]])</calculatedColumnFormula>
    </tableColumn>
    <tableColumn id="4" xr3:uid="{34DC04C6-B9FC-4A32-8970-7BCEE601DFD0}" uniqueName="4" name="Zuzycie" queryTableFieldId="4" dataDxfId="0">
      <calculatedColumnFormula>gaz[[#This Row],[Odczyt licznika]]-B1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177D8-7496-4AC0-8933-E9E98C18616E}">
  <dimension ref="A1:F205"/>
  <sheetViews>
    <sheetView tabSelected="1" workbookViewId="0">
      <selection activeCell="E1" sqref="E1"/>
    </sheetView>
  </sheetViews>
  <sheetFormatPr defaultRowHeight="15" x14ac:dyDescent="0.25"/>
  <cols>
    <col min="1" max="1" width="14.5703125" bestFit="1" customWidth="1"/>
    <col min="2" max="2" width="16.42578125" bestFit="1" customWidth="1"/>
    <col min="5" max="5" width="17.7109375" bestFit="1" customWidth="1"/>
    <col min="6" max="6" width="16.14062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s="3" t="s">
        <v>4</v>
      </c>
      <c r="F1" t="s">
        <v>6</v>
      </c>
    </row>
    <row r="2" spans="1:6" x14ac:dyDescent="0.25">
      <c r="A2" s="1">
        <v>37287</v>
      </c>
      <c r="B2">
        <v>2283</v>
      </c>
      <c r="C2">
        <f>MONTH(gaz[[#This Row],[Data odczytu]])</f>
        <v>1</v>
      </c>
      <c r="D2">
        <v>200</v>
      </c>
      <c r="E2" s="4">
        <v>1</v>
      </c>
      <c r="F2" s="2">
        <v>285.47058823529414</v>
      </c>
    </row>
    <row r="3" spans="1:6" x14ac:dyDescent="0.25">
      <c r="A3" s="1">
        <v>37315</v>
      </c>
      <c r="B3">
        <v>2518</v>
      </c>
      <c r="C3">
        <f>MONTH(gaz[[#This Row],[Data odczytu]])</f>
        <v>2</v>
      </c>
      <c r="D3">
        <f>gaz[[#This Row],[Odczyt licznika]]-B2</f>
        <v>235</v>
      </c>
      <c r="E3" s="4">
        <v>2</v>
      </c>
      <c r="F3" s="2">
        <v>292.70588235294116</v>
      </c>
    </row>
    <row r="4" spans="1:6" x14ac:dyDescent="0.25">
      <c r="A4" s="1">
        <v>37346</v>
      </c>
      <c r="B4">
        <v>2696</v>
      </c>
      <c r="C4">
        <f>MONTH(gaz[[#This Row],[Data odczytu]])</f>
        <v>3</v>
      </c>
      <c r="D4">
        <f>gaz[[#This Row],[Odczyt licznika]]-B3</f>
        <v>178</v>
      </c>
      <c r="E4" s="4">
        <v>3</v>
      </c>
      <c r="F4" s="2">
        <v>219.23529411764707</v>
      </c>
    </row>
    <row r="5" spans="1:6" x14ac:dyDescent="0.25">
      <c r="A5" s="1">
        <v>37376</v>
      </c>
      <c r="B5">
        <v>2857</v>
      </c>
      <c r="C5">
        <f>MONTH(gaz[[#This Row],[Data odczytu]])</f>
        <v>4</v>
      </c>
      <c r="D5">
        <f>gaz[[#This Row],[Odczyt licznika]]-B4</f>
        <v>161</v>
      </c>
      <c r="E5" s="4">
        <v>4</v>
      </c>
      <c r="F5" s="2">
        <v>139.23529411764707</v>
      </c>
    </row>
    <row r="6" spans="1:6" x14ac:dyDescent="0.25">
      <c r="A6" s="1">
        <v>37407</v>
      </c>
      <c r="B6">
        <v>2917</v>
      </c>
      <c r="C6">
        <f>MONTH(gaz[[#This Row],[Data odczytu]])</f>
        <v>5</v>
      </c>
      <c r="D6">
        <f>gaz[[#This Row],[Odczyt licznika]]-B5</f>
        <v>60</v>
      </c>
      <c r="E6" s="4">
        <v>5</v>
      </c>
      <c r="F6" s="2">
        <v>129.76470588235293</v>
      </c>
    </row>
    <row r="7" spans="1:6" x14ac:dyDescent="0.25">
      <c r="A7" s="1">
        <v>37437</v>
      </c>
      <c r="B7">
        <v>2952</v>
      </c>
      <c r="C7">
        <f>MONTH(gaz[[#This Row],[Data odczytu]])</f>
        <v>6</v>
      </c>
      <c r="D7">
        <f>gaz[[#This Row],[Odczyt licznika]]-B6</f>
        <v>35</v>
      </c>
      <c r="E7" s="4">
        <v>6</v>
      </c>
      <c r="F7" s="2">
        <v>61</v>
      </c>
    </row>
    <row r="8" spans="1:6" x14ac:dyDescent="0.25">
      <c r="A8" s="1">
        <v>37468</v>
      </c>
      <c r="B8">
        <v>2979</v>
      </c>
      <c r="C8">
        <f>MONTH(gaz[[#This Row],[Data odczytu]])</f>
        <v>7</v>
      </c>
      <c r="D8">
        <f>gaz[[#This Row],[Odczyt licznika]]-B7</f>
        <v>27</v>
      </c>
      <c r="E8" s="4">
        <v>7</v>
      </c>
      <c r="F8" s="2">
        <v>16.647058823529413</v>
      </c>
    </row>
    <row r="9" spans="1:6" x14ac:dyDescent="0.25">
      <c r="A9" s="1">
        <v>37499</v>
      </c>
      <c r="B9">
        <v>3009</v>
      </c>
      <c r="C9">
        <f>MONTH(gaz[[#This Row],[Data odczytu]])</f>
        <v>8</v>
      </c>
      <c r="D9">
        <f>gaz[[#This Row],[Odczyt licznika]]-B8</f>
        <v>30</v>
      </c>
      <c r="E9" s="4">
        <v>8</v>
      </c>
      <c r="F9" s="2">
        <v>15.941176470588236</v>
      </c>
    </row>
    <row r="10" spans="1:6" x14ac:dyDescent="0.25">
      <c r="A10" s="1">
        <v>37529</v>
      </c>
      <c r="B10">
        <v>3040</v>
      </c>
      <c r="C10">
        <f>MONTH(gaz[[#This Row],[Data odczytu]])</f>
        <v>9</v>
      </c>
      <c r="D10">
        <f>gaz[[#This Row],[Odczyt licznika]]-B9</f>
        <v>31</v>
      </c>
      <c r="E10" s="4">
        <v>9</v>
      </c>
      <c r="F10" s="2">
        <v>110.70588235294117</v>
      </c>
    </row>
    <row r="11" spans="1:6" x14ac:dyDescent="0.25">
      <c r="A11" s="1">
        <v>37560</v>
      </c>
      <c r="B11">
        <v>3116</v>
      </c>
      <c r="C11">
        <f>MONTH(gaz[[#This Row],[Data odczytu]])</f>
        <v>10</v>
      </c>
      <c r="D11">
        <f>gaz[[#This Row],[Odczyt licznika]]-B10</f>
        <v>76</v>
      </c>
      <c r="E11" s="4">
        <v>10</v>
      </c>
      <c r="F11" s="2">
        <v>147.70588235294119</v>
      </c>
    </row>
    <row r="12" spans="1:6" x14ac:dyDescent="0.25">
      <c r="A12" s="1">
        <v>37590</v>
      </c>
      <c r="B12">
        <v>3222</v>
      </c>
      <c r="C12">
        <f>MONTH(gaz[[#This Row],[Data odczytu]])</f>
        <v>11</v>
      </c>
      <c r="D12">
        <f>gaz[[#This Row],[Odczyt licznika]]-B11</f>
        <v>106</v>
      </c>
      <c r="E12" s="4">
        <v>11</v>
      </c>
      <c r="F12" s="2">
        <v>197.11764705882354</v>
      </c>
    </row>
    <row r="13" spans="1:6" x14ac:dyDescent="0.25">
      <c r="A13" s="1">
        <v>37621</v>
      </c>
      <c r="B13">
        <v>3393</v>
      </c>
      <c r="C13">
        <f>MONTH(gaz[[#This Row],[Data odczytu]])</f>
        <v>12</v>
      </c>
      <c r="D13">
        <f>gaz[[#This Row],[Odczyt licznika]]-B12</f>
        <v>171</v>
      </c>
      <c r="E13" s="4">
        <v>12</v>
      </c>
      <c r="F13" s="2">
        <v>246.29411764705881</v>
      </c>
    </row>
    <row r="14" spans="1:6" x14ac:dyDescent="0.25">
      <c r="A14" s="1">
        <v>37652</v>
      </c>
      <c r="B14">
        <v>3613</v>
      </c>
      <c r="C14">
        <f>MONTH(gaz[[#This Row],[Data odczytu]])</f>
        <v>1</v>
      </c>
      <c r="D14">
        <f>gaz[[#This Row],[Odczyt licznika]]-B13</f>
        <v>220</v>
      </c>
      <c r="E14" s="4" t="s">
        <v>5</v>
      </c>
      <c r="F14" s="2">
        <v>155.15196078431373</v>
      </c>
    </row>
    <row r="15" spans="1:6" x14ac:dyDescent="0.25">
      <c r="A15" s="1">
        <v>37680</v>
      </c>
      <c r="B15">
        <v>3891</v>
      </c>
      <c r="C15">
        <f>MONTH(gaz[[#This Row],[Data odczytu]])</f>
        <v>2</v>
      </c>
      <c r="D15">
        <f>gaz[[#This Row],[Odczyt licznika]]-B14</f>
        <v>278</v>
      </c>
    </row>
    <row r="16" spans="1:6" x14ac:dyDescent="0.25">
      <c r="A16" s="1">
        <v>37711</v>
      </c>
      <c r="B16">
        <v>4151</v>
      </c>
      <c r="C16">
        <f>MONTH(gaz[[#This Row],[Data odczytu]])</f>
        <v>3</v>
      </c>
      <c r="D16">
        <f>gaz[[#This Row],[Odczyt licznika]]-B15</f>
        <v>260</v>
      </c>
    </row>
    <row r="17" spans="1:4" x14ac:dyDescent="0.25">
      <c r="A17" s="1">
        <v>37741</v>
      </c>
      <c r="B17">
        <v>4401</v>
      </c>
      <c r="C17">
        <f>MONTH(gaz[[#This Row],[Data odczytu]])</f>
        <v>4</v>
      </c>
      <c r="D17">
        <f>gaz[[#This Row],[Odczyt licznika]]-B16</f>
        <v>250</v>
      </c>
    </row>
    <row r="18" spans="1:4" x14ac:dyDescent="0.25">
      <c r="A18" s="1">
        <v>37772</v>
      </c>
      <c r="B18">
        <v>4553</v>
      </c>
      <c r="C18">
        <f>MONTH(gaz[[#This Row],[Data odczytu]])</f>
        <v>5</v>
      </c>
      <c r="D18">
        <f>gaz[[#This Row],[Odczyt licznika]]-B17</f>
        <v>152</v>
      </c>
    </row>
    <row r="19" spans="1:4" x14ac:dyDescent="0.25">
      <c r="A19" s="1">
        <v>37802</v>
      </c>
      <c r="B19">
        <v>4639</v>
      </c>
      <c r="C19">
        <f>MONTH(gaz[[#This Row],[Data odczytu]])</f>
        <v>6</v>
      </c>
      <c r="D19">
        <f>gaz[[#This Row],[Odczyt licznika]]-B18</f>
        <v>86</v>
      </c>
    </row>
    <row r="20" spans="1:4" x14ac:dyDescent="0.25">
      <c r="A20" s="1">
        <v>37833</v>
      </c>
      <c r="B20">
        <v>4654</v>
      </c>
      <c r="C20">
        <f>MONTH(gaz[[#This Row],[Data odczytu]])</f>
        <v>7</v>
      </c>
      <c r="D20">
        <f>gaz[[#This Row],[Odczyt licznika]]-B19</f>
        <v>15</v>
      </c>
    </row>
    <row r="21" spans="1:4" x14ac:dyDescent="0.25">
      <c r="A21" s="1">
        <v>37864</v>
      </c>
      <c r="B21">
        <v>4669</v>
      </c>
      <c r="C21">
        <f>MONTH(gaz[[#This Row],[Data odczytu]])</f>
        <v>8</v>
      </c>
      <c r="D21">
        <f>gaz[[#This Row],[Odczyt licznika]]-B20</f>
        <v>15</v>
      </c>
    </row>
    <row r="22" spans="1:4" x14ac:dyDescent="0.25">
      <c r="A22" s="1">
        <v>37894</v>
      </c>
      <c r="B22">
        <v>4819</v>
      </c>
      <c r="C22">
        <f>MONTH(gaz[[#This Row],[Data odczytu]])</f>
        <v>9</v>
      </c>
      <c r="D22">
        <f>gaz[[#This Row],[Odczyt licznika]]-B21</f>
        <v>150</v>
      </c>
    </row>
    <row r="23" spans="1:4" x14ac:dyDescent="0.25">
      <c r="A23" s="1">
        <v>37925</v>
      </c>
      <c r="B23">
        <v>4976</v>
      </c>
      <c r="C23">
        <f>MONTH(gaz[[#This Row],[Data odczytu]])</f>
        <v>10</v>
      </c>
      <c r="D23">
        <f>gaz[[#This Row],[Odczyt licznika]]-B22</f>
        <v>157</v>
      </c>
    </row>
    <row r="24" spans="1:4" x14ac:dyDescent="0.25">
      <c r="A24" s="1">
        <v>37955</v>
      </c>
      <c r="B24">
        <v>5078</v>
      </c>
      <c r="C24">
        <f>MONTH(gaz[[#This Row],[Data odczytu]])</f>
        <v>11</v>
      </c>
      <c r="D24">
        <f>gaz[[#This Row],[Odczyt licznika]]-B23</f>
        <v>102</v>
      </c>
    </row>
    <row r="25" spans="1:4" x14ac:dyDescent="0.25">
      <c r="A25" s="1">
        <v>37986</v>
      </c>
      <c r="B25">
        <v>5260</v>
      </c>
      <c r="C25">
        <f>MONTH(gaz[[#This Row],[Data odczytu]])</f>
        <v>12</v>
      </c>
      <c r="D25">
        <f>gaz[[#This Row],[Odczyt licznika]]-B24</f>
        <v>182</v>
      </c>
    </row>
    <row r="26" spans="1:4" x14ac:dyDescent="0.25">
      <c r="A26" s="1">
        <v>38017</v>
      </c>
      <c r="B26">
        <v>5508</v>
      </c>
      <c r="C26">
        <f>MONTH(gaz[[#This Row],[Data odczytu]])</f>
        <v>1</v>
      </c>
      <c r="D26">
        <f>gaz[[#This Row],[Odczyt licznika]]-B25</f>
        <v>248</v>
      </c>
    </row>
    <row r="27" spans="1:4" x14ac:dyDescent="0.25">
      <c r="A27" s="1">
        <v>38045</v>
      </c>
      <c r="B27">
        <v>5754</v>
      </c>
      <c r="C27">
        <f>MONTH(gaz[[#This Row],[Data odczytu]])</f>
        <v>2</v>
      </c>
      <c r="D27">
        <f>gaz[[#This Row],[Odczyt licznika]]-B26</f>
        <v>246</v>
      </c>
    </row>
    <row r="28" spans="1:4" x14ac:dyDescent="0.25">
      <c r="A28" s="1">
        <v>38077</v>
      </c>
      <c r="B28">
        <v>5945</v>
      </c>
      <c r="C28">
        <f>MONTH(gaz[[#This Row],[Data odczytu]])</f>
        <v>3</v>
      </c>
      <c r="D28">
        <f>gaz[[#This Row],[Odczyt licznika]]-B27</f>
        <v>191</v>
      </c>
    </row>
    <row r="29" spans="1:4" x14ac:dyDescent="0.25">
      <c r="A29" s="1">
        <v>38107</v>
      </c>
      <c r="B29">
        <v>6050</v>
      </c>
      <c r="C29">
        <f>MONTH(gaz[[#This Row],[Data odczytu]])</f>
        <v>4</v>
      </c>
      <c r="D29">
        <f>gaz[[#This Row],[Odczyt licznika]]-B28</f>
        <v>105</v>
      </c>
    </row>
    <row r="30" spans="1:4" x14ac:dyDescent="0.25">
      <c r="A30" s="1">
        <v>38138</v>
      </c>
      <c r="B30">
        <v>6146</v>
      </c>
      <c r="C30">
        <f>MONTH(gaz[[#This Row],[Data odczytu]])</f>
        <v>5</v>
      </c>
      <c r="D30">
        <f>gaz[[#This Row],[Odczyt licznika]]-B29</f>
        <v>96</v>
      </c>
    </row>
    <row r="31" spans="1:4" x14ac:dyDescent="0.25">
      <c r="A31" s="1">
        <v>38168</v>
      </c>
      <c r="B31">
        <v>6173</v>
      </c>
      <c r="C31">
        <f>MONTH(gaz[[#This Row],[Data odczytu]])</f>
        <v>6</v>
      </c>
      <c r="D31">
        <f>gaz[[#This Row],[Odczyt licznika]]-B30</f>
        <v>27</v>
      </c>
    </row>
    <row r="32" spans="1:4" x14ac:dyDescent="0.25">
      <c r="A32" s="1">
        <v>38199</v>
      </c>
      <c r="B32">
        <v>6183</v>
      </c>
      <c r="C32">
        <f>MONTH(gaz[[#This Row],[Data odczytu]])</f>
        <v>7</v>
      </c>
      <c r="D32">
        <f>gaz[[#This Row],[Odczyt licznika]]-B31</f>
        <v>10</v>
      </c>
    </row>
    <row r="33" spans="1:4" x14ac:dyDescent="0.25">
      <c r="A33" s="1">
        <v>38230</v>
      </c>
      <c r="B33">
        <v>6195</v>
      </c>
      <c r="C33">
        <f>MONTH(gaz[[#This Row],[Data odczytu]])</f>
        <v>8</v>
      </c>
      <c r="D33">
        <f>gaz[[#This Row],[Odczyt licznika]]-B32</f>
        <v>12</v>
      </c>
    </row>
    <row r="34" spans="1:4" x14ac:dyDescent="0.25">
      <c r="A34" s="1">
        <v>38260</v>
      </c>
      <c r="B34">
        <v>6304</v>
      </c>
      <c r="C34">
        <f>MONTH(gaz[[#This Row],[Data odczytu]])</f>
        <v>9</v>
      </c>
      <c r="D34">
        <f>gaz[[#This Row],[Odczyt licznika]]-B33</f>
        <v>109</v>
      </c>
    </row>
    <row r="35" spans="1:4" x14ac:dyDescent="0.25">
      <c r="A35" s="1">
        <v>38291</v>
      </c>
      <c r="B35">
        <v>6459</v>
      </c>
      <c r="C35">
        <f>MONTH(gaz[[#This Row],[Data odczytu]])</f>
        <v>10</v>
      </c>
      <c r="D35">
        <f>gaz[[#This Row],[Odczyt licznika]]-B34</f>
        <v>155</v>
      </c>
    </row>
    <row r="36" spans="1:4" x14ac:dyDescent="0.25">
      <c r="A36" s="1">
        <v>38321</v>
      </c>
      <c r="B36">
        <v>6737</v>
      </c>
      <c r="C36">
        <f>MONTH(gaz[[#This Row],[Data odczytu]])</f>
        <v>11</v>
      </c>
      <c r="D36">
        <f>gaz[[#This Row],[Odczyt licznika]]-B35</f>
        <v>278</v>
      </c>
    </row>
    <row r="37" spans="1:4" x14ac:dyDescent="0.25">
      <c r="A37" s="1">
        <v>38352</v>
      </c>
      <c r="B37">
        <v>6997</v>
      </c>
      <c r="C37">
        <f>MONTH(gaz[[#This Row],[Data odczytu]])</f>
        <v>12</v>
      </c>
      <c r="D37">
        <f>gaz[[#This Row],[Odczyt licznika]]-B36</f>
        <v>260</v>
      </c>
    </row>
    <row r="38" spans="1:4" x14ac:dyDescent="0.25">
      <c r="A38" s="1">
        <v>38383</v>
      </c>
      <c r="B38">
        <v>7247</v>
      </c>
      <c r="C38">
        <f>MONTH(gaz[[#This Row],[Data odczytu]])</f>
        <v>1</v>
      </c>
      <c r="D38">
        <f>gaz[[#This Row],[Odczyt licznika]]-B37</f>
        <v>250</v>
      </c>
    </row>
    <row r="39" spans="1:4" x14ac:dyDescent="0.25">
      <c r="A39" s="1">
        <v>38411</v>
      </c>
      <c r="B39">
        <v>7399</v>
      </c>
      <c r="C39">
        <f>MONTH(gaz[[#This Row],[Data odczytu]])</f>
        <v>2</v>
      </c>
      <c r="D39">
        <f>gaz[[#This Row],[Odczyt licznika]]-B38</f>
        <v>152</v>
      </c>
    </row>
    <row r="40" spans="1:4" x14ac:dyDescent="0.25">
      <c r="A40" s="1">
        <v>38442</v>
      </c>
      <c r="B40">
        <v>7584</v>
      </c>
      <c r="C40">
        <f>MONTH(gaz[[#This Row],[Data odczytu]])</f>
        <v>3</v>
      </c>
      <c r="D40">
        <f>gaz[[#This Row],[Odczyt licznika]]-B39</f>
        <v>185</v>
      </c>
    </row>
    <row r="41" spans="1:4" x14ac:dyDescent="0.25">
      <c r="A41" s="1">
        <v>38472</v>
      </c>
      <c r="B41">
        <v>7745</v>
      </c>
      <c r="C41">
        <f>MONTH(gaz[[#This Row],[Data odczytu]])</f>
        <v>4</v>
      </c>
      <c r="D41">
        <f>gaz[[#This Row],[Odczyt licznika]]-B40</f>
        <v>161</v>
      </c>
    </row>
    <row r="42" spans="1:4" x14ac:dyDescent="0.25">
      <c r="A42" s="1">
        <v>38503</v>
      </c>
      <c r="B42">
        <v>7935</v>
      </c>
      <c r="C42">
        <f>MONTH(gaz[[#This Row],[Data odczytu]])</f>
        <v>5</v>
      </c>
      <c r="D42">
        <f>gaz[[#This Row],[Odczyt licznika]]-B41</f>
        <v>190</v>
      </c>
    </row>
    <row r="43" spans="1:4" x14ac:dyDescent="0.25">
      <c r="A43" s="1">
        <v>38533</v>
      </c>
      <c r="B43">
        <v>8043</v>
      </c>
      <c r="C43">
        <f>MONTH(gaz[[#This Row],[Data odczytu]])</f>
        <v>6</v>
      </c>
      <c r="D43">
        <f>gaz[[#This Row],[Odczyt licznika]]-B42</f>
        <v>108</v>
      </c>
    </row>
    <row r="44" spans="1:4" x14ac:dyDescent="0.25">
      <c r="A44" s="1">
        <v>38564</v>
      </c>
      <c r="B44">
        <v>8062</v>
      </c>
      <c r="C44">
        <f>MONTH(gaz[[#This Row],[Data odczytu]])</f>
        <v>7</v>
      </c>
      <c r="D44">
        <f>gaz[[#This Row],[Odczyt licznika]]-B43</f>
        <v>19</v>
      </c>
    </row>
    <row r="45" spans="1:4" x14ac:dyDescent="0.25">
      <c r="A45" s="1">
        <v>38595</v>
      </c>
      <c r="B45">
        <v>8081</v>
      </c>
      <c r="C45">
        <f>MONTH(gaz[[#This Row],[Data odczytu]])</f>
        <v>8</v>
      </c>
      <c r="D45">
        <f>gaz[[#This Row],[Odczyt licznika]]-B44</f>
        <v>19</v>
      </c>
    </row>
    <row r="46" spans="1:4" x14ac:dyDescent="0.25">
      <c r="A46" s="1">
        <v>38625</v>
      </c>
      <c r="B46">
        <v>8269</v>
      </c>
      <c r="C46">
        <f>MONTH(gaz[[#This Row],[Data odczytu]])</f>
        <v>9</v>
      </c>
      <c r="D46">
        <f>gaz[[#This Row],[Odczyt licznika]]-B45</f>
        <v>188</v>
      </c>
    </row>
    <row r="47" spans="1:4" x14ac:dyDescent="0.25">
      <c r="A47" s="1">
        <v>38656</v>
      </c>
      <c r="B47">
        <v>8465</v>
      </c>
      <c r="C47">
        <f>MONTH(gaz[[#This Row],[Data odczytu]])</f>
        <v>10</v>
      </c>
      <c r="D47">
        <f>gaz[[#This Row],[Odczyt licznika]]-B46</f>
        <v>196</v>
      </c>
    </row>
    <row r="48" spans="1:4" x14ac:dyDescent="0.25">
      <c r="A48" s="1">
        <v>38686</v>
      </c>
      <c r="B48">
        <v>8592</v>
      </c>
      <c r="C48">
        <f>MONTH(gaz[[#This Row],[Data odczytu]])</f>
        <v>11</v>
      </c>
      <c r="D48">
        <f>gaz[[#This Row],[Odczyt licznika]]-B47</f>
        <v>127</v>
      </c>
    </row>
    <row r="49" spans="1:4" x14ac:dyDescent="0.25">
      <c r="A49" s="1">
        <v>38717</v>
      </c>
      <c r="B49">
        <v>8819</v>
      </c>
      <c r="C49">
        <f>MONTH(gaz[[#This Row],[Data odczytu]])</f>
        <v>12</v>
      </c>
      <c r="D49">
        <f>gaz[[#This Row],[Odczyt licznika]]-B48</f>
        <v>227</v>
      </c>
    </row>
    <row r="50" spans="1:4" x14ac:dyDescent="0.25">
      <c r="A50" s="1">
        <v>38748</v>
      </c>
      <c r="B50">
        <v>9129</v>
      </c>
      <c r="C50">
        <f>MONTH(gaz[[#This Row],[Data odczytu]])</f>
        <v>1</v>
      </c>
      <c r="D50">
        <f>gaz[[#This Row],[Odczyt licznika]]-B49</f>
        <v>310</v>
      </c>
    </row>
    <row r="51" spans="1:4" x14ac:dyDescent="0.25">
      <c r="A51" s="1">
        <v>38776</v>
      </c>
      <c r="B51">
        <v>9424</v>
      </c>
      <c r="C51">
        <f>MONTH(gaz[[#This Row],[Data odczytu]])</f>
        <v>2</v>
      </c>
      <c r="D51">
        <f>gaz[[#This Row],[Odczyt licznika]]-B50</f>
        <v>295</v>
      </c>
    </row>
    <row r="52" spans="1:4" x14ac:dyDescent="0.25">
      <c r="A52" s="1">
        <v>38807</v>
      </c>
      <c r="B52">
        <v>9662</v>
      </c>
      <c r="C52">
        <f>MONTH(gaz[[#This Row],[Data odczytu]])</f>
        <v>3</v>
      </c>
      <c r="D52">
        <f>gaz[[#This Row],[Odczyt licznika]]-B51</f>
        <v>238</v>
      </c>
    </row>
    <row r="53" spans="1:4" x14ac:dyDescent="0.25">
      <c r="A53" s="1">
        <v>38837</v>
      </c>
      <c r="B53">
        <v>9778</v>
      </c>
      <c r="C53">
        <f>MONTH(gaz[[#This Row],[Data odczytu]])</f>
        <v>4</v>
      </c>
      <c r="D53">
        <f>gaz[[#This Row],[Odczyt licznika]]-B52</f>
        <v>116</v>
      </c>
    </row>
    <row r="54" spans="1:4" x14ac:dyDescent="0.25">
      <c r="A54" s="1">
        <v>38868</v>
      </c>
      <c r="B54">
        <v>9884</v>
      </c>
      <c r="C54">
        <f>MONTH(gaz[[#This Row],[Data odczytu]])</f>
        <v>5</v>
      </c>
      <c r="D54">
        <f>gaz[[#This Row],[Odczyt licznika]]-B53</f>
        <v>106</v>
      </c>
    </row>
    <row r="55" spans="1:4" x14ac:dyDescent="0.25">
      <c r="A55" s="1">
        <v>38898</v>
      </c>
      <c r="B55">
        <v>9914</v>
      </c>
      <c r="C55">
        <f>MONTH(gaz[[#This Row],[Data odczytu]])</f>
        <v>6</v>
      </c>
      <c r="D55">
        <f>gaz[[#This Row],[Odczyt licznika]]-B54</f>
        <v>30</v>
      </c>
    </row>
    <row r="56" spans="1:4" x14ac:dyDescent="0.25">
      <c r="A56" s="1">
        <v>38929</v>
      </c>
      <c r="B56">
        <v>9925</v>
      </c>
      <c r="C56">
        <f>MONTH(gaz[[#This Row],[Data odczytu]])</f>
        <v>7</v>
      </c>
      <c r="D56">
        <f>gaz[[#This Row],[Odczyt licznika]]-B55</f>
        <v>11</v>
      </c>
    </row>
    <row r="57" spans="1:4" x14ac:dyDescent="0.25">
      <c r="A57" s="1">
        <v>38960</v>
      </c>
      <c r="B57">
        <v>9938</v>
      </c>
      <c r="C57">
        <f>MONTH(gaz[[#This Row],[Data odczytu]])</f>
        <v>8</v>
      </c>
      <c r="D57">
        <f>gaz[[#This Row],[Odczyt licznika]]-B56</f>
        <v>13</v>
      </c>
    </row>
    <row r="58" spans="1:4" x14ac:dyDescent="0.25">
      <c r="A58" s="1">
        <v>38990</v>
      </c>
      <c r="B58">
        <v>10059</v>
      </c>
      <c r="C58">
        <f>MONTH(gaz[[#This Row],[Data odczytu]])</f>
        <v>9</v>
      </c>
      <c r="D58">
        <f>gaz[[#This Row],[Odczyt licznika]]-B57</f>
        <v>121</v>
      </c>
    </row>
    <row r="59" spans="1:4" x14ac:dyDescent="0.25">
      <c r="A59" s="1">
        <v>39021</v>
      </c>
      <c r="B59">
        <v>10211</v>
      </c>
      <c r="C59">
        <f>MONTH(gaz[[#This Row],[Data odczytu]])</f>
        <v>10</v>
      </c>
      <c r="D59">
        <f>gaz[[#This Row],[Odczyt licznika]]-B58</f>
        <v>152</v>
      </c>
    </row>
    <row r="60" spans="1:4" x14ac:dyDescent="0.25">
      <c r="A60" s="1">
        <v>39051</v>
      </c>
      <c r="B60">
        <v>10486</v>
      </c>
      <c r="C60">
        <f>MONTH(gaz[[#This Row],[Data odczytu]])</f>
        <v>11</v>
      </c>
      <c r="D60">
        <f>gaz[[#This Row],[Odczyt licznika]]-B59</f>
        <v>275</v>
      </c>
    </row>
    <row r="61" spans="1:4" x14ac:dyDescent="0.25">
      <c r="A61" s="1">
        <v>39082</v>
      </c>
      <c r="B61">
        <v>10742</v>
      </c>
      <c r="C61">
        <f>MONTH(gaz[[#This Row],[Data odczytu]])</f>
        <v>12</v>
      </c>
      <c r="D61">
        <f>gaz[[#This Row],[Odczyt licznika]]-B60</f>
        <v>256</v>
      </c>
    </row>
    <row r="62" spans="1:4" x14ac:dyDescent="0.25">
      <c r="A62" s="1">
        <v>39113</v>
      </c>
      <c r="B62">
        <v>10988</v>
      </c>
      <c r="C62">
        <f>MONTH(gaz[[#This Row],[Data odczytu]])</f>
        <v>1</v>
      </c>
      <c r="D62">
        <f>gaz[[#This Row],[Odczyt licznika]]-B61</f>
        <v>246</v>
      </c>
    </row>
    <row r="63" spans="1:4" x14ac:dyDescent="0.25">
      <c r="A63" s="1">
        <v>39141</v>
      </c>
      <c r="B63">
        <v>11138</v>
      </c>
      <c r="C63">
        <f>MONTH(gaz[[#This Row],[Data odczytu]])</f>
        <v>2</v>
      </c>
      <c r="D63">
        <f>gaz[[#This Row],[Odczyt licznika]]-B62</f>
        <v>150</v>
      </c>
    </row>
    <row r="64" spans="1:4" x14ac:dyDescent="0.25">
      <c r="A64" s="1">
        <v>39172</v>
      </c>
      <c r="B64">
        <v>11321</v>
      </c>
      <c r="C64">
        <f>MONTH(gaz[[#This Row],[Data odczytu]])</f>
        <v>3</v>
      </c>
      <c r="D64">
        <f>gaz[[#This Row],[Odczyt licznika]]-B63</f>
        <v>183</v>
      </c>
    </row>
    <row r="65" spans="1:4" x14ac:dyDescent="0.25">
      <c r="A65" s="1">
        <v>39202</v>
      </c>
      <c r="B65">
        <v>11481</v>
      </c>
      <c r="C65">
        <f>MONTH(gaz[[#This Row],[Data odczytu]])</f>
        <v>4</v>
      </c>
      <c r="D65">
        <f>gaz[[#This Row],[Odczyt licznika]]-B64</f>
        <v>160</v>
      </c>
    </row>
    <row r="66" spans="1:4" x14ac:dyDescent="0.25">
      <c r="A66" s="1">
        <v>39233</v>
      </c>
      <c r="B66">
        <v>11669</v>
      </c>
      <c r="C66">
        <f>MONTH(gaz[[#This Row],[Data odczytu]])</f>
        <v>5</v>
      </c>
      <c r="D66">
        <f>gaz[[#This Row],[Odczyt licznika]]-B65</f>
        <v>188</v>
      </c>
    </row>
    <row r="67" spans="1:4" x14ac:dyDescent="0.25">
      <c r="A67" s="1">
        <v>39263</v>
      </c>
      <c r="B67">
        <v>11776</v>
      </c>
      <c r="C67">
        <f>MONTH(gaz[[#This Row],[Data odczytu]])</f>
        <v>6</v>
      </c>
      <c r="D67">
        <f>gaz[[#This Row],[Odczyt licznika]]-B66</f>
        <v>107</v>
      </c>
    </row>
    <row r="68" spans="1:4" x14ac:dyDescent="0.25">
      <c r="A68" s="1">
        <v>39294</v>
      </c>
      <c r="B68">
        <v>11795</v>
      </c>
      <c r="C68">
        <f>MONTH(gaz[[#This Row],[Data odczytu]])</f>
        <v>7</v>
      </c>
      <c r="D68">
        <f>gaz[[#This Row],[Odczyt licznika]]-B67</f>
        <v>19</v>
      </c>
    </row>
    <row r="69" spans="1:4" x14ac:dyDescent="0.25">
      <c r="A69" s="1">
        <v>39325</v>
      </c>
      <c r="B69">
        <v>11814</v>
      </c>
      <c r="C69">
        <f>MONTH(gaz[[#This Row],[Data odczytu]])</f>
        <v>8</v>
      </c>
      <c r="D69">
        <f>gaz[[#This Row],[Odczyt licznika]]-B68</f>
        <v>19</v>
      </c>
    </row>
    <row r="70" spans="1:4" x14ac:dyDescent="0.25">
      <c r="A70" s="1">
        <v>39355</v>
      </c>
      <c r="B70">
        <v>11901</v>
      </c>
      <c r="C70">
        <f>MONTH(gaz[[#This Row],[Data odczytu]])</f>
        <v>9</v>
      </c>
      <c r="D70">
        <f>gaz[[#This Row],[Odczyt licznika]]-B69</f>
        <v>87</v>
      </c>
    </row>
    <row r="71" spans="1:4" x14ac:dyDescent="0.25">
      <c r="A71" s="1">
        <v>39386</v>
      </c>
      <c r="B71">
        <v>12044</v>
      </c>
      <c r="C71">
        <f>MONTH(gaz[[#This Row],[Data odczytu]])</f>
        <v>10</v>
      </c>
      <c r="D71">
        <f>gaz[[#This Row],[Odczyt licznika]]-B70</f>
        <v>143</v>
      </c>
    </row>
    <row r="72" spans="1:4" x14ac:dyDescent="0.25">
      <c r="A72" s="1">
        <v>39416</v>
      </c>
      <c r="B72">
        <v>12170</v>
      </c>
      <c r="C72">
        <f>MONTH(gaz[[#This Row],[Data odczytu]])</f>
        <v>11</v>
      </c>
      <c r="D72">
        <f>gaz[[#This Row],[Odczyt licznika]]-B71</f>
        <v>126</v>
      </c>
    </row>
    <row r="73" spans="1:4" x14ac:dyDescent="0.25">
      <c r="A73" s="1">
        <v>39447</v>
      </c>
      <c r="B73">
        <v>12395</v>
      </c>
      <c r="C73">
        <f>MONTH(gaz[[#This Row],[Data odczytu]])</f>
        <v>12</v>
      </c>
      <c r="D73">
        <f>gaz[[#This Row],[Odczyt licznika]]-B72</f>
        <v>225</v>
      </c>
    </row>
    <row r="74" spans="1:4" x14ac:dyDescent="0.25">
      <c r="A74" s="1">
        <v>39478</v>
      </c>
      <c r="B74">
        <v>12702</v>
      </c>
      <c r="C74">
        <f>MONTH(gaz[[#This Row],[Data odczytu]])</f>
        <v>1</v>
      </c>
      <c r="D74">
        <f>gaz[[#This Row],[Odczyt licznika]]-B73</f>
        <v>307</v>
      </c>
    </row>
    <row r="75" spans="1:4" x14ac:dyDescent="0.25">
      <c r="A75" s="1">
        <v>39506</v>
      </c>
      <c r="B75">
        <v>13025</v>
      </c>
      <c r="C75">
        <f>MONTH(gaz[[#This Row],[Data odczytu]])</f>
        <v>2</v>
      </c>
      <c r="D75">
        <f>gaz[[#This Row],[Odczyt licznika]]-B74</f>
        <v>323</v>
      </c>
    </row>
    <row r="76" spans="1:4" x14ac:dyDescent="0.25">
      <c r="A76" s="1">
        <v>39538</v>
      </c>
      <c r="B76">
        <v>13261</v>
      </c>
      <c r="C76">
        <f>MONTH(gaz[[#This Row],[Data odczytu]])</f>
        <v>3</v>
      </c>
      <c r="D76">
        <f>gaz[[#This Row],[Odczyt licznika]]-B75</f>
        <v>236</v>
      </c>
    </row>
    <row r="77" spans="1:4" x14ac:dyDescent="0.25">
      <c r="A77" s="1">
        <v>39568</v>
      </c>
      <c r="B77">
        <v>13376</v>
      </c>
      <c r="C77">
        <f>MONTH(gaz[[#This Row],[Data odczytu]])</f>
        <v>4</v>
      </c>
      <c r="D77">
        <f>gaz[[#This Row],[Odczyt licznika]]-B76</f>
        <v>115</v>
      </c>
    </row>
    <row r="78" spans="1:4" x14ac:dyDescent="0.25">
      <c r="A78" s="1">
        <v>39599</v>
      </c>
      <c r="B78">
        <v>13478</v>
      </c>
      <c r="C78">
        <f>MONTH(gaz[[#This Row],[Data odczytu]])</f>
        <v>5</v>
      </c>
      <c r="D78">
        <f>gaz[[#This Row],[Odczyt licznika]]-B77</f>
        <v>102</v>
      </c>
    </row>
    <row r="79" spans="1:4" x14ac:dyDescent="0.25">
      <c r="A79" s="1">
        <v>39629</v>
      </c>
      <c r="B79">
        <v>13506</v>
      </c>
      <c r="C79">
        <f>MONTH(gaz[[#This Row],[Data odczytu]])</f>
        <v>6</v>
      </c>
      <c r="D79">
        <f>gaz[[#This Row],[Odczyt licznika]]-B78</f>
        <v>28</v>
      </c>
    </row>
    <row r="80" spans="1:4" x14ac:dyDescent="0.25">
      <c r="A80" s="1">
        <v>39660</v>
      </c>
      <c r="B80">
        <v>13516</v>
      </c>
      <c r="C80">
        <f>MONTH(gaz[[#This Row],[Data odczytu]])</f>
        <v>7</v>
      </c>
      <c r="D80">
        <f>gaz[[#This Row],[Odczyt licznika]]-B79</f>
        <v>10</v>
      </c>
    </row>
    <row r="81" spans="1:4" x14ac:dyDescent="0.25">
      <c r="A81" s="1">
        <v>39691</v>
      </c>
      <c r="B81">
        <v>13529</v>
      </c>
      <c r="C81">
        <f>MONTH(gaz[[#This Row],[Data odczytu]])</f>
        <v>8</v>
      </c>
      <c r="D81">
        <f>gaz[[#This Row],[Odczyt licznika]]-B80</f>
        <v>13</v>
      </c>
    </row>
    <row r="82" spans="1:4" x14ac:dyDescent="0.25">
      <c r="A82" s="1">
        <v>39721</v>
      </c>
      <c r="B82">
        <v>13645</v>
      </c>
      <c r="C82">
        <f>MONTH(gaz[[#This Row],[Data odczytu]])</f>
        <v>9</v>
      </c>
      <c r="D82">
        <f>gaz[[#This Row],[Odczyt licznika]]-B81</f>
        <v>116</v>
      </c>
    </row>
    <row r="83" spans="1:4" x14ac:dyDescent="0.25">
      <c r="A83" s="1">
        <v>39752</v>
      </c>
      <c r="B83">
        <v>13791</v>
      </c>
      <c r="C83">
        <f>MONTH(gaz[[#This Row],[Data odczytu]])</f>
        <v>10</v>
      </c>
      <c r="D83">
        <f>gaz[[#This Row],[Odczyt licznika]]-B82</f>
        <v>146</v>
      </c>
    </row>
    <row r="84" spans="1:4" x14ac:dyDescent="0.25">
      <c r="A84" s="1">
        <v>39782</v>
      </c>
      <c r="B84">
        <v>14055</v>
      </c>
      <c r="C84">
        <f>MONTH(gaz[[#This Row],[Data odczytu]])</f>
        <v>11</v>
      </c>
      <c r="D84">
        <f>gaz[[#This Row],[Odczyt licznika]]-B83</f>
        <v>264</v>
      </c>
    </row>
    <row r="85" spans="1:4" x14ac:dyDescent="0.25">
      <c r="A85" s="1">
        <v>39813</v>
      </c>
      <c r="B85">
        <v>14301</v>
      </c>
      <c r="C85">
        <f>MONTH(gaz[[#This Row],[Data odczytu]])</f>
        <v>12</v>
      </c>
      <c r="D85">
        <f>gaz[[#This Row],[Odczyt licznika]]-B84</f>
        <v>246</v>
      </c>
    </row>
    <row r="86" spans="1:4" x14ac:dyDescent="0.25">
      <c r="A86" s="1">
        <v>39844</v>
      </c>
      <c r="B86">
        <v>14537</v>
      </c>
      <c r="C86">
        <f>MONTH(gaz[[#This Row],[Data odczytu]])</f>
        <v>1</v>
      </c>
      <c r="D86">
        <f>gaz[[#This Row],[Odczyt licznika]]-B85</f>
        <v>236</v>
      </c>
    </row>
    <row r="87" spans="1:4" x14ac:dyDescent="0.25">
      <c r="A87" s="1">
        <v>39872</v>
      </c>
      <c r="B87">
        <v>14827</v>
      </c>
      <c r="C87">
        <f>MONTH(gaz[[#This Row],[Data odczytu]])</f>
        <v>2</v>
      </c>
      <c r="D87">
        <f>gaz[[#This Row],[Odczyt licznika]]-B86</f>
        <v>290</v>
      </c>
    </row>
    <row r="88" spans="1:4" x14ac:dyDescent="0.25">
      <c r="A88" s="1">
        <v>39903</v>
      </c>
      <c r="B88">
        <v>15002</v>
      </c>
      <c r="C88">
        <f>MONTH(gaz[[#This Row],[Data odczytu]])</f>
        <v>3</v>
      </c>
      <c r="D88">
        <f>gaz[[#This Row],[Odczyt licznika]]-B87</f>
        <v>175</v>
      </c>
    </row>
    <row r="89" spans="1:4" x14ac:dyDescent="0.25">
      <c r="A89" s="1">
        <v>39933</v>
      </c>
      <c r="B89">
        <v>15155</v>
      </c>
      <c r="C89">
        <f>MONTH(gaz[[#This Row],[Data odczytu]])</f>
        <v>4</v>
      </c>
      <c r="D89">
        <f>gaz[[#This Row],[Odczyt licznika]]-B88</f>
        <v>153</v>
      </c>
    </row>
    <row r="90" spans="1:4" x14ac:dyDescent="0.25">
      <c r="A90" s="1">
        <v>39964</v>
      </c>
      <c r="B90">
        <v>15335</v>
      </c>
      <c r="C90">
        <f>MONTH(gaz[[#This Row],[Data odczytu]])</f>
        <v>5</v>
      </c>
      <c r="D90">
        <f>gaz[[#This Row],[Odczyt licznika]]-B89</f>
        <v>180</v>
      </c>
    </row>
    <row r="91" spans="1:4" x14ac:dyDescent="0.25">
      <c r="A91" s="1">
        <v>39994</v>
      </c>
      <c r="B91">
        <v>15437</v>
      </c>
      <c r="C91">
        <f>MONTH(gaz[[#This Row],[Data odczytu]])</f>
        <v>6</v>
      </c>
      <c r="D91">
        <f>gaz[[#This Row],[Odczyt licznika]]-B90</f>
        <v>102</v>
      </c>
    </row>
    <row r="92" spans="1:4" x14ac:dyDescent="0.25">
      <c r="A92" s="1">
        <v>40025</v>
      </c>
      <c r="B92">
        <v>15455</v>
      </c>
      <c r="C92">
        <f>MONTH(gaz[[#This Row],[Data odczytu]])</f>
        <v>7</v>
      </c>
      <c r="D92">
        <f>gaz[[#This Row],[Odczyt licznika]]-B91</f>
        <v>18</v>
      </c>
    </row>
    <row r="93" spans="1:4" x14ac:dyDescent="0.25">
      <c r="A93" s="1">
        <v>40056</v>
      </c>
      <c r="B93">
        <v>15474</v>
      </c>
      <c r="C93">
        <f>MONTH(gaz[[#This Row],[Data odczytu]])</f>
        <v>8</v>
      </c>
      <c r="D93">
        <f>gaz[[#This Row],[Odczyt licznika]]-B92</f>
        <v>19</v>
      </c>
    </row>
    <row r="94" spans="1:4" x14ac:dyDescent="0.25">
      <c r="A94" s="1">
        <v>40086</v>
      </c>
      <c r="B94">
        <v>15557</v>
      </c>
      <c r="C94">
        <f>MONTH(gaz[[#This Row],[Data odczytu]])</f>
        <v>9</v>
      </c>
      <c r="D94">
        <f>gaz[[#This Row],[Odczyt licznika]]-B93</f>
        <v>83</v>
      </c>
    </row>
    <row r="95" spans="1:4" x14ac:dyDescent="0.25">
      <c r="A95" s="1">
        <v>40117</v>
      </c>
      <c r="B95">
        <v>15694</v>
      </c>
      <c r="C95">
        <f>MONTH(gaz[[#This Row],[Data odczytu]])</f>
        <v>10</v>
      </c>
      <c r="D95">
        <f>gaz[[#This Row],[Odczyt licznika]]-B94</f>
        <v>137</v>
      </c>
    </row>
    <row r="96" spans="1:4" x14ac:dyDescent="0.25">
      <c r="A96" s="1">
        <v>40147</v>
      </c>
      <c r="B96">
        <v>15835</v>
      </c>
      <c r="C96">
        <f>MONTH(gaz[[#This Row],[Data odczytu]])</f>
        <v>11</v>
      </c>
      <c r="D96">
        <f>gaz[[#This Row],[Odczyt licznika]]-B95</f>
        <v>141</v>
      </c>
    </row>
    <row r="97" spans="1:4" x14ac:dyDescent="0.25">
      <c r="A97" s="1">
        <v>40178</v>
      </c>
      <c r="B97">
        <v>16087</v>
      </c>
      <c r="C97">
        <f>MONTH(gaz[[#This Row],[Data odczytu]])</f>
        <v>12</v>
      </c>
      <c r="D97">
        <f>gaz[[#This Row],[Odczyt licznika]]-B96</f>
        <v>252</v>
      </c>
    </row>
    <row r="98" spans="1:4" x14ac:dyDescent="0.25">
      <c r="A98" s="1">
        <v>40209</v>
      </c>
      <c r="B98">
        <v>16431</v>
      </c>
      <c r="C98">
        <f>MONTH(gaz[[#This Row],[Data odczytu]])</f>
        <v>1</v>
      </c>
      <c r="D98">
        <f>gaz[[#This Row],[Odczyt licznika]]-B97</f>
        <v>344</v>
      </c>
    </row>
    <row r="99" spans="1:4" x14ac:dyDescent="0.25">
      <c r="A99" s="1">
        <v>40237</v>
      </c>
      <c r="B99">
        <v>16792</v>
      </c>
      <c r="C99">
        <f>MONTH(gaz[[#This Row],[Data odczytu]])</f>
        <v>2</v>
      </c>
      <c r="D99">
        <f>gaz[[#This Row],[Odczyt licznika]]-B98</f>
        <v>361</v>
      </c>
    </row>
    <row r="100" spans="1:4" x14ac:dyDescent="0.25">
      <c r="A100" s="1">
        <v>40268</v>
      </c>
      <c r="B100">
        <v>17057</v>
      </c>
      <c r="C100">
        <f>MONTH(gaz[[#This Row],[Data odczytu]])</f>
        <v>3</v>
      </c>
      <c r="D100">
        <f>gaz[[#This Row],[Odczyt licznika]]-B99</f>
        <v>265</v>
      </c>
    </row>
    <row r="101" spans="1:4" x14ac:dyDescent="0.25">
      <c r="A101" s="1">
        <v>40298</v>
      </c>
      <c r="B101">
        <v>17186</v>
      </c>
      <c r="C101">
        <f>MONTH(gaz[[#This Row],[Data odczytu]])</f>
        <v>4</v>
      </c>
      <c r="D101">
        <f>gaz[[#This Row],[Odczyt licznika]]-B100</f>
        <v>129</v>
      </c>
    </row>
    <row r="102" spans="1:4" x14ac:dyDescent="0.25">
      <c r="A102" s="1">
        <v>40329</v>
      </c>
      <c r="B102">
        <v>17301</v>
      </c>
      <c r="C102">
        <f>MONTH(gaz[[#This Row],[Data odczytu]])</f>
        <v>5</v>
      </c>
      <c r="D102">
        <f>gaz[[#This Row],[Odczyt licznika]]-B101</f>
        <v>115</v>
      </c>
    </row>
    <row r="103" spans="1:4" x14ac:dyDescent="0.25">
      <c r="A103" s="1">
        <v>40359</v>
      </c>
      <c r="B103">
        <v>17332</v>
      </c>
      <c r="C103">
        <f>MONTH(gaz[[#This Row],[Data odczytu]])</f>
        <v>6</v>
      </c>
      <c r="D103">
        <f>gaz[[#This Row],[Odczyt licznika]]-B102</f>
        <v>31</v>
      </c>
    </row>
    <row r="104" spans="1:4" x14ac:dyDescent="0.25">
      <c r="A104" s="1">
        <v>40390</v>
      </c>
      <c r="B104">
        <v>17352</v>
      </c>
      <c r="C104">
        <f>MONTH(gaz[[#This Row],[Data odczytu]])</f>
        <v>7</v>
      </c>
      <c r="D104">
        <f>gaz[[#This Row],[Odczyt licznika]]-B103</f>
        <v>20</v>
      </c>
    </row>
    <row r="105" spans="1:4" x14ac:dyDescent="0.25">
      <c r="A105" s="1">
        <v>40421</v>
      </c>
      <c r="B105">
        <v>17367</v>
      </c>
      <c r="C105">
        <f>MONTH(gaz[[#This Row],[Data odczytu]])</f>
        <v>8</v>
      </c>
      <c r="D105">
        <f>gaz[[#This Row],[Odczyt licznika]]-B104</f>
        <v>15</v>
      </c>
    </row>
    <row r="106" spans="1:4" x14ac:dyDescent="0.25">
      <c r="A106" s="1">
        <v>40451</v>
      </c>
      <c r="B106">
        <v>17517</v>
      </c>
      <c r="C106">
        <f>MONTH(gaz[[#This Row],[Data odczytu]])</f>
        <v>9</v>
      </c>
      <c r="D106">
        <f>gaz[[#This Row],[Odczyt licznika]]-B105</f>
        <v>150</v>
      </c>
    </row>
    <row r="107" spans="1:4" x14ac:dyDescent="0.25">
      <c r="A107" s="1">
        <v>40482</v>
      </c>
      <c r="B107">
        <v>17708</v>
      </c>
      <c r="C107">
        <f>MONTH(gaz[[#This Row],[Data odczytu]])</f>
        <v>10</v>
      </c>
      <c r="D107">
        <f>gaz[[#This Row],[Odczyt licznika]]-B106</f>
        <v>191</v>
      </c>
    </row>
    <row r="108" spans="1:4" x14ac:dyDescent="0.25">
      <c r="A108" s="1">
        <v>40512</v>
      </c>
      <c r="B108">
        <v>18052</v>
      </c>
      <c r="C108">
        <f>MONTH(gaz[[#This Row],[Data odczytu]])</f>
        <v>11</v>
      </c>
      <c r="D108">
        <f>gaz[[#This Row],[Odczyt licznika]]-B107</f>
        <v>344</v>
      </c>
    </row>
    <row r="109" spans="1:4" x14ac:dyDescent="0.25">
      <c r="A109" s="1">
        <v>40543</v>
      </c>
      <c r="B109">
        <v>18372</v>
      </c>
      <c r="C109">
        <f>MONTH(gaz[[#This Row],[Data odczytu]])</f>
        <v>12</v>
      </c>
      <c r="D109">
        <f>gaz[[#This Row],[Odczyt licznika]]-B108</f>
        <v>320</v>
      </c>
    </row>
    <row r="110" spans="1:4" x14ac:dyDescent="0.25">
      <c r="A110" s="1">
        <v>40574</v>
      </c>
      <c r="B110">
        <v>18680</v>
      </c>
      <c r="C110">
        <f>MONTH(gaz[[#This Row],[Data odczytu]])</f>
        <v>1</v>
      </c>
      <c r="D110">
        <f>gaz[[#This Row],[Odczyt licznika]]-B109</f>
        <v>308</v>
      </c>
    </row>
    <row r="111" spans="1:4" x14ac:dyDescent="0.25">
      <c r="A111" s="1">
        <v>40602</v>
      </c>
      <c r="B111">
        <v>19057</v>
      </c>
      <c r="C111">
        <f>MONTH(gaz[[#This Row],[Data odczytu]])</f>
        <v>2</v>
      </c>
      <c r="D111">
        <f>gaz[[#This Row],[Odczyt licznika]]-B110</f>
        <v>377</v>
      </c>
    </row>
    <row r="112" spans="1:4" x14ac:dyDescent="0.25">
      <c r="A112" s="1">
        <v>40633</v>
      </c>
      <c r="B112">
        <v>19285</v>
      </c>
      <c r="C112">
        <f>MONTH(gaz[[#This Row],[Data odczytu]])</f>
        <v>3</v>
      </c>
      <c r="D112">
        <f>gaz[[#This Row],[Odczyt licznika]]-B111</f>
        <v>228</v>
      </c>
    </row>
    <row r="113" spans="1:4" x14ac:dyDescent="0.25">
      <c r="A113" s="1">
        <v>40663</v>
      </c>
      <c r="B113">
        <v>19431</v>
      </c>
      <c r="C113">
        <f>MONTH(gaz[[#This Row],[Data odczytu]])</f>
        <v>4</v>
      </c>
      <c r="D113">
        <f>gaz[[#This Row],[Odczyt licznika]]-B112</f>
        <v>146</v>
      </c>
    </row>
    <row r="114" spans="1:4" x14ac:dyDescent="0.25">
      <c r="A114" s="1">
        <v>40694</v>
      </c>
      <c r="B114">
        <v>19604</v>
      </c>
      <c r="C114">
        <f>MONTH(gaz[[#This Row],[Data odczytu]])</f>
        <v>5</v>
      </c>
      <c r="D114">
        <f>gaz[[#This Row],[Odczyt licznika]]-B113</f>
        <v>173</v>
      </c>
    </row>
    <row r="115" spans="1:4" x14ac:dyDescent="0.25">
      <c r="A115" s="1">
        <v>40724</v>
      </c>
      <c r="B115">
        <v>19702</v>
      </c>
      <c r="C115">
        <f>MONTH(gaz[[#This Row],[Data odczytu]])</f>
        <v>6</v>
      </c>
      <c r="D115">
        <f>gaz[[#This Row],[Odczyt licznika]]-B114</f>
        <v>98</v>
      </c>
    </row>
    <row r="116" spans="1:4" x14ac:dyDescent="0.25">
      <c r="A116" s="1">
        <v>40755</v>
      </c>
      <c r="B116">
        <v>19718</v>
      </c>
      <c r="C116">
        <f>MONTH(gaz[[#This Row],[Data odczytu]])</f>
        <v>7</v>
      </c>
      <c r="D116">
        <f>gaz[[#This Row],[Odczyt licznika]]-B115</f>
        <v>16</v>
      </c>
    </row>
    <row r="117" spans="1:4" x14ac:dyDescent="0.25">
      <c r="A117" s="1">
        <v>40786</v>
      </c>
      <c r="B117">
        <v>19735</v>
      </c>
      <c r="C117">
        <f>MONTH(gaz[[#This Row],[Data odczytu]])</f>
        <v>8</v>
      </c>
      <c r="D117">
        <f>gaz[[#This Row],[Odczyt licznika]]-B116</f>
        <v>17</v>
      </c>
    </row>
    <row r="118" spans="1:4" x14ac:dyDescent="0.25">
      <c r="A118" s="1">
        <v>40816</v>
      </c>
      <c r="B118">
        <v>19815</v>
      </c>
      <c r="C118">
        <f>MONTH(gaz[[#This Row],[Data odczytu]])</f>
        <v>9</v>
      </c>
      <c r="D118">
        <f>gaz[[#This Row],[Odczyt licznika]]-B117</f>
        <v>80</v>
      </c>
    </row>
    <row r="119" spans="1:4" x14ac:dyDescent="0.25">
      <c r="A119" s="1">
        <v>40847</v>
      </c>
      <c r="B119">
        <v>19946</v>
      </c>
      <c r="C119">
        <f>MONTH(gaz[[#This Row],[Data odczytu]])</f>
        <v>10</v>
      </c>
      <c r="D119">
        <f>gaz[[#This Row],[Odczyt licznika]]-B118</f>
        <v>131</v>
      </c>
    </row>
    <row r="120" spans="1:4" x14ac:dyDescent="0.25">
      <c r="A120" s="1">
        <v>40877</v>
      </c>
      <c r="B120">
        <v>20081</v>
      </c>
      <c r="C120">
        <f>MONTH(gaz[[#This Row],[Data odczytu]])</f>
        <v>11</v>
      </c>
      <c r="D120">
        <f>gaz[[#This Row],[Odczyt licznika]]-B119</f>
        <v>135</v>
      </c>
    </row>
    <row r="121" spans="1:4" x14ac:dyDescent="0.25">
      <c r="A121" s="1">
        <v>40908</v>
      </c>
      <c r="B121">
        <v>20323</v>
      </c>
      <c r="C121">
        <f>MONTH(gaz[[#This Row],[Data odczytu]])</f>
        <v>12</v>
      </c>
      <c r="D121">
        <f>gaz[[#This Row],[Odczyt licznika]]-B120</f>
        <v>242</v>
      </c>
    </row>
    <row r="122" spans="1:4" x14ac:dyDescent="0.25">
      <c r="A122" s="1">
        <v>40939</v>
      </c>
      <c r="B122">
        <v>20653</v>
      </c>
      <c r="C122">
        <f>MONTH(gaz[[#This Row],[Data odczytu]])</f>
        <v>1</v>
      </c>
      <c r="D122">
        <f>gaz[[#This Row],[Odczyt licznika]]-B121</f>
        <v>330</v>
      </c>
    </row>
    <row r="123" spans="1:4" x14ac:dyDescent="0.25">
      <c r="A123" s="1">
        <v>40967</v>
      </c>
      <c r="B123">
        <v>21000</v>
      </c>
      <c r="C123">
        <f>MONTH(gaz[[#This Row],[Data odczytu]])</f>
        <v>2</v>
      </c>
      <c r="D123">
        <f>gaz[[#This Row],[Odczyt licznika]]-B122</f>
        <v>347</v>
      </c>
    </row>
    <row r="124" spans="1:4" x14ac:dyDescent="0.25">
      <c r="A124" s="1">
        <v>40999</v>
      </c>
      <c r="B124">
        <v>21254</v>
      </c>
      <c r="C124">
        <f>MONTH(gaz[[#This Row],[Data odczytu]])</f>
        <v>3</v>
      </c>
      <c r="D124">
        <f>gaz[[#This Row],[Odczyt licznika]]-B123</f>
        <v>254</v>
      </c>
    </row>
    <row r="125" spans="1:4" x14ac:dyDescent="0.25">
      <c r="A125" s="1">
        <v>41029</v>
      </c>
      <c r="B125">
        <v>21377</v>
      </c>
      <c r="C125">
        <f>MONTH(gaz[[#This Row],[Data odczytu]])</f>
        <v>4</v>
      </c>
      <c r="D125">
        <f>gaz[[#This Row],[Odczyt licznika]]-B124</f>
        <v>123</v>
      </c>
    </row>
    <row r="126" spans="1:4" x14ac:dyDescent="0.25">
      <c r="A126" s="1">
        <v>41060</v>
      </c>
      <c r="B126">
        <v>21487</v>
      </c>
      <c r="C126">
        <f>MONTH(gaz[[#This Row],[Data odczytu]])</f>
        <v>5</v>
      </c>
      <c r="D126">
        <f>gaz[[#This Row],[Odczyt licznika]]-B125</f>
        <v>110</v>
      </c>
    </row>
    <row r="127" spans="1:4" x14ac:dyDescent="0.25">
      <c r="A127" s="1">
        <v>41090</v>
      </c>
      <c r="B127">
        <v>21517</v>
      </c>
      <c r="C127">
        <f>MONTH(gaz[[#This Row],[Data odczytu]])</f>
        <v>6</v>
      </c>
      <c r="D127">
        <f>gaz[[#This Row],[Odczyt licznika]]-B126</f>
        <v>30</v>
      </c>
    </row>
    <row r="128" spans="1:4" x14ac:dyDescent="0.25">
      <c r="A128" s="1">
        <v>41121</v>
      </c>
      <c r="B128">
        <v>21536</v>
      </c>
      <c r="C128">
        <f>MONTH(gaz[[#This Row],[Data odczytu]])</f>
        <v>7</v>
      </c>
      <c r="D128">
        <f>gaz[[#This Row],[Odczyt licznika]]-B127</f>
        <v>19</v>
      </c>
    </row>
    <row r="129" spans="1:4" x14ac:dyDescent="0.25">
      <c r="A129" s="1">
        <v>41152</v>
      </c>
      <c r="B129">
        <v>21550</v>
      </c>
      <c r="C129">
        <f>MONTH(gaz[[#This Row],[Data odczytu]])</f>
        <v>8</v>
      </c>
      <c r="D129">
        <f>gaz[[#This Row],[Odczyt licznika]]-B128</f>
        <v>14</v>
      </c>
    </row>
    <row r="130" spans="1:4" x14ac:dyDescent="0.25">
      <c r="A130" s="1">
        <v>41182</v>
      </c>
      <c r="B130">
        <v>21695</v>
      </c>
      <c r="C130">
        <f>MONTH(gaz[[#This Row],[Data odczytu]])</f>
        <v>9</v>
      </c>
      <c r="D130">
        <f>gaz[[#This Row],[Odczyt licznika]]-B129</f>
        <v>145</v>
      </c>
    </row>
    <row r="131" spans="1:4" x14ac:dyDescent="0.25">
      <c r="A131" s="1">
        <v>41213</v>
      </c>
      <c r="B131">
        <v>21878</v>
      </c>
      <c r="C131">
        <f>MONTH(gaz[[#This Row],[Data odczytu]])</f>
        <v>10</v>
      </c>
      <c r="D131">
        <f>gaz[[#This Row],[Odczyt licznika]]-B130</f>
        <v>183</v>
      </c>
    </row>
    <row r="132" spans="1:4" x14ac:dyDescent="0.25">
      <c r="A132" s="1">
        <v>41243</v>
      </c>
      <c r="B132">
        <v>22208</v>
      </c>
      <c r="C132">
        <f>MONTH(gaz[[#This Row],[Data odczytu]])</f>
        <v>11</v>
      </c>
      <c r="D132">
        <f>gaz[[#This Row],[Odczyt licznika]]-B131</f>
        <v>330</v>
      </c>
    </row>
    <row r="133" spans="1:4" x14ac:dyDescent="0.25">
      <c r="A133" s="1">
        <v>41274</v>
      </c>
      <c r="B133">
        <v>22516</v>
      </c>
      <c r="C133">
        <f>MONTH(gaz[[#This Row],[Data odczytu]])</f>
        <v>12</v>
      </c>
      <c r="D133">
        <f>gaz[[#This Row],[Odczyt licznika]]-B132</f>
        <v>308</v>
      </c>
    </row>
    <row r="134" spans="1:4" x14ac:dyDescent="0.25">
      <c r="A134" s="1">
        <v>41305</v>
      </c>
      <c r="B134">
        <v>22811</v>
      </c>
      <c r="C134">
        <f>MONTH(gaz[[#This Row],[Data odczytu]])</f>
        <v>1</v>
      </c>
      <c r="D134">
        <f>gaz[[#This Row],[Odczyt licznika]]-B133</f>
        <v>295</v>
      </c>
    </row>
    <row r="135" spans="1:4" x14ac:dyDescent="0.25">
      <c r="A135" s="1">
        <v>41333</v>
      </c>
      <c r="B135">
        <v>23173</v>
      </c>
      <c r="C135">
        <f>MONTH(gaz[[#This Row],[Data odczytu]])</f>
        <v>2</v>
      </c>
      <c r="D135">
        <f>gaz[[#This Row],[Odczyt licznika]]-B134</f>
        <v>362</v>
      </c>
    </row>
    <row r="136" spans="1:4" x14ac:dyDescent="0.25">
      <c r="A136" s="1">
        <v>41364</v>
      </c>
      <c r="B136">
        <v>23392</v>
      </c>
      <c r="C136">
        <f>MONTH(gaz[[#This Row],[Data odczytu]])</f>
        <v>3</v>
      </c>
      <c r="D136">
        <f>gaz[[#This Row],[Odczyt licznika]]-B135</f>
        <v>219</v>
      </c>
    </row>
    <row r="137" spans="1:4" x14ac:dyDescent="0.25">
      <c r="A137" s="1">
        <v>41394</v>
      </c>
      <c r="B137">
        <v>23533</v>
      </c>
      <c r="C137">
        <f>MONTH(gaz[[#This Row],[Data odczytu]])</f>
        <v>4</v>
      </c>
      <c r="D137">
        <f>gaz[[#This Row],[Odczyt licznika]]-B136</f>
        <v>141</v>
      </c>
    </row>
    <row r="138" spans="1:4" x14ac:dyDescent="0.25">
      <c r="A138" s="1">
        <v>41425</v>
      </c>
      <c r="B138">
        <v>23699</v>
      </c>
      <c r="C138">
        <f>MONTH(gaz[[#This Row],[Data odczytu]])</f>
        <v>5</v>
      </c>
      <c r="D138">
        <f>gaz[[#This Row],[Odczyt licznika]]-B137</f>
        <v>166</v>
      </c>
    </row>
    <row r="139" spans="1:4" x14ac:dyDescent="0.25">
      <c r="A139" s="1">
        <v>41455</v>
      </c>
      <c r="B139">
        <v>23793</v>
      </c>
      <c r="C139">
        <f>MONTH(gaz[[#This Row],[Data odczytu]])</f>
        <v>6</v>
      </c>
      <c r="D139">
        <f>gaz[[#This Row],[Odczyt licznika]]-B138</f>
        <v>94</v>
      </c>
    </row>
    <row r="140" spans="1:4" x14ac:dyDescent="0.25">
      <c r="A140" s="1">
        <v>41486</v>
      </c>
      <c r="B140">
        <v>23809</v>
      </c>
      <c r="C140">
        <f>MONTH(gaz[[#This Row],[Data odczytu]])</f>
        <v>7</v>
      </c>
      <c r="D140">
        <f>gaz[[#This Row],[Odczyt licznika]]-B139</f>
        <v>16</v>
      </c>
    </row>
    <row r="141" spans="1:4" x14ac:dyDescent="0.25">
      <c r="A141" s="1">
        <v>41517</v>
      </c>
      <c r="B141">
        <v>23825</v>
      </c>
      <c r="C141">
        <f>MONTH(gaz[[#This Row],[Data odczytu]])</f>
        <v>8</v>
      </c>
      <c r="D141">
        <f>gaz[[#This Row],[Odczyt licznika]]-B140</f>
        <v>16</v>
      </c>
    </row>
    <row r="142" spans="1:4" x14ac:dyDescent="0.25">
      <c r="A142" s="1">
        <v>41547</v>
      </c>
      <c r="B142">
        <v>23902</v>
      </c>
      <c r="C142">
        <f>MONTH(gaz[[#This Row],[Data odczytu]])</f>
        <v>9</v>
      </c>
      <c r="D142">
        <f>gaz[[#This Row],[Odczyt licznika]]-B141</f>
        <v>77</v>
      </c>
    </row>
    <row r="143" spans="1:4" x14ac:dyDescent="0.25">
      <c r="A143" s="1">
        <v>41578</v>
      </c>
      <c r="B143">
        <v>24028</v>
      </c>
      <c r="C143">
        <f>MONTH(gaz[[#This Row],[Data odczytu]])</f>
        <v>10</v>
      </c>
      <c r="D143">
        <f>gaz[[#This Row],[Odczyt licznika]]-B142</f>
        <v>126</v>
      </c>
    </row>
    <row r="144" spans="1:4" x14ac:dyDescent="0.25">
      <c r="A144" s="1">
        <v>41608</v>
      </c>
      <c r="B144">
        <v>24158</v>
      </c>
      <c r="C144">
        <f>MONTH(gaz[[#This Row],[Data odczytu]])</f>
        <v>11</v>
      </c>
      <c r="D144">
        <f>gaz[[#This Row],[Odczyt licznika]]-B143</f>
        <v>130</v>
      </c>
    </row>
    <row r="145" spans="1:4" x14ac:dyDescent="0.25">
      <c r="A145" s="1">
        <v>41639</v>
      </c>
      <c r="B145">
        <v>24390</v>
      </c>
      <c r="C145">
        <f>MONTH(gaz[[#This Row],[Data odczytu]])</f>
        <v>12</v>
      </c>
      <c r="D145">
        <f>gaz[[#This Row],[Odczyt licznika]]-B144</f>
        <v>232</v>
      </c>
    </row>
    <row r="146" spans="1:4" x14ac:dyDescent="0.25">
      <c r="A146" s="1">
        <v>41670</v>
      </c>
      <c r="B146">
        <v>24707</v>
      </c>
      <c r="C146">
        <f>MONTH(gaz[[#This Row],[Data odczytu]])</f>
        <v>1</v>
      </c>
      <c r="D146">
        <f>gaz[[#This Row],[Odczyt licznika]]-B145</f>
        <v>317</v>
      </c>
    </row>
    <row r="147" spans="1:4" x14ac:dyDescent="0.25">
      <c r="A147" s="1">
        <v>41698</v>
      </c>
      <c r="B147">
        <v>25040</v>
      </c>
      <c r="C147">
        <f>MONTH(gaz[[#This Row],[Data odczytu]])</f>
        <v>2</v>
      </c>
      <c r="D147">
        <f>gaz[[#This Row],[Odczyt licznika]]-B146</f>
        <v>333</v>
      </c>
    </row>
    <row r="148" spans="1:4" x14ac:dyDescent="0.25">
      <c r="A148" s="1">
        <v>41729</v>
      </c>
      <c r="B148">
        <v>25284</v>
      </c>
      <c r="C148">
        <f>MONTH(gaz[[#This Row],[Data odczytu]])</f>
        <v>3</v>
      </c>
      <c r="D148">
        <f>gaz[[#This Row],[Odczyt licznika]]-B147</f>
        <v>244</v>
      </c>
    </row>
    <row r="149" spans="1:4" x14ac:dyDescent="0.25">
      <c r="A149" s="1">
        <v>41759</v>
      </c>
      <c r="B149">
        <v>25403</v>
      </c>
      <c r="C149">
        <f>MONTH(gaz[[#This Row],[Data odczytu]])</f>
        <v>4</v>
      </c>
      <c r="D149">
        <f>gaz[[#This Row],[Odczyt licznika]]-B148</f>
        <v>119</v>
      </c>
    </row>
    <row r="150" spans="1:4" x14ac:dyDescent="0.25">
      <c r="A150" s="1">
        <v>41790</v>
      </c>
      <c r="B150">
        <v>25508</v>
      </c>
      <c r="C150">
        <f>MONTH(gaz[[#This Row],[Data odczytu]])</f>
        <v>5</v>
      </c>
      <c r="D150">
        <f>gaz[[#This Row],[Odczyt licznika]]-B149</f>
        <v>105</v>
      </c>
    </row>
    <row r="151" spans="1:4" x14ac:dyDescent="0.25">
      <c r="A151" s="1">
        <v>41820</v>
      </c>
      <c r="B151">
        <v>25537</v>
      </c>
      <c r="C151">
        <f>MONTH(gaz[[#This Row],[Data odczytu]])</f>
        <v>6</v>
      </c>
      <c r="D151">
        <f>gaz[[#This Row],[Odczyt licznika]]-B150</f>
        <v>29</v>
      </c>
    </row>
    <row r="152" spans="1:4" x14ac:dyDescent="0.25">
      <c r="A152" s="1">
        <v>41851</v>
      </c>
      <c r="B152">
        <v>25556</v>
      </c>
      <c r="C152">
        <f>MONTH(gaz[[#This Row],[Data odczytu]])</f>
        <v>7</v>
      </c>
      <c r="D152">
        <f>gaz[[#This Row],[Odczyt licznika]]-B151</f>
        <v>19</v>
      </c>
    </row>
    <row r="153" spans="1:4" x14ac:dyDescent="0.25">
      <c r="A153" s="1">
        <v>41882</v>
      </c>
      <c r="B153">
        <v>25569</v>
      </c>
      <c r="C153">
        <f>MONTH(gaz[[#This Row],[Data odczytu]])</f>
        <v>8</v>
      </c>
      <c r="D153">
        <f>gaz[[#This Row],[Odczyt licznika]]-B152</f>
        <v>13</v>
      </c>
    </row>
    <row r="154" spans="1:4" x14ac:dyDescent="0.25">
      <c r="A154" s="1">
        <v>41912</v>
      </c>
      <c r="B154">
        <v>25708</v>
      </c>
      <c r="C154">
        <f>MONTH(gaz[[#This Row],[Data odczytu]])</f>
        <v>9</v>
      </c>
      <c r="D154">
        <f>gaz[[#This Row],[Odczyt licznika]]-B153</f>
        <v>139</v>
      </c>
    </row>
    <row r="155" spans="1:4" x14ac:dyDescent="0.25">
      <c r="A155" s="1">
        <v>41943</v>
      </c>
      <c r="B155">
        <v>25883</v>
      </c>
      <c r="C155">
        <f>MONTH(gaz[[#This Row],[Data odczytu]])</f>
        <v>10</v>
      </c>
      <c r="D155">
        <f>gaz[[#This Row],[Odczyt licznika]]-B154</f>
        <v>175</v>
      </c>
    </row>
    <row r="156" spans="1:4" x14ac:dyDescent="0.25">
      <c r="A156" s="1">
        <v>41973</v>
      </c>
      <c r="B156">
        <v>26183</v>
      </c>
      <c r="C156">
        <f>MONTH(gaz[[#This Row],[Data odczytu]])</f>
        <v>11</v>
      </c>
      <c r="D156">
        <f>gaz[[#This Row],[Odczyt licznika]]-B155</f>
        <v>300</v>
      </c>
    </row>
    <row r="157" spans="1:4" x14ac:dyDescent="0.25">
      <c r="A157" s="1">
        <v>42004</v>
      </c>
      <c r="B157">
        <v>26478</v>
      </c>
      <c r="C157">
        <f>MONTH(gaz[[#This Row],[Data odczytu]])</f>
        <v>12</v>
      </c>
      <c r="D157">
        <f>gaz[[#This Row],[Odczyt licznika]]-B156</f>
        <v>295</v>
      </c>
    </row>
    <row r="158" spans="1:4" x14ac:dyDescent="0.25">
      <c r="A158" s="1">
        <v>42035</v>
      </c>
      <c r="B158">
        <v>26808</v>
      </c>
      <c r="C158">
        <f>MONTH(gaz[[#This Row],[Data odczytu]])</f>
        <v>1</v>
      </c>
      <c r="D158">
        <f>gaz[[#This Row],[Odczyt licznika]]-B157</f>
        <v>330</v>
      </c>
    </row>
    <row r="159" spans="1:4" x14ac:dyDescent="0.25">
      <c r="A159" s="1">
        <v>42063</v>
      </c>
      <c r="B159">
        <v>27156</v>
      </c>
      <c r="C159">
        <f>MONTH(gaz[[#This Row],[Data odczytu]])</f>
        <v>2</v>
      </c>
      <c r="D159">
        <f>gaz[[#This Row],[Odczyt licznika]]-B158</f>
        <v>348</v>
      </c>
    </row>
    <row r="160" spans="1:4" x14ac:dyDescent="0.25">
      <c r="A160" s="1">
        <v>42094</v>
      </c>
      <c r="B160">
        <v>27366</v>
      </c>
      <c r="C160">
        <f>MONTH(gaz[[#This Row],[Data odczytu]])</f>
        <v>3</v>
      </c>
      <c r="D160">
        <f>gaz[[#This Row],[Odczyt licznika]]-B159</f>
        <v>210</v>
      </c>
    </row>
    <row r="161" spans="1:4" x14ac:dyDescent="0.25">
      <c r="A161" s="1">
        <v>42124</v>
      </c>
      <c r="B161">
        <v>27501</v>
      </c>
      <c r="C161">
        <f>MONTH(gaz[[#This Row],[Data odczytu]])</f>
        <v>4</v>
      </c>
      <c r="D161">
        <f>gaz[[#This Row],[Odczyt licznika]]-B160</f>
        <v>135</v>
      </c>
    </row>
    <row r="162" spans="1:4" x14ac:dyDescent="0.25">
      <c r="A162" s="1">
        <v>42155</v>
      </c>
      <c r="B162">
        <v>27661</v>
      </c>
      <c r="C162">
        <f>MONTH(gaz[[#This Row],[Data odczytu]])</f>
        <v>5</v>
      </c>
      <c r="D162">
        <f>gaz[[#This Row],[Odczyt licznika]]-B161</f>
        <v>160</v>
      </c>
    </row>
    <row r="163" spans="1:4" x14ac:dyDescent="0.25">
      <c r="A163" s="1">
        <v>42185</v>
      </c>
      <c r="B163">
        <v>27752</v>
      </c>
      <c r="C163">
        <f>MONTH(gaz[[#This Row],[Data odczytu]])</f>
        <v>6</v>
      </c>
      <c r="D163">
        <f>gaz[[#This Row],[Odczyt licznika]]-B162</f>
        <v>91</v>
      </c>
    </row>
    <row r="164" spans="1:4" x14ac:dyDescent="0.25">
      <c r="A164" s="1">
        <v>42216</v>
      </c>
      <c r="B164">
        <v>27767</v>
      </c>
      <c r="C164">
        <f>MONTH(gaz[[#This Row],[Data odczytu]])</f>
        <v>7</v>
      </c>
      <c r="D164">
        <f>gaz[[#This Row],[Odczyt licznika]]-B163</f>
        <v>15</v>
      </c>
    </row>
    <row r="165" spans="1:4" x14ac:dyDescent="0.25">
      <c r="A165" s="1">
        <v>42247</v>
      </c>
      <c r="B165">
        <v>27783</v>
      </c>
      <c r="C165">
        <f>MONTH(gaz[[#This Row],[Data odczytu]])</f>
        <v>8</v>
      </c>
      <c r="D165">
        <f>gaz[[#This Row],[Odczyt licznika]]-B164</f>
        <v>16</v>
      </c>
    </row>
    <row r="166" spans="1:4" x14ac:dyDescent="0.25">
      <c r="A166" s="1">
        <v>42277</v>
      </c>
      <c r="B166">
        <v>27857</v>
      </c>
      <c r="C166">
        <f>MONTH(gaz[[#This Row],[Data odczytu]])</f>
        <v>9</v>
      </c>
      <c r="D166">
        <f>gaz[[#This Row],[Odczyt licznika]]-B165</f>
        <v>74</v>
      </c>
    </row>
    <row r="167" spans="1:4" x14ac:dyDescent="0.25">
      <c r="A167" s="1">
        <v>42308</v>
      </c>
      <c r="B167">
        <v>27978</v>
      </c>
      <c r="C167">
        <f>MONTH(gaz[[#This Row],[Data odczytu]])</f>
        <v>10</v>
      </c>
      <c r="D167">
        <f>gaz[[#This Row],[Odczyt licznika]]-B166</f>
        <v>121</v>
      </c>
    </row>
    <row r="168" spans="1:4" x14ac:dyDescent="0.25">
      <c r="A168" s="1">
        <v>42338</v>
      </c>
      <c r="B168">
        <v>28103</v>
      </c>
      <c r="C168">
        <f>MONTH(gaz[[#This Row],[Data odczytu]])</f>
        <v>11</v>
      </c>
      <c r="D168">
        <f>gaz[[#This Row],[Odczyt licznika]]-B167</f>
        <v>125</v>
      </c>
    </row>
    <row r="169" spans="1:4" x14ac:dyDescent="0.25">
      <c r="A169" s="1">
        <v>42369</v>
      </c>
      <c r="B169">
        <v>28326</v>
      </c>
      <c r="C169">
        <f>MONTH(gaz[[#This Row],[Data odczytu]])</f>
        <v>12</v>
      </c>
      <c r="D169">
        <f>gaz[[#This Row],[Odczyt licznika]]-B168</f>
        <v>223</v>
      </c>
    </row>
    <row r="170" spans="1:4" x14ac:dyDescent="0.25">
      <c r="A170" s="1">
        <v>42400</v>
      </c>
      <c r="B170">
        <v>28631</v>
      </c>
      <c r="C170">
        <f>MONTH(gaz[[#This Row],[Data odczytu]])</f>
        <v>1</v>
      </c>
      <c r="D170">
        <f>gaz[[#This Row],[Odczyt licznika]]-B169</f>
        <v>305</v>
      </c>
    </row>
    <row r="171" spans="1:4" x14ac:dyDescent="0.25">
      <c r="A171" s="1">
        <v>42428</v>
      </c>
      <c r="B171">
        <v>28931</v>
      </c>
      <c r="C171">
        <f>MONTH(gaz[[#This Row],[Data odczytu]])</f>
        <v>2</v>
      </c>
      <c r="D171">
        <f>gaz[[#This Row],[Odczyt licznika]]-B170</f>
        <v>300</v>
      </c>
    </row>
    <row r="172" spans="1:4" x14ac:dyDescent="0.25">
      <c r="A172" s="1">
        <v>42460</v>
      </c>
      <c r="B172">
        <v>29165</v>
      </c>
      <c r="C172">
        <f>MONTH(gaz[[#This Row],[Data odczytu]])</f>
        <v>3</v>
      </c>
      <c r="D172">
        <f>gaz[[#This Row],[Odczyt licznika]]-B171</f>
        <v>234</v>
      </c>
    </row>
    <row r="173" spans="1:4" x14ac:dyDescent="0.25">
      <c r="A173" s="1">
        <v>42490</v>
      </c>
      <c r="B173">
        <v>29279</v>
      </c>
      <c r="C173">
        <f>MONTH(gaz[[#This Row],[Data odczytu]])</f>
        <v>4</v>
      </c>
      <c r="D173">
        <f>gaz[[#This Row],[Odczyt licznika]]-B172</f>
        <v>114</v>
      </c>
    </row>
    <row r="174" spans="1:4" x14ac:dyDescent="0.25">
      <c r="A174" s="1">
        <v>42521</v>
      </c>
      <c r="B174">
        <v>29381</v>
      </c>
      <c r="C174">
        <f>MONTH(gaz[[#This Row],[Data odczytu]])</f>
        <v>5</v>
      </c>
      <c r="D174">
        <f>gaz[[#This Row],[Odczyt licznika]]-B173</f>
        <v>102</v>
      </c>
    </row>
    <row r="175" spans="1:4" x14ac:dyDescent="0.25">
      <c r="A175" s="1">
        <v>42551</v>
      </c>
      <c r="B175">
        <v>29409</v>
      </c>
      <c r="C175">
        <f>MONTH(gaz[[#This Row],[Data odczytu]])</f>
        <v>6</v>
      </c>
      <c r="D175">
        <f>gaz[[#This Row],[Odczyt licznika]]-B174</f>
        <v>28</v>
      </c>
    </row>
    <row r="176" spans="1:4" x14ac:dyDescent="0.25">
      <c r="A176" s="1">
        <v>42582</v>
      </c>
      <c r="B176">
        <v>29427</v>
      </c>
      <c r="C176">
        <f>MONTH(gaz[[#This Row],[Data odczytu]])</f>
        <v>7</v>
      </c>
      <c r="D176">
        <f>gaz[[#This Row],[Odczyt licznika]]-B175</f>
        <v>18</v>
      </c>
    </row>
    <row r="177" spans="1:4" x14ac:dyDescent="0.25">
      <c r="A177" s="1">
        <v>42613</v>
      </c>
      <c r="B177">
        <v>29440</v>
      </c>
      <c r="C177">
        <f>MONTH(gaz[[#This Row],[Data odczytu]])</f>
        <v>8</v>
      </c>
      <c r="D177">
        <f>gaz[[#This Row],[Odczyt licznika]]-B176</f>
        <v>13</v>
      </c>
    </row>
    <row r="178" spans="1:4" x14ac:dyDescent="0.25">
      <c r="A178" s="1">
        <v>42643</v>
      </c>
      <c r="B178">
        <v>29574</v>
      </c>
      <c r="C178">
        <f>MONTH(gaz[[#This Row],[Data odczytu]])</f>
        <v>9</v>
      </c>
      <c r="D178">
        <f>gaz[[#This Row],[Odczyt licznika]]-B177</f>
        <v>134</v>
      </c>
    </row>
    <row r="179" spans="1:4" x14ac:dyDescent="0.25">
      <c r="A179" s="1">
        <v>42674</v>
      </c>
      <c r="B179">
        <v>29743</v>
      </c>
      <c r="C179">
        <f>MONTH(gaz[[#This Row],[Data odczytu]])</f>
        <v>10</v>
      </c>
      <c r="D179">
        <f>gaz[[#This Row],[Odczyt licznika]]-B178</f>
        <v>169</v>
      </c>
    </row>
    <row r="180" spans="1:4" x14ac:dyDescent="0.25">
      <c r="A180" s="1">
        <v>42704</v>
      </c>
      <c r="B180">
        <v>30031</v>
      </c>
      <c r="C180">
        <f>MONTH(gaz[[#This Row],[Data odczytu]])</f>
        <v>11</v>
      </c>
      <c r="D180">
        <f>gaz[[#This Row],[Odczyt licznika]]-B179</f>
        <v>288</v>
      </c>
    </row>
    <row r="181" spans="1:4" x14ac:dyDescent="0.25">
      <c r="A181" s="1">
        <v>42735</v>
      </c>
      <c r="B181">
        <v>30314</v>
      </c>
      <c r="C181">
        <f>MONTH(gaz[[#This Row],[Data odczytu]])</f>
        <v>12</v>
      </c>
      <c r="D181">
        <f>gaz[[#This Row],[Odczyt licznika]]-B180</f>
        <v>283</v>
      </c>
    </row>
    <row r="182" spans="1:4" x14ac:dyDescent="0.25">
      <c r="A182" s="1">
        <v>42766</v>
      </c>
      <c r="B182">
        <v>30630</v>
      </c>
      <c r="C182">
        <f>MONTH(gaz[[#This Row],[Data odczytu]])</f>
        <v>1</v>
      </c>
      <c r="D182">
        <f>gaz[[#This Row],[Odczyt licznika]]-B181</f>
        <v>316</v>
      </c>
    </row>
    <row r="183" spans="1:4" x14ac:dyDescent="0.25">
      <c r="A183" s="1">
        <v>42794</v>
      </c>
      <c r="B183">
        <v>30964</v>
      </c>
      <c r="C183">
        <f>MONTH(gaz[[#This Row],[Data odczytu]])</f>
        <v>2</v>
      </c>
      <c r="D183">
        <f>gaz[[#This Row],[Odczyt licznika]]-B182</f>
        <v>334</v>
      </c>
    </row>
    <row r="184" spans="1:4" x14ac:dyDescent="0.25">
      <c r="A184" s="1">
        <v>42825</v>
      </c>
      <c r="B184">
        <v>31166</v>
      </c>
      <c r="C184">
        <f>MONTH(gaz[[#This Row],[Data odczytu]])</f>
        <v>3</v>
      </c>
      <c r="D184">
        <f>gaz[[#This Row],[Odczyt licznika]]-B183</f>
        <v>202</v>
      </c>
    </row>
    <row r="185" spans="1:4" x14ac:dyDescent="0.25">
      <c r="A185" s="1">
        <v>42855</v>
      </c>
      <c r="B185">
        <v>31296</v>
      </c>
      <c r="C185">
        <f>MONTH(gaz[[#This Row],[Data odczytu]])</f>
        <v>4</v>
      </c>
      <c r="D185">
        <f>gaz[[#This Row],[Odczyt licznika]]-B184</f>
        <v>130</v>
      </c>
    </row>
    <row r="186" spans="1:4" x14ac:dyDescent="0.25">
      <c r="A186" s="1">
        <v>42886</v>
      </c>
      <c r="B186">
        <v>31449</v>
      </c>
      <c r="C186">
        <f>MONTH(gaz[[#This Row],[Data odczytu]])</f>
        <v>5</v>
      </c>
      <c r="D186">
        <f>gaz[[#This Row],[Odczyt licznika]]-B185</f>
        <v>153</v>
      </c>
    </row>
    <row r="187" spans="1:4" x14ac:dyDescent="0.25">
      <c r="A187" s="1">
        <v>42916</v>
      </c>
      <c r="B187">
        <v>31535</v>
      </c>
      <c r="C187">
        <f>MONTH(gaz[[#This Row],[Data odczytu]])</f>
        <v>6</v>
      </c>
      <c r="D187">
        <f>gaz[[#This Row],[Odczyt licznika]]-B186</f>
        <v>86</v>
      </c>
    </row>
    <row r="188" spans="1:4" x14ac:dyDescent="0.25">
      <c r="A188" s="1">
        <v>42947</v>
      </c>
      <c r="B188">
        <v>31550</v>
      </c>
      <c r="C188">
        <f>MONTH(gaz[[#This Row],[Data odczytu]])</f>
        <v>7</v>
      </c>
      <c r="D188">
        <f>gaz[[#This Row],[Odczyt licznika]]-B187</f>
        <v>15</v>
      </c>
    </row>
    <row r="189" spans="1:4" x14ac:dyDescent="0.25">
      <c r="A189" s="1">
        <v>42978</v>
      </c>
      <c r="B189">
        <v>31565</v>
      </c>
      <c r="C189">
        <f>MONTH(gaz[[#This Row],[Data odczytu]])</f>
        <v>8</v>
      </c>
      <c r="D189">
        <f>gaz[[#This Row],[Odczyt licznika]]-B188</f>
        <v>15</v>
      </c>
    </row>
    <row r="190" spans="1:4" x14ac:dyDescent="0.25">
      <c r="A190" s="1">
        <v>43008</v>
      </c>
      <c r="B190">
        <v>31635</v>
      </c>
      <c r="C190">
        <f>MONTH(gaz[[#This Row],[Data odczytu]])</f>
        <v>9</v>
      </c>
      <c r="D190">
        <f>gaz[[#This Row],[Odczyt licznika]]-B189</f>
        <v>70</v>
      </c>
    </row>
    <row r="191" spans="1:4" x14ac:dyDescent="0.25">
      <c r="A191" s="1">
        <v>43039</v>
      </c>
      <c r="B191">
        <v>31751</v>
      </c>
      <c r="C191">
        <f>MONTH(gaz[[#This Row],[Data odczytu]])</f>
        <v>10</v>
      </c>
      <c r="D191">
        <f>gaz[[#This Row],[Odczyt licznika]]-B190</f>
        <v>116</v>
      </c>
    </row>
    <row r="192" spans="1:4" x14ac:dyDescent="0.25">
      <c r="A192" s="1">
        <v>43069</v>
      </c>
      <c r="B192">
        <v>31871</v>
      </c>
      <c r="C192">
        <f>MONTH(gaz[[#This Row],[Data odczytu]])</f>
        <v>11</v>
      </c>
      <c r="D192">
        <f>gaz[[#This Row],[Odczyt licznika]]-B191</f>
        <v>120</v>
      </c>
    </row>
    <row r="193" spans="1:4" x14ac:dyDescent="0.25">
      <c r="A193" s="1">
        <v>43100</v>
      </c>
      <c r="B193">
        <v>32085</v>
      </c>
      <c r="C193">
        <f>MONTH(gaz[[#This Row],[Data odczytu]])</f>
        <v>12</v>
      </c>
      <c r="D193">
        <f>gaz[[#This Row],[Odczyt licznika]]-B192</f>
        <v>214</v>
      </c>
    </row>
    <row r="194" spans="1:4" x14ac:dyDescent="0.25">
      <c r="A194" s="1">
        <v>43131</v>
      </c>
      <c r="B194">
        <v>32376</v>
      </c>
      <c r="C194">
        <f>MONTH(gaz[[#This Row],[Data odczytu]])</f>
        <v>1</v>
      </c>
      <c r="D194">
        <f>gaz[[#This Row],[Odczyt licznika]]-B193</f>
        <v>291</v>
      </c>
    </row>
    <row r="195" spans="1:4" x14ac:dyDescent="0.25">
      <c r="A195" s="1">
        <v>43159</v>
      </c>
      <c r="B195">
        <v>32621</v>
      </c>
      <c r="C195">
        <f>MONTH(gaz[[#This Row],[Data odczytu]])</f>
        <v>2</v>
      </c>
      <c r="D195">
        <f>gaz[[#This Row],[Odczyt licznika]]-B194</f>
        <v>245</v>
      </c>
    </row>
    <row r="196" spans="1:4" x14ac:dyDescent="0.25">
      <c r="A196" s="1">
        <v>43190</v>
      </c>
      <c r="B196">
        <v>32846</v>
      </c>
      <c r="C196">
        <f>MONTH(gaz[[#This Row],[Data odczytu]])</f>
        <v>3</v>
      </c>
      <c r="D196">
        <f>gaz[[#This Row],[Odczyt licznika]]-B195</f>
        <v>225</v>
      </c>
    </row>
    <row r="197" spans="1:4" x14ac:dyDescent="0.25">
      <c r="A197" s="1">
        <v>43220</v>
      </c>
      <c r="B197">
        <v>32955</v>
      </c>
      <c r="C197">
        <f>MONTH(gaz[[#This Row],[Data odczytu]])</f>
        <v>4</v>
      </c>
      <c r="D197">
        <f>gaz[[#This Row],[Odczyt licznika]]-B196</f>
        <v>109</v>
      </c>
    </row>
    <row r="198" spans="1:4" x14ac:dyDescent="0.25">
      <c r="A198" s="1">
        <v>43251</v>
      </c>
      <c r="B198">
        <v>33003</v>
      </c>
      <c r="C198">
        <f>MONTH(gaz[[#This Row],[Data odczytu]])</f>
        <v>5</v>
      </c>
      <c r="D198">
        <f>gaz[[#This Row],[Odczyt licznika]]-B197</f>
        <v>48</v>
      </c>
    </row>
    <row r="199" spans="1:4" x14ac:dyDescent="0.25">
      <c r="A199" s="1">
        <v>43281</v>
      </c>
      <c r="B199">
        <v>33030</v>
      </c>
      <c r="C199">
        <f>MONTH(gaz[[#This Row],[Data odczytu]])</f>
        <v>6</v>
      </c>
      <c r="D199">
        <f>gaz[[#This Row],[Odczyt licznika]]-B198</f>
        <v>27</v>
      </c>
    </row>
    <row r="200" spans="1:4" x14ac:dyDescent="0.25">
      <c r="A200" s="1">
        <v>43312</v>
      </c>
      <c r="B200">
        <v>33046</v>
      </c>
      <c r="C200">
        <f>MONTH(gaz[[#This Row],[Data odczytu]])</f>
        <v>7</v>
      </c>
      <c r="D200">
        <f>gaz[[#This Row],[Odczyt licznika]]-B199</f>
        <v>16</v>
      </c>
    </row>
    <row r="201" spans="1:4" x14ac:dyDescent="0.25">
      <c r="A201" s="1">
        <v>43343</v>
      </c>
      <c r="B201">
        <v>33058</v>
      </c>
      <c r="C201">
        <f>MONTH(gaz[[#This Row],[Data odczytu]])</f>
        <v>8</v>
      </c>
      <c r="D201">
        <f>gaz[[#This Row],[Odczyt licznika]]-B200</f>
        <v>12</v>
      </c>
    </row>
    <row r="202" spans="1:4" x14ac:dyDescent="0.25">
      <c r="A202" s="1">
        <v>43373</v>
      </c>
      <c r="B202">
        <v>33186</v>
      </c>
      <c r="C202">
        <f>MONTH(gaz[[#This Row],[Data odczytu]])</f>
        <v>9</v>
      </c>
      <c r="D202">
        <f>gaz[[#This Row],[Odczyt licznika]]-B201</f>
        <v>128</v>
      </c>
    </row>
    <row r="203" spans="1:4" x14ac:dyDescent="0.25">
      <c r="A203" s="1">
        <v>43404</v>
      </c>
      <c r="B203">
        <v>33323</v>
      </c>
      <c r="C203">
        <f>MONTH(gaz[[#This Row],[Data odczytu]])</f>
        <v>10</v>
      </c>
      <c r="D203">
        <f>gaz[[#This Row],[Odczyt licznika]]-B202</f>
        <v>137</v>
      </c>
    </row>
    <row r="204" spans="1:4" x14ac:dyDescent="0.25">
      <c r="A204" s="1">
        <v>43434</v>
      </c>
      <c r="B204">
        <v>33483</v>
      </c>
      <c r="C204">
        <f>MONTH(gaz[[#This Row],[Data odczytu]])</f>
        <v>11</v>
      </c>
      <c r="D204">
        <f>gaz[[#This Row],[Odczyt licznika]]-B203</f>
        <v>160</v>
      </c>
    </row>
    <row r="205" spans="1:4" x14ac:dyDescent="0.25">
      <c r="A205" s="1">
        <v>43465</v>
      </c>
      <c r="B205">
        <v>33734</v>
      </c>
      <c r="C205">
        <f>MONTH(gaz[[#This Row],[Data odczytu]])</f>
        <v>12</v>
      </c>
      <c r="D205">
        <f>gaz[[#This Row],[Odczyt licznika]]-B204</f>
        <v>251</v>
      </c>
    </row>
  </sheetData>
  <phoneticPr fontId="1" type="noConversion"/>
  <pageMargins left="0.7" right="0.7" top="0.75" bottom="0.75" header="0.3" footer="0.3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8C3F3-2D99-4A12-91C6-F99945BF7D93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336E860-7E58-47F9-8A60-C18213CE046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2</vt:i4>
      </vt:variant>
    </vt:vector>
  </HeadingPairs>
  <TitlesOfParts>
    <vt:vector size="2" baseType="lpstr">
      <vt:lpstr>gaz</vt:lpstr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Miłosz Michalak</dc:creator>
  <cp:lastModifiedBy>Miłosz Michalak</cp:lastModifiedBy>
  <dcterms:created xsi:type="dcterms:W3CDTF">2026-01-19T07:35:47Z</dcterms:created>
  <dcterms:modified xsi:type="dcterms:W3CDTF">2026-01-19T07:44:03Z</dcterms:modified>
</cp:coreProperties>
</file>