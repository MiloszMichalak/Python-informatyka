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eko\Nextcloud7\Wewnetrzny\Szkola\Repos\Informatyka-python\4 Klasa\X.01.26\07. MS Excel - 19.01\"/>
    </mc:Choice>
  </mc:AlternateContent>
  <xr:revisionPtr revIDLastSave="0" documentId="13_ncr:1_{68B58DD6-9B9E-4728-A741-379B94978EC5}" xr6:coauthVersionLast="47" xr6:coauthVersionMax="47" xr10:uidLastSave="{00000000-0000-0000-0000-000000000000}"/>
  <bookViews>
    <workbookView xWindow="-120" yWindow="-120" windowWidth="29040" windowHeight="15720" xr2:uid="{4CCDF065-2176-4B0C-875F-1BE5B4267E05}"/>
  </bookViews>
  <sheets>
    <sheet name="gaz" sheetId="2" r:id="rId1"/>
    <sheet name="Arkusz1" sheetId="1" r:id="rId2"/>
  </sheets>
  <definedNames>
    <definedName name="ExternalData_1" localSheetId="0" hidden="1">gaz!$A$1:$B$205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6" i="2" l="1"/>
  <c r="E97" i="2"/>
  <c r="E113" i="2"/>
  <c r="E144" i="2"/>
  <c r="E145" i="2"/>
  <c r="E168" i="2"/>
  <c r="E169" i="2"/>
  <c r="E171" i="2"/>
  <c r="E20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E39" i="2" s="1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E99" i="2" s="1"/>
  <c r="D100" i="2"/>
  <c r="D101" i="2"/>
  <c r="D102" i="2"/>
  <c r="D103" i="2"/>
  <c r="D104" i="2"/>
  <c r="D105" i="2"/>
  <c r="D106" i="2"/>
  <c r="D107" i="2"/>
  <c r="D108" i="2"/>
  <c r="D109" i="2"/>
  <c r="E109" i="2" s="1"/>
  <c r="D110" i="2"/>
  <c r="D111" i="2"/>
  <c r="E111" i="2" s="1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E180" i="2" s="1"/>
  <c r="D181" i="2"/>
  <c r="E181" i="2" s="1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C2" i="2"/>
  <c r="E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E42" i="2" s="1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E116" i="2" s="1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E142" i="2" l="1"/>
  <c r="E201" i="2"/>
  <c r="E141" i="2"/>
  <c r="E117" i="2"/>
  <c r="E200" i="2"/>
  <c r="E140" i="2"/>
  <c r="E53" i="2"/>
  <c r="E25" i="2"/>
  <c r="E183" i="2"/>
  <c r="E51" i="2"/>
  <c r="E37" i="2"/>
  <c r="E132" i="2"/>
  <c r="E24" i="2"/>
  <c r="E139" i="2"/>
  <c r="E162" i="2"/>
  <c r="E114" i="2"/>
  <c r="E197" i="2"/>
  <c r="E161" i="2"/>
  <c r="E89" i="2"/>
  <c r="E17" i="2"/>
  <c r="E195" i="2"/>
  <c r="E159" i="2"/>
  <c r="E147" i="2"/>
  <c r="E123" i="2"/>
  <c r="E87" i="2"/>
  <c r="E75" i="2"/>
  <c r="E27" i="2"/>
  <c r="E15" i="2"/>
  <c r="E3" i="2"/>
  <c r="E199" i="2"/>
  <c r="E85" i="2"/>
  <c r="E156" i="2"/>
  <c r="E84" i="2"/>
  <c r="E72" i="2"/>
  <c r="E12" i="2"/>
  <c r="E115" i="2"/>
  <c r="E198" i="2"/>
  <c r="E157" i="2"/>
  <c r="E13" i="2"/>
  <c r="E175" i="2"/>
  <c r="E103" i="2"/>
  <c r="E55" i="2"/>
  <c r="E43" i="2"/>
  <c r="E174" i="2"/>
  <c r="E126" i="2"/>
  <c r="E54" i="2"/>
  <c r="E173" i="2"/>
  <c r="E101" i="2"/>
  <c r="E29" i="2"/>
  <c r="E167" i="2"/>
  <c r="E143" i="2"/>
  <c r="E95" i="2"/>
  <c r="E71" i="2"/>
  <c r="E23" i="2"/>
  <c r="E202" i="2"/>
  <c r="E190" i="2"/>
  <c r="E166" i="2"/>
  <c r="E154" i="2"/>
  <c r="E130" i="2"/>
  <c r="E82" i="2"/>
  <c r="E70" i="2"/>
  <c r="E58" i="2"/>
  <c r="E10" i="2"/>
  <c r="E189" i="2"/>
  <c r="E153" i="2"/>
  <c r="E129" i="2"/>
  <c r="E81" i="2"/>
  <c r="E69" i="2"/>
  <c r="E57" i="2"/>
  <c r="E45" i="2"/>
  <c r="E9" i="2"/>
  <c r="E187" i="2"/>
  <c r="E127" i="2"/>
  <c r="E67" i="2"/>
  <c r="E31" i="2"/>
  <c r="E186" i="2"/>
  <c r="E102" i="2"/>
  <c r="E30" i="2"/>
  <c r="E185" i="2"/>
  <c r="E125" i="2"/>
  <c r="E41" i="2"/>
  <c r="E135" i="2"/>
  <c r="E63" i="2"/>
  <c r="E73" i="2"/>
  <c r="E203" i="2"/>
  <c r="E155" i="2"/>
  <c r="E131" i="2"/>
  <c r="E83" i="2"/>
  <c r="E59" i="2"/>
  <c r="E11" i="2"/>
  <c r="E188" i="2"/>
  <c r="E176" i="2"/>
  <c r="E128" i="2"/>
  <c r="E68" i="2"/>
  <c r="E56" i="2"/>
  <c r="E44" i="2"/>
  <c r="E179" i="2"/>
  <c r="E107" i="2"/>
  <c r="E47" i="2"/>
  <c r="E118" i="2"/>
  <c r="E94" i="2"/>
  <c r="E34" i="2"/>
  <c r="E165" i="2"/>
  <c r="E93" i="2"/>
  <c r="E21" i="2"/>
  <c r="E152" i="2"/>
  <c r="E92" i="2"/>
  <c r="E20" i="2"/>
  <c r="E151" i="2"/>
  <c r="E91" i="2"/>
  <c r="E19" i="2"/>
  <c r="E7" i="2"/>
  <c r="E149" i="2"/>
  <c r="E137" i="2"/>
  <c r="E77" i="2"/>
  <c r="E65" i="2"/>
  <c r="E5" i="2"/>
  <c r="E133" i="2"/>
  <c r="E191" i="2"/>
  <c r="E119" i="2"/>
  <c r="E35" i="2"/>
  <c r="E178" i="2"/>
  <c r="E106" i="2"/>
  <c r="E46" i="2"/>
  <c r="E22" i="2"/>
  <c r="E177" i="2"/>
  <c r="E105" i="2"/>
  <c r="E33" i="2"/>
  <c r="E164" i="2"/>
  <c r="E104" i="2"/>
  <c r="E80" i="2"/>
  <c r="E32" i="2"/>
  <c r="E8" i="2"/>
  <c r="E163" i="2"/>
  <c r="E79" i="2"/>
  <c r="E150" i="2"/>
  <c r="E138" i="2"/>
  <c r="E90" i="2"/>
  <c r="E78" i="2"/>
  <c r="E66" i="2"/>
  <c r="E18" i="2"/>
  <c r="E6" i="2"/>
  <c r="E205" i="2"/>
  <c r="E193" i="2"/>
  <c r="E121" i="2"/>
  <c r="E61" i="2"/>
  <c r="E49" i="2"/>
  <c r="E192" i="2"/>
  <c r="E120" i="2"/>
  <c r="E108" i="2"/>
  <c r="E60" i="2"/>
  <c r="E48" i="2"/>
  <c r="E36" i="2"/>
  <c r="E196" i="2"/>
  <c r="E184" i="2"/>
  <c r="E172" i="2"/>
  <c r="E160" i="2"/>
  <c r="E148" i="2"/>
  <c r="E136" i="2"/>
  <c r="E124" i="2"/>
  <c r="E112" i="2"/>
  <c r="E100" i="2"/>
  <c r="E88" i="2"/>
  <c r="E76" i="2"/>
  <c r="E64" i="2"/>
  <c r="E52" i="2"/>
  <c r="E40" i="2"/>
  <c r="E28" i="2"/>
  <c r="E16" i="2"/>
  <c r="E4" i="2"/>
  <c r="E194" i="2"/>
  <c r="E182" i="2"/>
  <c r="E170" i="2"/>
  <c r="E158" i="2"/>
  <c r="E146" i="2"/>
  <c r="E134" i="2"/>
  <c r="E122" i="2"/>
  <c r="E110" i="2"/>
  <c r="E98" i="2"/>
  <c r="E86" i="2"/>
  <c r="E74" i="2"/>
  <c r="E62" i="2"/>
  <c r="E50" i="2"/>
  <c r="E38" i="2"/>
  <c r="E26" i="2"/>
  <c r="E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09AFA4-7F64-4ECC-8B1A-B448F469A84C}" keepAlive="1" name="Zapytanie — gaz" description="Połączenie z zapytaniem „gaz” w skoroszycie." type="5" refreshedVersion="8" background="1" saveData="1">
    <dbPr connection="Provider=Microsoft.Mashup.OleDb.1;Data Source=$Workbook$;Location=gaz;Extended Properties=&quot;&quot;" command="SELECT * FROM [gaz]"/>
  </connection>
</connections>
</file>

<file path=xl/sharedStrings.xml><?xml version="1.0" encoding="utf-8"?>
<sst xmlns="http://schemas.openxmlformats.org/spreadsheetml/2006/main" count="5" uniqueCount="5">
  <si>
    <t>Data odczytu</t>
  </si>
  <si>
    <t>Odczyt licznika</t>
  </si>
  <si>
    <t>Ilosc dni</t>
  </si>
  <si>
    <t>Miesieczne uycie</t>
  </si>
  <si>
    <t>Srednie zuzycie na dzien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</si>
</sst>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83DE56-810B-4193-87B2-FE0C01FA91EA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Data odczytu" tableColumnId="1"/>
      <queryTableField id="2" name="Odczyt licznika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0D3C4-457E-45E2-8575-F00DF88BFD1F}" name="gaz" displayName="gaz" ref="A1:E205" tableType="queryTable" totalsRowShown="0">
  <autoFilter ref="A1:E205" xr:uid="{AC50D3C4-457E-45E2-8575-F00DF88BFD1F}">
    <filterColumn colId="4">
      <customFilters>
        <customFilter operator="greaterThanOrEqual" val="12"/>
      </customFilters>
    </filterColumn>
  </autoFilter>
  <tableColumns count="5">
    <tableColumn id="1" xr3:uid="{FCBCB34B-E0E3-43B9-9B07-FAF0A6952C91}" uniqueName="1" name="Data odczytu" queryTableFieldId="1" dataDxfId="3"/>
    <tableColumn id="2" xr3:uid="{06D6E1B0-629E-4140-B84A-F6FECE9802AC}" uniqueName="2" name="Odczyt licznika" queryTableFieldId="2"/>
    <tableColumn id="3" xr3:uid="{5F5EED3E-6D74-4228-A2D0-72611A9A4B84}" uniqueName="3" name="Ilosc dni" queryTableFieldId="3" dataDxfId="2">
      <calculatedColumnFormula>DAY(A2)</calculatedColumnFormula>
    </tableColumn>
    <tableColumn id="4" xr3:uid="{5DF9EF64-6809-4E20-AF31-DF72EB22AFC3}" uniqueName="4" name="Miesieczne uycie" queryTableFieldId="4" dataDxfId="1">
      <calculatedColumnFormula>gaz[[#This Row],[Odczyt licznika]]-B1</calculatedColumnFormula>
    </tableColumn>
    <tableColumn id="5" xr3:uid="{9B524D27-FAB3-43BA-814C-255AFFA1D8D4}" uniqueName="5" name="Srednie zuzycie na dzien" queryTableFieldId="5" dataDxfId="0">
      <calculatedColumnFormula>gaz[[#This Row],[Miesieczne uycie]]/gaz[[#This Row],[Ilosc dni]]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2536-5D7E-45E7-80F2-F18085E49EF7}">
  <dimension ref="A1:E205"/>
  <sheetViews>
    <sheetView tabSelected="1" workbookViewId="0">
      <selection activeCell="H211" sqref="H211"/>
    </sheetView>
  </sheetViews>
  <sheetFormatPr defaultRowHeight="15" x14ac:dyDescent="0.25"/>
  <cols>
    <col min="1" max="1" width="14.5703125" bestFit="1" customWidth="1"/>
    <col min="2" max="2" width="16.42578125" bestFit="1" customWidth="1"/>
    <col min="3" max="3" width="13" customWidth="1"/>
    <col min="4" max="4" width="19.5703125" customWidth="1"/>
    <col min="5" max="5" width="2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>
        <v>37287</v>
      </c>
      <c r="B2">
        <v>2283</v>
      </c>
      <c r="C2">
        <f>DAY(A2)</f>
        <v>31</v>
      </c>
      <c r="D2">
        <v>200</v>
      </c>
      <c r="E2">
        <f>gaz[[#This Row],[Miesieczne uycie]]/gaz[[#This Row],[Ilosc dni]]</f>
        <v>6.4516129032258061</v>
      </c>
    </row>
    <row r="3" spans="1:5" hidden="1" x14ac:dyDescent="0.25">
      <c r="A3" s="1">
        <v>37315</v>
      </c>
      <c r="B3">
        <v>2518</v>
      </c>
      <c r="C3">
        <f>DAY(A3)</f>
        <v>28</v>
      </c>
      <c r="D3">
        <f>gaz[[#This Row],[Odczyt licznika]]-B2</f>
        <v>235</v>
      </c>
      <c r="E3">
        <f>gaz[[#This Row],[Miesieczne uycie]]/gaz[[#This Row],[Ilosc dni]]</f>
        <v>8.3928571428571423</v>
      </c>
    </row>
    <row r="4" spans="1:5" hidden="1" x14ac:dyDescent="0.25">
      <c r="A4" s="1">
        <v>37346</v>
      </c>
      <c r="B4">
        <v>2696</v>
      </c>
      <c r="C4">
        <f>DAY(A4)</f>
        <v>31</v>
      </c>
      <c r="D4">
        <f>gaz[[#This Row],[Odczyt licznika]]-B3</f>
        <v>178</v>
      </c>
      <c r="E4">
        <f>gaz[[#This Row],[Miesieczne uycie]]/gaz[[#This Row],[Ilosc dni]]</f>
        <v>5.741935483870968</v>
      </c>
    </row>
    <row r="5" spans="1:5" hidden="1" x14ac:dyDescent="0.25">
      <c r="A5" s="1">
        <v>37376</v>
      </c>
      <c r="B5">
        <v>2857</v>
      </c>
      <c r="C5">
        <f>DAY(A5)</f>
        <v>30</v>
      </c>
      <c r="D5">
        <f>gaz[[#This Row],[Odczyt licznika]]-B4</f>
        <v>161</v>
      </c>
      <c r="E5">
        <f>gaz[[#This Row],[Miesieczne uycie]]/gaz[[#This Row],[Ilosc dni]]</f>
        <v>5.3666666666666663</v>
      </c>
    </row>
    <row r="6" spans="1:5" hidden="1" x14ac:dyDescent="0.25">
      <c r="A6" s="1">
        <v>37407</v>
      </c>
      <c r="B6">
        <v>2917</v>
      </c>
      <c r="C6">
        <f>DAY(A6)</f>
        <v>31</v>
      </c>
      <c r="D6">
        <f>gaz[[#This Row],[Odczyt licznika]]-B5</f>
        <v>60</v>
      </c>
      <c r="E6">
        <f>gaz[[#This Row],[Miesieczne uycie]]/gaz[[#This Row],[Ilosc dni]]</f>
        <v>1.935483870967742</v>
      </c>
    </row>
    <row r="7" spans="1:5" hidden="1" x14ac:dyDescent="0.25">
      <c r="A7" s="1">
        <v>37437</v>
      </c>
      <c r="B7">
        <v>2952</v>
      </c>
      <c r="C7">
        <f>DAY(A7)</f>
        <v>30</v>
      </c>
      <c r="D7">
        <f>gaz[[#This Row],[Odczyt licznika]]-B6</f>
        <v>35</v>
      </c>
      <c r="E7">
        <f>gaz[[#This Row],[Miesieczne uycie]]/gaz[[#This Row],[Ilosc dni]]</f>
        <v>1.1666666666666667</v>
      </c>
    </row>
    <row r="8" spans="1:5" hidden="1" x14ac:dyDescent="0.25">
      <c r="A8" s="1">
        <v>37468</v>
      </c>
      <c r="B8">
        <v>2979</v>
      </c>
      <c r="C8">
        <f>DAY(A8)</f>
        <v>31</v>
      </c>
      <c r="D8">
        <f>gaz[[#This Row],[Odczyt licznika]]-B7</f>
        <v>27</v>
      </c>
      <c r="E8">
        <f>gaz[[#This Row],[Miesieczne uycie]]/gaz[[#This Row],[Ilosc dni]]</f>
        <v>0.87096774193548387</v>
      </c>
    </row>
    <row r="9" spans="1:5" hidden="1" x14ac:dyDescent="0.25">
      <c r="A9" s="1">
        <v>37499</v>
      </c>
      <c r="B9">
        <v>3009</v>
      </c>
      <c r="C9">
        <f>DAY(A9)</f>
        <v>31</v>
      </c>
      <c r="D9">
        <f>gaz[[#This Row],[Odczyt licznika]]-B8</f>
        <v>30</v>
      </c>
      <c r="E9">
        <f>gaz[[#This Row],[Miesieczne uycie]]/gaz[[#This Row],[Ilosc dni]]</f>
        <v>0.967741935483871</v>
      </c>
    </row>
    <row r="10" spans="1:5" hidden="1" x14ac:dyDescent="0.25">
      <c r="A10" s="1">
        <v>37529</v>
      </c>
      <c r="B10">
        <v>3040</v>
      </c>
      <c r="C10">
        <f>DAY(A10)</f>
        <v>30</v>
      </c>
      <c r="D10">
        <f>gaz[[#This Row],[Odczyt licznika]]-B9</f>
        <v>31</v>
      </c>
      <c r="E10">
        <f>gaz[[#This Row],[Miesieczne uycie]]/gaz[[#This Row],[Ilosc dni]]</f>
        <v>1.0333333333333334</v>
      </c>
    </row>
    <row r="11" spans="1:5" hidden="1" x14ac:dyDescent="0.25">
      <c r="A11" s="1">
        <v>37560</v>
      </c>
      <c r="B11">
        <v>3116</v>
      </c>
      <c r="C11">
        <f>DAY(A11)</f>
        <v>31</v>
      </c>
      <c r="D11">
        <f>gaz[[#This Row],[Odczyt licznika]]-B10</f>
        <v>76</v>
      </c>
      <c r="E11">
        <f>gaz[[#This Row],[Miesieczne uycie]]/gaz[[#This Row],[Ilosc dni]]</f>
        <v>2.4516129032258065</v>
      </c>
    </row>
    <row r="12" spans="1:5" hidden="1" x14ac:dyDescent="0.25">
      <c r="A12" s="1">
        <v>37590</v>
      </c>
      <c r="B12">
        <v>3222</v>
      </c>
      <c r="C12">
        <f>DAY(A12)</f>
        <v>30</v>
      </c>
      <c r="D12">
        <f>gaz[[#This Row],[Odczyt licznika]]-B11</f>
        <v>106</v>
      </c>
      <c r="E12">
        <f>gaz[[#This Row],[Miesieczne uycie]]/gaz[[#This Row],[Ilosc dni]]</f>
        <v>3.5333333333333332</v>
      </c>
    </row>
    <row r="13" spans="1:5" hidden="1" x14ac:dyDescent="0.25">
      <c r="A13" s="1">
        <v>37621</v>
      </c>
      <c r="B13">
        <v>3393</v>
      </c>
      <c r="C13">
        <f>DAY(A13)</f>
        <v>31</v>
      </c>
      <c r="D13">
        <f>gaz[[#This Row],[Odczyt licznika]]-B12</f>
        <v>171</v>
      </c>
      <c r="E13">
        <f>gaz[[#This Row],[Miesieczne uycie]]/gaz[[#This Row],[Ilosc dni]]</f>
        <v>5.5161290322580649</v>
      </c>
    </row>
    <row r="14" spans="1:5" hidden="1" x14ac:dyDescent="0.25">
      <c r="A14" s="1">
        <v>37652</v>
      </c>
      <c r="B14">
        <v>3613</v>
      </c>
      <c r="C14">
        <f>DAY(A14)</f>
        <v>31</v>
      </c>
      <c r="D14">
        <f>gaz[[#This Row],[Odczyt licznika]]-B13</f>
        <v>220</v>
      </c>
      <c r="E14">
        <f>gaz[[#This Row],[Miesieczne uycie]]/gaz[[#This Row],[Ilosc dni]]</f>
        <v>7.096774193548387</v>
      </c>
    </row>
    <row r="15" spans="1:5" hidden="1" x14ac:dyDescent="0.25">
      <c r="A15" s="1">
        <v>37680</v>
      </c>
      <c r="B15">
        <v>3891</v>
      </c>
      <c r="C15">
        <f>DAY(A15)</f>
        <v>28</v>
      </c>
      <c r="D15">
        <f>gaz[[#This Row],[Odczyt licznika]]-B14</f>
        <v>278</v>
      </c>
      <c r="E15">
        <f>gaz[[#This Row],[Miesieczne uycie]]/gaz[[#This Row],[Ilosc dni]]</f>
        <v>9.9285714285714288</v>
      </c>
    </row>
    <row r="16" spans="1:5" hidden="1" x14ac:dyDescent="0.25">
      <c r="A16" s="1">
        <v>37711</v>
      </c>
      <c r="B16">
        <v>4151</v>
      </c>
      <c r="C16">
        <f>DAY(A16)</f>
        <v>31</v>
      </c>
      <c r="D16">
        <f>gaz[[#This Row],[Odczyt licznika]]-B15</f>
        <v>260</v>
      </c>
      <c r="E16">
        <f>gaz[[#This Row],[Miesieczne uycie]]/gaz[[#This Row],[Ilosc dni]]</f>
        <v>8.387096774193548</v>
      </c>
    </row>
    <row r="17" spans="1:5" hidden="1" x14ac:dyDescent="0.25">
      <c r="A17" s="1">
        <v>37741</v>
      </c>
      <c r="B17">
        <v>4401</v>
      </c>
      <c r="C17">
        <f>DAY(A17)</f>
        <v>30</v>
      </c>
      <c r="D17">
        <f>gaz[[#This Row],[Odczyt licznika]]-B16</f>
        <v>250</v>
      </c>
      <c r="E17">
        <f>gaz[[#This Row],[Miesieczne uycie]]/gaz[[#This Row],[Ilosc dni]]</f>
        <v>8.3333333333333339</v>
      </c>
    </row>
    <row r="18" spans="1:5" hidden="1" x14ac:dyDescent="0.25">
      <c r="A18" s="1">
        <v>37772</v>
      </c>
      <c r="B18">
        <v>4553</v>
      </c>
      <c r="C18">
        <f>DAY(A18)</f>
        <v>31</v>
      </c>
      <c r="D18">
        <f>gaz[[#This Row],[Odczyt licznika]]-B17</f>
        <v>152</v>
      </c>
      <c r="E18">
        <f>gaz[[#This Row],[Miesieczne uycie]]/gaz[[#This Row],[Ilosc dni]]</f>
        <v>4.903225806451613</v>
      </c>
    </row>
    <row r="19" spans="1:5" hidden="1" x14ac:dyDescent="0.25">
      <c r="A19" s="1">
        <v>37802</v>
      </c>
      <c r="B19">
        <v>4639</v>
      </c>
      <c r="C19">
        <f>DAY(A19)</f>
        <v>30</v>
      </c>
      <c r="D19">
        <f>gaz[[#This Row],[Odczyt licznika]]-B18</f>
        <v>86</v>
      </c>
      <c r="E19">
        <f>gaz[[#This Row],[Miesieczne uycie]]/gaz[[#This Row],[Ilosc dni]]</f>
        <v>2.8666666666666667</v>
      </c>
    </row>
    <row r="20" spans="1:5" hidden="1" x14ac:dyDescent="0.25">
      <c r="A20" s="1">
        <v>37833</v>
      </c>
      <c r="B20">
        <v>4654</v>
      </c>
      <c r="C20">
        <f>DAY(A20)</f>
        <v>31</v>
      </c>
      <c r="D20">
        <f>gaz[[#This Row],[Odczyt licznika]]-B19</f>
        <v>15</v>
      </c>
      <c r="E20">
        <f>gaz[[#This Row],[Miesieczne uycie]]/gaz[[#This Row],[Ilosc dni]]</f>
        <v>0.4838709677419355</v>
      </c>
    </row>
    <row r="21" spans="1:5" hidden="1" x14ac:dyDescent="0.25">
      <c r="A21" s="1">
        <v>37864</v>
      </c>
      <c r="B21">
        <v>4669</v>
      </c>
      <c r="C21">
        <f>DAY(A21)</f>
        <v>31</v>
      </c>
      <c r="D21">
        <f>gaz[[#This Row],[Odczyt licznika]]-B20</f>
        <v>15</v>
      </c>
      <c r="E21">
        <f>gaz[[#This Row],[Miesieczne uycie]]/gaz[[#This Row],[Ilosc dni]]</f>
        <v>0.4838709677419355</v>
      </c>
    </row>
    <row r="22" spans="1:5" hidden="1" x14ac:dyDescent="0.25">
      <c r="A22" s="1">
        <v>37894</v>
      </c>
      <c r="B22">
        <v>4819</v>
      </c>
      <c r="C22">
        <f>DAY(A22)</f>
        <v>30</v>
      </c>
      <c r="D22">
        <f>gaz[[#This Row],[Odczyt licznika]]-B21</f>
        <v>150</v>
      </c>
      <c r="E22">
        <f>gaz[[#This Row],[Miesieczne uycie]]/gaz[[#This Row],[Ilosc dni]]</f>
        <v>5</v>
      </c>
    </row>
    <row r="23" spans="1:5" hidden="1" x14ac:dyDescent="0.25">
      <c r="A23" s="1">
        <v>37925</v>
      </c>
      <c r="B23">
        <v>4976</v>
      </c>
      <c r="C23">
        <f>DAY(A23)</f>
        <v>31</v>
      </c>
      <c r="D23">
        <f>gaz[[#This Row],[Odczyt licznika]]-B22</f>
        <v>157</v>
      </c>
      <c r="E23">
        <f>gaz[[#This Row],[Miesieczne uycie]]/gaz[[#This Row],[Ilosc dni]]</f>
        <v>5.064516129032258</v>
      </c>
    </row>
    <row r="24" spans="1:5" hidden="1" x14ac:dyDescent="0.25">
      <c r="A24" s="1">
        <v>37955</v>
      </c>
      <c r="B24">
        <v>5078</v>
      </c>
      <c r="C24">
        <f>DAY(A24)</f>
        <v>30</v>
      </c>
      <c r="D24">
        <f>gaz[[#This Row],[Odczyt licznika]]-B23</f>
        <v>102</v>
      </c>
      <c r="E24">
        <f>gaz[[#This Row],[Miesieczne uycie]]/gaz[[#This Row],[Ilosc dni]]</f>
        <v>3.4</v>
      </c>
    </row>
    <row r="25" spans="1:5" hidden="1" x14ac:dyDescent="0.25">
      <c r="A25" s="1">
        <v>37986</v>
      </c>
      <c r="B25">
        <v>5260</v>
      </c>
      <c r="C25">
        <f>DAY(A25)</f>
        <v>31</v>
      </c>
      <c r="D25">
        <f>gaz[[#This Row],[Odczyt licznika]]-B24</f>
        <v>182</v>
      </c>
      <c r="E25">
        <f>gaz[[#This Row],[Miesieczne uycie]]/gaz[[#This Row],[Ilosc dni]]</f>
        <v>5.870967741935484</v>
      </c>
    </row>
    <row r="26" spans="1:5" hidden="1" x14ac:dyDescent="0.25">
      <c r="A26" s="1">
        <v>38017</v>
      </c>
      <c r="B26">
        <v>5508</v>
      </c>
      <c r="C26">
        <f>DAY(A26)</f>
        <v>31</v>
      </c>
      <c r="D26">
        <f>gaz[[#This Row],[Odczyt licznika]]-B25</f>
        <v>248</v>
      </c>
      <c r="E26">
        <f>gaz[[#This Row],[Miesieczne uycie]]/gaz[[#This Row],[Ilosc dni]]</f>
        <v>8</v>
      </c>
    </row>
    <row r="27" spans="1:5" hidden="1" x14ac:dyDescent="0.25">
      <c r="A27" s="1">
        <v>38045</v>
      </c>
      <c r="B27">
        <v>5754</v>
      </c>
      <c r="C27">
        <f>DAY(A27)</f>
        <v>28</v>
      </c>
      <c r="D27">
        <f>gaz[[#This Row],[Odczyt licznika]]-B26</f>
        <v>246</v>
      </c>
      <c r="E27">
        <f>gaz[[#This Row],[Miesieczne uycie]]/gaz[[#This Row],[Ilosc dni]]</f>
        <v>8.7857142857142865</v>
      </c>
    </row>
    <row r="28" spans="1:5" hidden="1" x14ac:dyDescent="0.25">
      <c r="A28" s="1">
        <v>38077</v>
      </c>
      <c r="B28">
        <v>5945</v>
      </c>
      <c r="C28">
        <f>DAY(A28)</f>
        <v>31</v>
      </c>
      <c r="D28">
        <f>gaz[[#This Row],[Odczyt licznika]]-B27</f>
        <v>191</v>
      </c>
      <c r="E28">
        <f>gaz[[#This Row],[Miesieczne uycie]]/gaz[[#This Row],[Ilosc dni]]</f>
        <v>6.161290322580645</v>
      </c>
    </row>
    <row r="29" spans="1:5" hidden="1" x14ac:dyDescent="0.25">
      <c r="A29" s="1">
        <v>38107</v>
      </c>
      <c r="B29">
        <v>6050</v>
      </c>
      <c r="C29">
        <f>DAY(A29)</f>
        <v>30</v>
      </c>
      <c r="D29">
        <f>gaz[[#This Row],[Odczyt licznika]]-B28</f>
        <v>105</v>
      </c>
      <c r="E29">
        <f>gaz[[#This Row],[Miesieczne uycie]]/gaz[[#This Row],[Ilosc dni]]</f>
        <v>3.5</v>
      </c>
    </row>
    <row r="30" spans="1:5" hidden="1" x14ac:dyDescent="0.25">
      <c r="A30" s="1">
        <v>38138</v>
      </c>
      <c r="B30">
        <v>6146</v>
      </c>
      <c r="C30">
        <f>DAY(A30)</f>
        <v>31</v>
      </c>
      <c r="D30">
        <f>gaz[[#This Row],[Odczyt licznika]]-B29</f>
        <v>96</v>
      </c>
      <c r="E30">
        <f>gaz[[#This Row],[Miesieczne uycie]]/gaz[[#This Row],[Ilosc dni]]</f>
        <v>3.096774193548387</v>
      </c>
    </row>
    <row r="31" spans="1:5" hidden="1" x14ac:dyDescent="0.25">
      <c r="A31" s="1">
        <v>38168</v>
      </c>
      <c r="B31">
        <v>6173</v>
      </c>
      <c r="C31">
        <f>DAY(A31)</f>
        <v>30</v>
      </c>
      <c r="D31">
        <f>gaz[[#This Row],[Odczyt licznika]]-B30</f>
        <v>27</v>
      </c>
      <c r="E31">
        <f>gaz[[#This Row],[Miesieczne uycie]]/gaz[[#This Row],[Ilosc dni]]</f>
        <v>0.9</v>
      </c>
    </row>
    <row r="32" spans="1:5" hidden="1" x14ac:dyDescent="0.25">
      <c r="A32" s="1">
        <v>38199</v>
      </c>
      <c r="B32">
        <v>6183</v>
      </c>
      <c r="C32">
        <f>DAY(A32)</f>
        <v>31</v>
      </c>
      <c r="D32">
        <f>gaz[[#This Row],[Odczyt licznika]]-B31</f>
        <v>10</v>
      </c>
      <c r="E32">
        <f>gaz[[#This Row],[Miesieczne uycie]]/gaz[[#This Row],[Ilosc dni]]</f>
        <v>0.32258064516129031</v>
      </c>
    </row>
    <row r="33" spans="1:5" hidden="1" x14ac:dyDescent="0.25">
      <c r="A33" s="1">
        <v>38230</v>
      </c>
      <c r="B33">
        <v>6195</v>
      </c>
      <c r="C33">
        <f>DAY(A33)</f>
        <v>31</v>
      </c>
      <c r="D33">
        <f>gaz[[#This Row],[Odczyt licznika]]-B32</f>
        <v>12</v>
      </c>
      <c r="E33">
        <f>gaz[[#This Row],[Miesieczne uycie]]/gaz[[#This Row],[Ilosc dni]]</f>
        <v>0.38709677419354838</v>
      </c>
    </row>
    <row r="34" spans="1:5" hidden="1" x14ac:dyDescent="0.25">
      <c r="A34" s="1">
        <v>38260</v>
      </c>
      <c r="B34">
        <v>6304</v>
      </c>
      <c r="C34">
        <f>DAY(A34)</f>
        <v>30</v>
      </c>
      <c r="D34">
        <f>gaz[[#This Row],[Odczyt licznika]]-B33</f>
        <v>109</v>
      </c>
      <c r="E34">
        <f>gaz[[#This Row],[Miesieczne uycie]]/gaz[[#This Row],[Ilosc dni]]</f>
        <v>3.6333333333333333</v>
      </c>
    </row>
    <row r="35" spans="1:5" hidden="1" x14ac:dyDescent="0.25">
      <c r="A35" s="1">
        <v>38291</v>
      </c>
      <c r="B35">
        <v>6459</v>
      </c>
      <c r="C35">
        <f>DAY(A35)</f>
        <v>31</v>
      </c>
      <c r="D35">
        <f>gaz[[#This Row],[Odczyt licznika]]-B34</f>
        <v>155</v>
      </c>
      <c r="E35">
        <f>gaz[[#This Row],[Miesieczne uycie]]/gaz[[#This Row],[Ilosc dni]]</f>
        <v>5</v>
      </c>
    </row>
    <row r="36" spans="1:5" hidden="1" x14ac:dyDescent="0.25">
      <c r="A36" s="1">
        <v>38321</v>
      </c>
      <c r="B36">
        <v>6737</v>
      </c>
      <c r="C36">
        <f>DAY(A36)</f>
        <v>30</v>
      </c>
      <c r="D36">
        <f>gaz[[#This Row],[Odczyt licznika]]-B35</f>
        <v>278</v>
      </c>
      <c r="E36">
        <f>gaz[[#This Row],[Miesieczne uycie]]/gaz[[#This Row],[Ilosc dni]]</f>
        <v>9.2666666666666675</v>
      </c>
    </row>
    <row r="37" spans="1:5" hidden="1" x14ac:dyDescent="0.25">
      <c r="A37" s="1">
        <v>38352</v>
      </c>
      <c r="B37">
        <v>6997</v>
      </c>
      <c r="C37">
        <f>DAY(A37)</f>
        <v>31</v>
      </c>
      <c r="D37">
        <f>gaz[[#This Row],[Odczyt licznika]]-B36</f>
        <v>260</v>
      </c>
      <c r="E37">
        <f>gaz[[#This Row],[Miesieczne uycie]]/gaz[[#This Row],[Ilosc dni]]</f>
        <v>8.387096774193548</v>
      </c>
    </row>
    <row r="38" spans="1:5" hidden="1" x14ac:dyDescent="0.25">
      <c r="A38" s="1">
        <v>38383</v>
      </c>
      <c r="B38">
        <v>7247</v>
      </c>
      <c r="C38">
        <f>DAY(A38)</f>
        <v>31</v>
      </c>
      <c r="D38">
        <f>gaz[[#This Row],[Odczyt licznika]]-B37</f>
        <v>250</v>
      </c>
      <c r="E38">
        <f>gaz[[#This Row],[Miesieczne uycie]]/gaz[[#This Row],[Ilosc dni]]</f>
        <v>8.064516129032258</v>
      </c>
    </row>
    <row r="39" spans="1:5" hidden="1" x14ac:dyDescent="0.25">
      <c r="A39" s="1">
        <v>38411</v>
      </c>
      <c r="B39">
        <v>7399</v>
      </c>
      <c r="C39">
        <f>DAY(A39)</f>
        <v>28</v>
      </c>
      <c r="D39">
        <f>gaz[[#This Row],[Odczyt licznika]]-B38</f>
        <v>152</v>
      </c>
      <c r="E39">
        <f>gaz[[#This Row],[Miesieczne uycie]]/gaz[[#This Row],[Ilosc dni]]</f>
        <v>5.4285714285714288</v>
      </c>
    </row>
    <row r="40" spans="1:5" hidden="1" x14ac:dyDescent="0.25">
      <c r="A40" s="1">
        <v>38442</v>
      </c>
      <c r="B40">
        <v>7584</v>
      </c>
      <c r="C40">
        <f>DAY(A40)</f>
        <v>31</v>
      </c>
      <c r="D40">
        <f>gaz[[#This Row],[Odczyt licznika]]-B39</f>
        <v>185</v>
      </c>
      <c r="E40">
        <f>gaz[[#This Row],[Miesieczne uycie]]/gaz[[#This Row],[Ilosc dni]]</f>
        <v>5.967741935483871</v>
      </c>
    </row>
    <row r="41" spans="1:5" hidden="1" x14ac:dyDescent="0.25">
      <c r="A41" s="1">
        <v>38472</v>
      </c>
      <c r="B41">
        <v>7745</v>
      </c>
      <c r="C41">
        <f>DAY(A41)</f>
        <v>30</v>
      </c>
      <c r="D41">
        <f>gaz[[#This Row],[Odczyt licznika]]-B40</f>
        <v>161</v>
      </c>
      <c r="E41">
        <f>gaz[[#This Row],[Miesieczne uycie]]/gaz[[#This Row],[Ilosc dni]]</f>
        <v>5.3666666666666663</v>
      </c>
    </row>
    <row r="42" spans="1:5" hidden="1" x14ac:dyDescent="0.25">
      <c r="A42" s="1">
        <v>38503</v>
      </c>
      <c r="B42">
        <v>7935</v>
      </c>
      <c r="C42">
        <f>DAY(A42)</f>
        <v>31</v>
      </c>
      <c r="D42">
        <f>gaz[[#This Row],[Odczyt licznika]]-B41</f>
        <v>190</v>
      </c>
      <c r="E42">
        <f>gaz[[#This Row],[Miesieczne uycie]]/gaz[[#This Row],[Ilosc dni]]</f>
        <v>6.129032258064516</v>
      </c>
    </row>
    <row r="43" spans="1:5" hidden="1" x14ac:dyDescent="0.25">
      <c r="A43" s="1">
        <v>38533</v>
      </c>
      <c r="B43">
        <v>8043</v>
      </c>
      <c r="C43">
        <f>DAY(A43)</f>
        <v>30</v>
      </c>
      <c r="D43">
        <f>gaz[[#This Row],[Odczyt licznika]]-B42</f>
        <v>108</v>
      </c>
      <c r="E43">
        <f>gaz[[#This Row],[Miesieczne uycie]]/gaz[[#This Row],[Ilosc dni]]</f>
        <v>3.6</v>
      </c>
    </row>
    <row r="44" spans="1:5" hidden="1" x14ac:dyDescent="0.25">
      <c r="A44" s="1">
        <v>38564</v>
      </c>
      <c r="B44">
        <v>8062</v>
      </c>
      <c r="C44">
        <f>DAY(A44)</f>
        <v>31</v>
      </c>
      <c r="D44">
        <f>gaz[[#This Row],[Odczyt licznika]]-B43</f>
        <v>19</v>
      </c>
      <c r="E44">
        <f>gaz[[#This Row],[Miesieczne uycie]]/gaz[[#This Row],[Ilosc dni]]</f>
        <v>0.61290322580645162</v>
      </c>
    </row>
    <row r="45" spans="1:5" hidden="1" x14ac:dyDescent="0.25">
      <c r="A45" s="1">
        <v>38595</v>
      </c>
      <c r="B45">
        <v>8081</v>
      </c>
      <c r="C45">
        <f>DAY(A45)</f>
        <v>31</v>
      </c>
      <c r="D45">
        <f>gaz[[#This Row],[Odczyt licznika]]-B44</f>
        <v>19</v>
      </c>
      <c r="E45">
        <f>gaz[[#This Row],[Miesieczne uycie]]/gaz[[#This Row],[Ilosc dni]]</f>
        <v>0.61290322580645162</v>
      </c>
    </row>
    <row r="46" spans="1:5" hidden="1" x14ac:dyDescent="0.25">
      <c r="A46" s="1">
        <v>38625</v>
      </c>
      <c r="B46">
        <v>8269</v>
      </c>
      <c r="C46">
        <f>DAY(A46)</f>
        <v>30</v>
      </c>
      <c r="D46">
        <f>gaz[[#This Row],[Odczyt licznika]]-B45</f>
        <v>188</v>
      </c>
      <c r="E46">
        <f>gaz[[#This Row],[Miesieczne uycie]]/gaz[[#This Row],[Ilosc dni]]</f>
        <v>6.2666666666666666</v>
      </c>
    </row>
    <row r="47" spans="1:5" hidden="1" x14ac:dyDescent="0.25">
      <c r="A47" s="1">
        <v>38656</v>
      </c>
      <c r="B47">
        <v>8465</v>
      </c>
      <c r="C47">
        <f>DAY(A47)</f>
        <v>31</v>
      </c>
      <c r="D47">
        <f>gaz[[#This Row],[Odczyt licznika]]-B46</f>
        <v>196</v>
      </c>
      <c r="E47">
        <f>gaz[[#This Row],[Miesieczne uycie]]/gaz[[#This Row],[Ilosc dni]]</f>
        <v>6.32258064516129</v>
      </c>
    </row>
    <row r="48" spans="1:5" hidden="1" x14ac:dyDescent="0.25">
      <c r="A48" s="1">
        <v>38686</v>
      </c>
      <c r="B48">
        <v>8592</v>
      </c>
      <c r="C48">
        <f>DAY(A48)</f>
        <v>30</v>
      </c>
      <c r="D48">
        <f>gaz[[#This Row],[Odczyt licznika]]-B47</f>
        <v>127</v>
      </c>
      <c r="E48">
        <f>gaz[[#This Row],[Miesieczne uycie]]/gaz[[#This Row],[Ilosc dni]]</f>
        <v>4.2333333333333334</v>
      </c>
    </row>
    <row r="49" spans="1:5" hidden="1" x14ac:dyDescent="0.25">
      <c r="A49" s="1">
        <v>38717</v>
      </c>
      <c r="B49">
        <v>8819</v>
      </c>
      <c r="C49">
        <f>DAY(A49)</f>
        <v>31</v>
      </c>
      <c r="D49">
        <f>gaz[[#This Row],[Odczyt licznika]]-B48</f>
        <v>227</v>
      </c>
      <c r="E49">
        <f>gaz[[#This Row],[Miesieczne uycie]]/gaz[[#This Row],[Ilosc dni]]</f>
        <v>7.32258064516129</v>
      </c>
    </row>
    <row r="50" spans="1:5" hidden="1" x14ac:dyDescent="0.25">
      <c r="A50" s="1">
        <v>38748</v>
      </c>
      <c r="B50">
        <v>9129</v>
      </c>
      <c r="C50">
        <f>DAY(A50)</f>
        <v>31</v>
      </c>
      <c r="D50">
        <f>gaz[[#This Row],[Odczyt licznika]]-B49</f>
        <v>310</v>
      </c>
      <c r="E50">
        <f>gaz[[#This Row],[Miesieczne uycie]]/gaz[[#This Row],[Ilosc dni]]</f>
        <v>10</v>
      </c>
    </row>
    <row r="51" spans="1:5" hidden="1" x14ac:dyDescent="0.25">
      <c r="A51" s="1">
        <v>38776</v>
      </c>
      <c r="B51">
        <v>9424</v>
      </c>
      <c r="C51">
        <f>DAY(A51)</f>
        <v>28</v>
      </c>
      <c r="D51">
        <f>gaz[[#This Row],[Odczyt licznika]]-B50</f>
        <v>295</v>
      </c>
      <c r="E51">
        <f>gaz[[#This Row],[Miesieczne uycie]]/gaz[[#This Row],[Ilosc dni]]</f>
        <v>10.535714285714286</v>
      </c>
    </row>
    <row r="52" spans="1:5" hidden="1" x14ac:dyDescent="0.25">
      <c r="A52" s="1">
        <v>38807</v>
      </c>
      <c r="B52">
        <v>9662</v>
      </c>
      <c r="C52">
        <f>DAY(A52)</f>
        <v>31</v>
      </c>
      <c r="D52">
        <f>gaz[[#This Row],[Odczyt licznika]]-B51</f>
        <v>238</v>
      </c>
      <c r="E52">
        <f>gaz[[#This Row],[Miesieczne uycie]]/gaz[[#This Row],[Ilosc dni]]</f>
        <v>7.67741935483871</v>
      </c>
    </row>
    <row r="53" spans="1:5" hidden="1" x14ac:dyDescent="0.25">
      <c r="A53" s="1">
        <v>38837</v>
      </c>
      <c r="B53">
        <v>9778</v>
      </c>
      <c r="C53">
        <f>DAY(A53)</f>
        <v>30</v>
      </c>
      <c r="D53">
        <f>gaz[[#This Row],[Odczyt licznika]]-B52</f>
        <v>116</v>
      </c>
      <c r="E53">
        <f>gaz[[#This Row],[Miesieczne uycie]]/gaz[[#This Row],[Ilosc dni]]</f>
        <v>3.8666666666666667</v>
      </c>
    </row>
    <row r="54" spans="1:5" hidden="1" x14ac:dyDescent="0.25">
      <c r="A54" s="1">
        <v>38868</v>
      </c>
      <c r="B54">
        <v>9884</v>
      </c>
      <c r="C54">
        <f>DAY(A54)</f>
        <v>31</v>
      </c>
      <c r="D54">
        <f>gaz[[#This Row],[Odczyt licznika]]-B53</f>
        <v>106</v>
      </c>
      <c r="E54">
        <f>gaz[[#This Row],[Miesieczne uycie]]/gaz[[#This Row],[Ilosc dni]]</f>
        <v>3.4193548387096775</v>
      </c>
    </row>
    <row r="55" spans="1:5" hidden="1" x14ac:dyDescent="0.25">
      <c r="A55" s="1">
        <v>38898</v>
      </c>
      <c r="B55">
        <v>9914</v>
      </c>
      <c r="C55">
        <f>DAY(A55)</f>
        <v>30</v>
      </c>
      <c r="D55">
        <f>gaz[[#This Row],[Odczyt licznika]]-B54</f>
        <v>30</v>
      </c>
      <c r="E55">
        <f>gaz[[#This Row],[Miesieczne uycie]]/gaz[[#This Row],[Ilosc dni]]</f>
        <v>1</v>
      </c>
    </row>
    <row r="56" spans="1:5" hidden="1" x14ac:dyDescent="0.25">
      <c r="A56" s="1">
        <v>38929</v>
      </c>
      <c r="B56">
        <v>9925</v>
      </c>
      <c r="C56">
        <f>DAY(A56)</f>
        <v>31</v>
      </c>
      <c r="D56">
        <f>gaz[[#This Row],[Odczyt licznika]]-B55</f>
        <v>11</v>
      </c>
      <c r="E56">
        <f>gaz[[#This Row],[Miesieczne uycie]]/gaz[[#This Row],[Ilosc dni]]</f>
        <v>0.35483870967741937</v>
      </c>
    </row>
    <row r="57" spans="1:5" hidden="1" x14ac:dyDescent="0.25">
      <c r="A57" s="1">
        <v>38960</v>
      </c>
      <c r="B57">
        <v>9938</v>
      </c>
      <c r="C57">
        <f>DAY(A57)</f>
        <v>31</v>
      </c>
      <c r="D57">
        <f>gaz[[#This Row],[Odczyt licznika]]-B56</f>
        <v>13</v>
      </c>
      <c r="E57">
        <f>gaz[[#This Row],[Miesieczne uycie]]/gaz[[#This Row],[Ilosc dni]]</f>
        <v>0.41935483870967744</v>
      </c>
    </row>
    <row r="58" spans="1:5" hidden="1" x14ac:dyDescent="0.25">
      <c r="A58" s="1">
        <v>38990</v>
      </c>
      <c r="B58">
        <v>10059</v>
      </c>
      <c r="C58">
        <f>DAY(A58)</f>
        <v>30</v>
      </c>
      <c r="D58">
        <f>gaz[[#This Row],[Odczyt licznika]]-B57</f>
        <v>121</v>
      </c>
      <c r="E58">
        <f>gaz[[#This Row],[Miesieczne uycie]]/gaz[[#This Row],[Ilosc dni]]</f>
        <v>4.0333333333333332</v>
      </c>
    </row>
    <row r="59" spans="1:5" hidden="1" x14ac:dyDescent="0.25">
      <c r="A59" s="1">
        <v>39021</v>
      </c>
      <c r="B59">
        <v>10211</v>
      </c>
      <c r="C59">
        <f>DAY(A59)</f>
        <v>31</v>
      </c>
      <c r="D59">
        <f>gaz[[#This Row],[Odczyt licznika]]-B58</f>
        <v>152</v>
      </c>
      <c r="E59">
        <f>gaz[[#This Row],[Miesieczne uycie]]/gaz[[#This Row],[Ilosc dni]]</f>
        <v>4.903225806451613</v>
      </c>
    </row>
    <row r="60" spans="1:5" hidden="1" x14ac:dyDescent="0.25">
      <c r="A60" s="1">
        <v>39051</v>
      </c>
      <c r="B60">
        <v>10486</v>
      </c>
      <c r="C60">
        <f>DAY(A60)</f>
        <v>30</v>
      </c>
      <c r="D60">
        <f>gaz[[#This Row],[Odczyt licznika]]-B59</f>
        <v>275</v>
      </c>
      <c r="E60">
        <f>gaz[[#This Row],[Miesieczne uycie]]/gaz[[#This Row],[Ilosc dni]]</f>
        <v>9.1666666666666661</v>
      </c>
    </row>
    <row r="61" spans="1:5" hidden="1" x14ac:dyDescent="0.25">
      <c r="A61" s="1">
        <v>39082</v>
      </c>
      <c r="B61">
        <v>10742</v>
      </c>
      <c r="C61">
        <f>DAY(A61)</f>
        <v>31</v>
      </c>
      <c r="D61">
        <f>gaz[[#This Row],[Odczyt licznika]]-B60</f>
        <v>256</v>
      </c>
      <c r="E61">
        <f>gaz[[#This Row],[Miesieczne uycie]]/gaz[[#This Row],[Ilosc dni]]</f>
        <v>8.258064516129032</v>
      </c>
    </row>
    <row r="62" spans="1:5" hidden="1" x14ac:dyDescent="0.25">
      <c r="A62" s="1">
        <v>39113</v>
      </c>
      <c r="B62">
        <v>10988</v>
      </c>
      <c r="C62">
        <f>DAY(A62)</f>
        <v>31</v>
      </c>
      <c r="D62">
        <f>gaz[[#This Row],[Odczyt licznika]]-B61</f>
        <v>246</v>
      </c>
      <c r="E62">
        <f>gaz[[#This Row],[Miesieczne uycie]]/gaz[[#This Row],[Ilosc dni]]</f>
        <v>7.935483870967742</v>
      </c>
    </row>
    <row r="63" spans="1:5" hidden="1" x14ac:dyDescent="0.25">
      <c r="A63" s="1">
        <v>39141</v>
      </c>
      <c r="B63">
        <v>11138</v>
      </c>
      <c r="C63">
        <f>DAY(A63)</f>
        <v>28</v>
      </c>
      <c r="D63">
        <f>gaz[[#This Row],[Odczyt licznika]]-B62</f>
        <v>150</v>
      </c>
      <c r="E63">
        <f>gaz[[#This Row],[Miesieczne uycie]]/gaz[[#This Row],[Ilosc dni]]</f>
        <v>5.3571428571428568</v>
      </c>
    </row>
    <row r="64" spans="1:5" hidden="1" x14ac:dyDescent="0.25">
      <c r="A64" s="1">
        <v>39172</v>
      </c>
      <c r="B64">
        <v>11321</v>
      </c>
      <c r="C64">
        <f>DAY(A64)</f>
        <v>31</v>
      </c>
      <c r="D64">
        <f>gaz[[#This Row],[Odczyt licznika]]-B63</f>
        <v>183</v>
      </c>
      <c r="E64">
        <f>gaz[[#This Row],[Miesieczne uycie]]/gaz[[#This Row],[Ilosc dni]]</f>
        <v>5.903225806451613</v>
      </c>
    </row>
    <row r="65" spans="1:5" hidden="1" x14ac:dyDescent="0.25">
      <c r="A65" s="1">
        <v>39202</v>
      </c>
      <c r="B65">
        <v>11481</v>
      </c>
      <c r="C65">
        <f>DAY(A65)</f>
        <v>30</v>
      </c>
      <c r="D65">
        <f>gaz[[#This Row],[Odczyt licznika]]-B64</f>
        <v>160</v>
      </c>
      <c r="E65">
        <f>gaz[[#This Row],[Miesieczne uycie]]/gaz[[#This Row],[Ilosc dni]]</f>
        <v>5.333333333333333</v>
      </c>
    </row>
    <row r="66" spans="1:5" hidden="1" x14ac:dyDescent="0.25">
      <c r="A66" s="1">
        <v>39233</v>
      </c>
      <c r="B66">
        <v>11669</v>
      </c>
      <c r="C66">
        <f>DAY(A66)</f>
        <v>31</v>
      </c>
      <c r="D66">
        <f>gaz[[#This Row],[Odczyt licznika]]-B65</f>
        <v>188</v>
      </c>
      <c r="E66">
        <f>gaz[[#This Row],[Miesieczne uycie]]/gaz[[#This Row],[Ilosc dni]]</f>
        <v>6.064516129032258</v>
      </c>
    </row>
    <row r="67" spans="1:5" hidden="1" x14ac:dyDescent="0.25">
      <c r="A67" s="1">
        <v>39263</v>
      </c>
      <c r="B67">
        <v>11776</v>
      </c>
      <c r="C67">
        <f>DAY(A67)</f>
        <v>30</v>
      </c>
      <c r="D67">
        <f>gaz[[#This Row],[Odczyt licznika]]-B66</f>
        <v>107</v>
      </c>
      <c r="E67">
        <f>gaz[[#This Row],[Miesieczne uycie]]/gaz[[#This Row],[Ilosc dni]]</f>
        <v>3.5666666666666669</v>
      </c>
    </row>
    <row r="68" spans="1:5" hidden="1" x14ac:dyDescent="0.25">
      <c r="A68" s="1">
        <v>39294</v>
      </c>
      <c r="B68">
        <v>11795</v>
      </c>
      <c r="C68">
        <f>DAY(A68)</f>
        <v>31</v>
      </c>
      <c r="D68">
        <f>gaz[[#This Row],[Odczyt licznika]]-B67</f>
        <v>19</v>
      </c>
      <c r="E68">
        <f>gaz[[#This Row],[Miesieczne uycie]]/gaz[[#This Row],[Ilosc dni]]</f>
        <v>0.61290322580645162</v>
      </c>
    </row>
    <row r="69" spans="1:5" hidden="1" x14ac:dyDescent="0.25">
      <c r="A69" s="1">
        <v>39325</v>
      </c>
      <c r="B69">
        <v>11814</v>
      </c>
      <c r="C69">
        <f>DAY(A69)</f>
        <v>31</v>
      </c>
      <c r="D69">
        <f>gaz[[#This Row],[Odczyt licznika]]-B68</f>
        <v>19</v>
      </c>
      <c r="E69">
        <f>gaz[[#This Row],[Miesieczne uycie]]/gaz[[#This Row],[Ilosc dni]]</f>
        <v>0.61290322580645162</v>
      </c>
    </row>
    <row r="70" spans="1:5" hidden="1" x14ac:dyDescent="0.25">
      <c r="A70" s="1">
        <v>39355</v>
      </c>
      <c r="B70">
        <v>11901</v>
      </c>
      <c r="C70">
        <f>DAY(A70)</f>
        <v>30</v>
      </c>
      <c r="D70">
        <f>gaz[[#This Row],[Odczyt licznika]]-B69</f>
        <v>87</v>
      </c>
      <c r="E70">
        <f>gaz[[#This Row],[Miesieczne uycie]]/gaz[[#This Row],[Ilosc dni]]</f>
        <v>2.9</v>
      </c>
    </row>
    <row r="71" spans="1:5" hidden="1" x14ac:dyDescent="0.25">
      <c r="A71" s="1">
        <v>39386</v>
      </c>
      <c r="B71">
        <v>12044</v>
      </c>
      <c r="C71">
        <f>DAY(A71)</f>
        <v>31</v>
      </c>
      <c r="D71">
        <f>gaz[[#This Row],[Odczyt licznika]]-B70</f>
        <v>143</v>
      </c>
      <c r="E71">
        <f>gaz[[#This Row],[Miesieczne uycie]]/gaz[[#This Row],[Ilosc dni]]</f>
        <v>4.612903225806452</v>
      </c>
    </row>
    <row r="72" spans="1:5" hidden="1" x14ac:dyDescent="0.25">
      <c r="A72" s="1">
        <v>39416</v>
      </c>
      <c r="B72">
        <v>12170</v>
      </c>
      <c r="C72">
        <f>DAY(A72)</f>
        <v>30</v>
      </c>
      <c r="D72">
        <f>gaz[[#This Row],[Odczyt licznika]]-B71</f>
        <v>126</v>
      </c>
      <c r="E72">
        <f>gaz[[#This Row],[Miesieczne uycie]]/gaz[[#This Row],[Ilosc dni]]</f>
        <v>4.2</v>
      </c>
    </row>
    <row r="73" spans="1:5" hidden="1" x14ac:dyDescent="0.25">
      <c r="A73" s="1">
        <v>39447</v>
      </c>
      <c r="B73">
        <v>12395</v>
      </c>
      <c r="C73">
        <f>DAY(A73)</f>
        <v>31</v>
      </c>
      <c r="D73">
        <f>gaz[[#This Row],[Odczyt licznika]]-B72</f>
        <v>225</v>
      </c>
      <c r="E73">
        <f>gaz[[#This Row],[Miesieczne uycie]]/gaz[[#This Row],[Ilosc dni]]</f>
        <v>7.258064516129032</v>
      </c>
    </row>
    <row r="74" spans="1:5" hidden="1" x14ac:dyDescent="0.25">
      <c r="A74" s="1">
        <v>39478</v>
      </c>
      <c r="B74">
        <v>12702</v>
      </c>
      <c r="C74">
        <f>DAY(A74)</f>
        <v>31</v>
      </c>
      <c r="D74">
        <f>gaz[[#This Row],[Odczyt licznika]]-B73</f>
        <v>307</v>
      </c>
      <c r="E74">
        <f>gaz[[#This Row],[Miesieczne uycie]]/gaz[[#This Row],[Ilosc dni]]</f>
        <v>9.9032258064516121</v>
      </c>
    </row>
    <row r="75" spans="1:5" hidden="1" x14ac:dyDescent="0.25">
      <c r="A75" s="1">
        <v>39506</v>
      </c>
      <c r="B75">
        <v>13025</v>
      </c>
      <c r="C75">
        <f>DAY(A75)</f>
        <v>28</v>
      </c>
      <c r="D75">
        <f>gaz[[#This Row],[Odczyt licznika]]-B74</f>
        <v>323</v>
      </c>
      <c r="E75">
        <f>gaz[[#This Row],[Miesieczne uycie]]/gaz[[#This Row],[Ilosc dni]]</f>
        <v>11.535714285714286</v>
      </c>
    </row>
    <row r="76" spans="1:5" hidden="1" x14ac:dyDescent="0.25">
      <c r="A76" s="1">
        <v>39538</v>
      </c>
      <c r="B76">
        <v>13261</v>
      </c>
      <c r="C76">
        <f>DAY(A76)</f>
        <v>31</v>
      </c>
      <c r="D76">
        <f>gaz[[#This Row],[Odczyt licznika]]-B75</f>
        <v>236</v>
      </c>
      <c r="E76">
        <f>gaz[[#This Row],[Miesieczne uycie]]/gaz[[#This Row],[Ilosc dni]]</f>
        <v>7.612903225806452</v>
      </c>
    </row>
    <row r="77" spans="1:5" hidden="1" x14ac:dyDescent="0.25">
      <c r="A77" s="1">
        <v>39568</v>
      </c>
      <c r="B77">
        <v>13376</v>
      </c>
      <c r="C77">
        <f>DAY(A77)</f>
        <v>30</v>
      </c>
      <c r="D77">
        <f>gaz[[#This Row],[Odczyt licznika]]-B76</f>
        <v>115</v>
      </c>
      <c r="E77">
        <f>gaz[[#This Row],[Miesieczne uycie]]/gaz[[#This Row],[Ilosc dni]]</f>
        <v>3.8333333333333335</v>
      </c>
    </row>
    <row r="78" spans="1:5" hidden="1" x14ac:dyDescent="0.25">
      <c r="A78" s="1">
        <v>39599</v>
      </c>
      <c r="B78">
        <v>13478</v>
      </c>
      <c r="C78">
        <f>DAY(A78)</f>
        <v>31</v>
      </c>
      <c r="D78">
        <f>gaz[[#This Row],[Odczyt licznika]]-B77</f>
        <v>102</v>
      </c>
      <c r="E78">
        <f>gaz[[#This Row],[Miesieczne uycie]]/gaz[[#This Row],[Ilosc dni]]</f>
        <v>3.2903225806451615</v>
      </c>
    </row>
    <row r="79" spans="1:5" hidden="1" x14ac:dyDescent="0.25">
      <c r="A79" s="1">
        <v>39629</v>
      </c>
      <c r="B79">
        <v>13506</v>
      </c>
      <c r="C79">
        <f>DAY(A79)</f>
        <v>30</v>
      </c>
      <c r="D79">
        <f>gaz[[#This Row],[Odczyt licznika]]-B78</f>
        <v>28</v>
      </c>
      <c r="E79">
        <f>gaz[[#This Row],[Miesieczne uycie]]/gaz[[#This Row],[Ilosc dni]]</f>
        <v>0.93333333333333335</v>
      </c>
    </row>
    <row r="80" spans="1:5" hidden="1" x14ac:dyDescent="0.25">
      <c r="A80" s="1">
        <v>39660</v>
      </c>
      <c r="B80">
        <v>13516</v>
      </c>
      <c r="C80">
        <f>DAY(A80)</f>
        <v>31</v>
      </c>
      <c r="D80">
        <f>gaz[[#This Row],[Odczyt licznika]]-B79</f>
        <v>10</v>
      </c>
      <c r="E80">
        <f>gaz[[#This Row],[Miesieczne uycie]]/gaz[[#This Row],[Ilosc dni]]</f>
        <v>0.32258064516129031</v>
      </c>
    </row>
    <row r="81" spans="1:5" hidden="1" x14ac:dyDescent="0.25">
      <c r="A81" s="1">
        <v>39691</v>
      </c>
      <c r="B81">
        <v>13529</v>
      </c>
      <c r="C81">
        <f>DAY(A81)</f>
        <v>31</v>
      </c>
      <c r="D81">
        <f>gaz[[#This Row],[Odczyt licznika]]-B80</f>
        <v>13</v>
      </c>
      <c r="E81">
        <f>gaz[[#This Row],[Miesieczne uycie]]/gaz[[#This Row],[Ilosc dni]]</f>
        <v>0.41935483870967744</v>
      </c>
    </row>
    <row r="82" spans="1:5" hidden="1" x14ac:dyDescent="0.25">
      <c r="A82" s="1">
        <v>39721</v>
      </c>
      <c r="B82">
        <v>13645</v>
      </c>
      <c r="C82">
        <f>DAY(A82)</f>
        <v>30</v>
      </c>
      <c r="D82">
        <f>gaz[[#This Row],[Odczyt licznika]]-B81</f>
        <v>116</v>
      </c>
      <c r="E82">
        <f>gaz[[#This Row],[Miesieczne uycie]]/gaz[[#This Row],[Ilosc dni]]</f>
        <v>3.8666666666666667</v>
      </c>
    </row>
    <row r="83" spans="1:5" hidden="1" x14ac:dyDescent="0.25">
      <c r="A83" s="1">
        <v>39752</v>
      </c>
      <c r="B83">
        <v>13791</v>
      </c>
      <c r="C83">
        <f>DAY(A83)</f>
        <v>31</v>
      </c>
      <c r="D83">
        <f>gaz[[#This Row],[Odczyt licznika]]-B82</f>
        <v>146</v>
      </c>
      <c r="E83">
        <f>gaz[[#This Row],[Miesieczne uycie]]/gaz[[#This Row],[Ilosc dni]]</f>
        <v>4.709677419354839</v>
      </c>
    </row>
    <row r="84" spans="1:5" hidden="1" x14ac:dyDescent="0.25">
      <c r="A84" s="1">
        <v>39782</v>
      </c>
      <c r="B84">
        <v>14055</v>
      </c>
      <c r="C84">
        <f>DAY(A84)</f>
        <v>30</v>
      </c>
      <c r="D84">
        <f>gaz[[#This Row],[Odczyt licznika]]-B83</f>
        <v>264</v>
      </c>
      <c r="E84">
        <f>gaz[[#This Row],[Miesieczne uycie]]/gaz[[#This Row],[Ilosc dni]]</f>
        <v>8.8000000000000007</v>
      </c>
    </row>
    <row r="85" spans="1:5" hidden="1" x14ac:dyDescent="0.25">
      <c r="A85" s="1">
        <v>39813</v>
      </c>
      <c r="B85">
        <v>14301</v>
      </c>
      <c r="C85">
        <f>DAY(A85)</f>
        <v>31</v>
      </c>
      <c r="D85">
        <f>gaz[[#This Row],[Odczyt licznika]]-B84</f>
        <v>246</v>
      </c>
      <c r="E85">
        <f>gaz[[#This Row],[Miesieczne uycie]]/gaz[[#This Row],[Ilosc dni]]</f>
        <v>7.935483870967742</v>
      </c>
    </row>
    <row r="86" spans="1:5" hidden="1" x14ac:dyDescent="0.25">
      <c r="A86" s="1">
        <v>39844</v>
      </c>
      <c r="B86">
        <v>14537</v>
      </c>
      <c r="C86">
        <f>DAY(A86)</f>
        <v>31</v>
      </c>
      <c r="D86">
        <f>gaz[[#This Row],[Odczyt licznika]]-B85</f>
        <v>236</v>
      </c>
      <c r="E86">
        <f>gaz[[#This Row],[Miesieczne uycie]]/gaz[[#This Row],[Ilosc dni]]</f>
        <v>7.612903225806452</v>
      </c>
    </row>
    <row r="87" spans="1:5" hidden="1" x14ac:dyDescent="0.25">
      <c r="A87" s="1">
        <v>39872</v>
      </c>
      <c r="B87">
        <v>14827</v>
      </c>
      <c r="C87">
        <f>DAY(A87)</f>
        <v>28</v>
      </c>
      <c r="D87">
        <f>gaz[[#This Row],[Odczyt licznika]]-B86</f>
        <v>290</v>
      </c>
      <c r="E87">
        <f>gaz[[#This Row],[Miesieczne uycie]]/gaz[[#This Row],[Ilosc dni]]</f>
        <v>10.357142857142858</v>
      </c>
    </row>
    <row r="88" spans="1:5" hidden="1" x14ac:dyDescent="0.25">
      <c r="A88" s="1">
        <v>39903</v>
      </c>
      <c r="B88">
        <v>15002</v>
      </c>
      <c r="C88">
        <f>DAY(A88)</f>
        <v>31</v>
      </c>
      <c r="D88">
        <f>gaz[[#This Row],[Odczyt licznika]]-B87</f>
        <v>175</v>
      </c>
      <c r="E88">
        <f>gaz[[#This Row],[Miesieczne uycie]]/gaz[[#This Row],[Ilosc dni]]</f>
        <v>5.645161290322581</v>
      </c>
    </row>
    <row r="89" spans="1:5" hidden="1" x14ac:dyDescent="0.25">
      <c r="A89" s="1">
        <v>39933</v>
      </c>
      <c r="B89">
        <v>15155</v>
      </c>
      <c r="C89">
        <f>DAY(A89)</f>
        <v>30</v>
      </c>
      <c r="D89">
        <f>gaz[[#This Row],[Odczyt licznika]]-B88</f>
        <v>153</v>
      </c>
      <c r="E89">
        <f>gaz[[#This Row],[Miesieczne uycie]]/gaz[[#This Row],[Ilosc dni]]</f>
        <v>5.0999999999999996</v>
      </c>
    </row>
    <row r="90" spans="1:5" hidden="1" x14ac:dyDescent="0.25">
      <c r="A90" s="1">
        <v>39964</v>
      </c>
      <c r="B90">
        <v>15335</v>
      </c>
      <c r="C90">
        <f>DAY(A90)</f>
        <v>31</v>
      </c>
      <c r="D90">
        <f>gaz[[#This Row],[Odczyt licznika]]-B89</f>
        <v>180</v>
      </c>
      <c r="E90">
        <f>gaz[[#This Row],[Miesieczne uycie]]/gaz[[#This Row],[Ilosc dni]]</f>
        <v>5.806451612903226</v>
      </c>
    </row>
    <row r="91" spans="1:5" hidden="1" x14ac:dyDescent="0.25">
      <c r="A91" s="1">
        <v>39994</v>
      </c>
      <c r="B91">
        <v>15437</v>
      </c>
      <c r="C91">
        <f>DAY(A91)</f>
        <v>30</v>
      </c>
      <c r="D91">
        <f>gaz[[#This Row],[Odczyt licznika]]-B90</f>
        <v>102</v>
      </c>
      <c r="E91">
        <f>gaz[[#This Row],[Miesieczne uycie]]/gaz[[#This Row],[Ilosc dni]]</f>
        <v>3.4</v>
      </c>
    </row>
    <row r="92" spans="1:5" hidden="1" x14ac:dyDescent="0.25">
      <c r="A92" s="1">
        <v>40025</v>
      </c>
      <c r="B92">
        <v>15455</v>
      </c>
      <c r="C92">
        <f>DAY(A92)</f>
        <v>31</v>
      </c>
      <c r="D92">
        <f>gaz[[#This Row],[Odczyt licznika]]-B91</f>
        <v>18</v>
      </c>
      <c r="E92">
        <f>gaz[[#This Row],[Miesieczne uycie]]/gaz[[#This Row],[Ilosc dni]]</f>
        <v>0.58064516129032262</v>
      </c>
    </row>
    <row r="93" spans="1:5" hidden="1" x14ac:dyDescent="0.25">
      <c r="A93" s="1">
        <v>40056</v>
      </c>
      <c r="B93">
        <v>15474</v>
      </c>
      <c r="C93">
        <f>DAY(A93)</f>
        <v>31</v>
      </c>
      <c r="D93">
        <f>gaz[[#This Row],[Odczyt licznika]]-B92</f>
        <v>19</v>
      </c>
      <c r="E93">
        <f>gaz[[#This Row],[Miesieczne uycie]]/gaz[[#This Row],[Ilosc dni]]</f>
        <v>0.61290322580645162</v>
      </c>
    </row>
    <row r="94" spans="1:5" hidden="1" x14ac:dyDescent="0.25">
      <c r="A94" s="1">
        <v>40086</v>
      </c>
      <c r="B94">
        <v>15557</v>
      </c>
      <c r="C94">
        <f>DAY(A94)</f>
        <v>30</v>
      </c>
      <c r="D94">
        <f>gaz[[#This Row],[Odczyt licznika]]-B93</f>
        <v>83</v>
      </c>
      <c r="E94">
        <f>gaz[[#This Row],[Miesieczne uycie]]/gaz[[#This Row],[Ilosc dni]]</f>
        <v>2.7666666666666666</v>
      </c>
    </row>
    <row r="95" spans="1:5" hidden="1" x14ac:dyDescent="0.25">
      <c r="A95" s="1">
        <v>40117</v>
      </c>
      <c r="B95">
        <v>15694</v>
      </c>
      <c r="C95">
        <f>DAY(A95)</f>
        <v>31</v>
      </c>
      <c r="D95">
        <f>gaz[[#This Row],[Odczyt licznika]]-B94</f>
        <v>137</v>
      </c>
      <c r="E95">
        <f>gaz[[#This Row],[Miesieczne uycie]]/gaz[[#This Row],[Ilosc dni]]</f>
        <v>4.419354838709677</v>
      </c>
    </row>
    <row r="96" spans="1:5" hidden="1" x14ac:dyDescent="0.25">
      <c r="A96" s="1">
        <v>40147</v>
      </c>
      <c r="B96">
        <v>15835</v>
      </c>
      <c r="C96">
        <f>DAY(A96)</f>
        <v>30</v>
      </c>
      <c r="D96">
        <f>gaz[[#This Row],[Odczyt licznika]]-B95</f>
        <v>141</v>
      </c>
      <c r="E96">
        <f>gaz[[#This Row],[Miesieczne uycie]]/gaz[[#This Row],[Ilosc dni]]</f>
        <v>4.7</v>
      </c>
    </row>
    <row r="97" spans="1:5" hidden="1" x14ac:dyDescent="0.25">
      <c r="A97" s="1">
        <v>40178</v>
      </c>
      <c r="B97">
        <v>16087</v>
      </c>
      <c r="C97">
        <f>DAY(A97)</f>
        <v>31</v>
      </c>
      <c r="D97">
        <f>gaz[[#This Row],[Odczyt licznika]]-B96</f>
        <v>252</v>
      </c>
      <c r="E97">
        <f>gaz[[#This Row],[Miesieczne uycie]]/gaz[[#This Row],[Ilosc dni]]</f>
        <v>8.129032258064516</v>
      </c>
    </row>
    <row r="98" spans="1:5" hidden="1" x14ac:dyDescent="0.25">
      <c r="A98" s="1">
        <v>40209</v>
      </c>
      <c r="B98">
        <v>16431</v>
      </c>
      <c r="C98">
        <f>DAY(A98)</f>
        <v>31</v>
      </c>
      <c r="D98">
        <f>gaz[[#This Row],[Odczyt licznika]]-B97</f>
        <v>344</v>
      </c>
      <c r="E98">
        <f>gaz[[#This Row],[Miesieczne uycie]]/gaz[[#This Row],[Ilosc dni]]</f>
        <v>11.096774193548388</v>
      </c>
    </row>
    <row r="99" spans="1:5" x14ac:dyDescent="0.25">
      <c r="A99" s="1">
        <v>40237</v>
      </c>
      <c r="B99">
        <v>16792</v>
      </c>
      <c r="C99">
        <f>DAY(A99)</f>
        <v>28</v>
      </c>
      <c r="D99">
        <f>gaz[[#This Row],[Odczyt licznika]]-B98</f>
        <v>361</v>
      </c>
      <c r="E99">
        <f>gaz[[#This Row],[Miesieczne uycie]]/gaz[[#This Row],[Ilosc dni]]</f>
        <v>12.892857142857142</v>
      </c>
    </row>
    <row r="100" spans="1:5" hidden="1" x14ac:dyDescent="0.25">
      <c r="A100" s="1">
        <v>40268</v>
      </c>
      <c r="B100">
        <v>17057</v>
      </c>
      <c r="C100">
        <f>DAY(A100)</f>
        <v>31</v>
      </c>
      <c r="D100">
        <f>gaz[[#This Row],[Odczyt licznika]]-B99</f>
        <v>265</v>
      </c>
      <c r="E100">
        <f>gaz[[#This Row],[Miesieczne uycie]]/gaz[[#This Row],[Ilosc dni]]</f>
        <v>8.5483870967741939</v>
      </c>
    </row>
    <row r="101" spans="1:5" hidden="1" x14ac:dyDescent="0.25">
      <c r="A101" s="1">
        <v>40298</v>
      </c>
      <c r="B101">
        <v>17186</v>
      </c>
      <c r="C101">
        <f>DAY(A101)</f>
        <v>30</v>
      </c>
      <c r="D101">
        <f>gaz[[#This Row],[Odczyt licznika]]-B100</f>
        <v>129</v>
      </c>
      <c r="E101">
        <f>gaz[[#This Row],[Miesieczne uycie]]/gaz[[#This Row],[Ilosc dni]]</f>
        <v>4.3</v>
      </c>
    </row>
    <row r="102" spans="1:5" hidden="1" x14ac:dyDescent="0.25">
      <c r="A102" s="1">
        <v>40329</v>
      </c>
      <c r="B102">
        <v>17301</v>
      </c>
      <c r="C102">
        <f>DAY(A102)</f>
        <v>31</v>
      </c>
      <c r="D102">
        <f>gaz[[#This Row],[Odczyt licznika]]-B101</f>
        <v>115</v>
      </c>
      <c r="E102">
        <f>gaz[[#This Row],[Miesieczne uycie]]/gaz[[#This Row],[Ilosc dni]]</f>
        <v>3.7096774193548385</v>
      </c>
    </row>
    <row r="103" spans="1:5" hidden="1" x14ac:dyDescent="0.25">
      <c r="A103" s="1">
        <v>40359</v>
      </c>
      <c r="B103">
        <v>17332</v>
      </c>
      <c r="C103">
        <f>DAY(A103)</f>
        <v>30</v>
      </c>
      <c r="D103">
        <f>gaz[[#This Row],[Odczyt licznika]]-B102</f>
        <v>31</v>
      </c>
      <c r="E103">
        <f>gaz[[#This Row],[Miesieczne uycie]]/gaz[[#This Row],[Ilosc dni]]</f>
        <v>1.0333333333333334</v>
      </c>
    </row>
    <row r="104" spans="1:5" hidden="1" x14ac:dyDescent="0.25">
      <c r="A104" s="1">
        <v>40390</v>
      </c>
      <c r="B104">
        <v>17352</v>
      </c>
      <c r="C104">
        <f>DAY(A104)</f>
        <v>31</v>
      </c>
      <c r="D104">
        <f>gaz[[#This Row],[Odczyt licznika]]-B103</f>
        <v>20</v>
      </c>
      <c r="E104">
        <f>gaz[[#This Row],[Miesieczne uycie]]/gaz[[#This Row],[Ilosc dni]]</f>
        <v>0.64516129032258063</v>
      </c>
    </row>
    <row r="105" spans="1:5" hidden="1" x14ac:dyDescent="0.25">
      <c r="A105" s="1">
        <v>40421</v>
      </c>
      <c r="B105">
        <v>17367</v>
      </c>
      <c r="C105">
        <f>DAY(A105)</f>
        <v>31</v>
      </c>
      <c r="D105">
        <f>gaz[[#This Row],[Odczyt licznika]]-B104</f>
        <v>15</v>
      </c>
      <c r="E105">
        <f>gaz[[#This Row],[Miesieczne uycie]]/gaz[[#This Row],[Ilosc dni]]</f>
        <v>0.4838709677419355</v>
      </c>
    </row>
    <row r="106" spans="1:5" hidden="1" x14ac:dyDescent="0.25">
      <c r="A106" s="1">
        <v>40451</v>
      </c>
      <c r="B106">
        <v>17517</v>
      </c>
      <c r="C106">
        <f>DAY(A106)</f>
        <v>30</v>
      </c>
      <c r="D106">
        <f>gaz[[#This Row],[Odczyt licznika]]-B105</f>
        <v>150</v>
      </c>
      <c r="E106">
        <f>gaz[[#This Row],[Miesieczne uycie]]/gaz[[#This Row],[Ilosc dni]]</f>
        <v>5</v>
      </c>
    </row>
    <row r="107" spans="1:5" hidden="1" x14ac:dyDescent="0.25">
      <c r="A107" s="1">
        <v>40482</v>
      </c>
      <c r="B107">
        <v>17708</v>
      </c>
      <c r="C107">
        <f>DAY(A107)</f>
        <v>31</v>
      </c>
      <c r="D107">
        <f>gaz[[#This Row],[Odczyt licznika]]-B106</f>
        <v>191</v>
      </c>
      <c r="E107">
        <f>gaz[[#This Row],[Miesieczne uycie]]/gaz[[#This Row],[Ilosc dni]]</f>
        <v>6.161290322580645</v>
      </c>
    </row>
    <row r="108" spans="1:5" hidden="1" x14ac:dyDescent="0.25">
      <c r="A108" s="1">
        <v>40512</v>
      </c>
      <c r="B108">
        <v>18052</v>
      </c>
      <c r="C108">
        <f>DAY(A108)</f>
        <v>30</v>
      </c>
      <c r="D108">
        <f>gaz[[#This Row],[Odczyt licznika]]-B107</f>
        <v>344</v>
      </c>
      <c r="E108">
        <f>gaz[[#This Row],[Miesieczne uycie]]/gaz[[#This Row],[Ilosc dni]]</f>
        <v>11.466666666666667</v>
      </c>
    </row>
    <row r="109" spans="1:5" hidden="1" x14ac:dyDescent="0.25">
      <c r="A109" s="1">
        <v>40543</v>
      </c>
      <c r="B109">
        <v>18372</v>
      </c>
      <c r="C109">
        <f>DAY(A109)</f>
        <v>31</v>
      </c>
      <c r="D109">
        <f>gaz[[#This Row],[Odczyt licznika]]-B108</f>
        <v>320</v>
      </c>
      <c r="E109">
        <f>gaz[[#This Row],[Miesieczne uycie]]/gaz[[#This Row],[Ilosc dni]]</f>
        <v>10.32258064516129</v>
      </c>
    </row>
    <row r="110" spans="1:5" hidden="1" x14ac:dyDescent="0.25">
      <c r="A110" s="1">
        <v>40574</v>
      </c>
      <c r="B110">
        <v>18680</v>
      </c>
      <c r="C110">
        <f>DAY(A110)</f>
        <v>31</v>
      </c>
      <c r="D110">
        <f>gaz[[#This Row],[Odczyt licznika]]-B109</f>
        <v>308</v>
      </c>
      <c r="E110">
        <f>gaz[[#This Row],[Miesieczne uycie]]/gaz[[#This Row],[Ilosc dni]]</f>
        <v>9.935483870967742</v>
      </c>
    </row>
    <row r="111" spans="1:5" x14ac:dyDescent="0.25">
      <c r="A111" s="1">
        <v>40602</v>
      </c>
      <c r="B111">
        <v>19057</v>
      </c>
      <c r="C111">
        <f>DAY(A111)</f>
        <v>28</v>
      </c>
      <c r="D111">
        <f>gaz[[#This Row],[Odczyt licznika]]-B110</f>
        <v>377</v>
      </c>
      <c r="E111">
        <f>gaz[[#This Row],[Miesieczne uycie]]/gaz[[#This Row],[Ilosc dni]]</f>
        <v>13.464285714285714</v>
      </c>
    </row>
    <row r="112" spans="1:5" hidden="1" x14ac:dyDescent="0.25">
      <c r="A112" s="1">
        <v>40633</v>
      </c>
      <c r="B112">
        <v>19285</v>
      </c>
      <c r="C112">
        <f>DAY(A112)</f>
        <v>31</v>
      </c>
      <c r="D112">
        <f>gaz[[#This Row],[Odczyt licznika]]-B111</f>
        <v>228</v>
      </c>
      <c r="E112">
        <f>gaz[[#This Row],[Miesieczne uycie]]/gaz[[#This Row],[Ilosc dni]]</f>
        <v>7.354838709677419</v>
      </c>
    </row>
    <row r="113" spans="1:5" hidden="1" x14ac:dyDescent="0.25">
      <c r="A113" s="1">
        <v>40663</v>
      </c>
      <c r="B113">
        <v>19431</v>
      </c>
      <c r="C113">
        <f>DAY(A113)</f>
        <v>30</v>
      </c>
      <c r="D113">
        <f>gaz[[#This Row],[Odczyt licznika]]-B112</f>
        <v>146</v>
      </c>
      <c r="E113">
        <f>gaz[[#This Row],[Miesieczne uycie]]/gaz[[#This Row],[Ilosc dni]]</f>
        <v>4.8666666666666663</v>
      </c>
    </row>
    <row r="114" spans="1:5" hidden="1" x14ac:dyDescent="0.25">
      <c r="A114" s="1">
        <v>40694</v>
      </c>
      <c r="B114">
        <v>19604</v>
      </c>
      <c r="C114">
        <f>DAY(A114)</f>
        <v>31</v>
      </c>
      <c r="D114">
        <f>gaz[[#This Row],[Odczyt licznika]]-B113</f>
        <v>173</v>
      </c>
      <c r="E114">
        <f>gaz[[#This Row],[Miesieczne uycie]]/gaz[[#This Row],[Ilosc dni]]</f>
        <v>5.580645161290323</v>
      </c>
    </row>
    <row r="115" spans="1:5" hidden="1" x14ac:dyDescent="0.25">
      <c r="A115" s="1">
        <v>40724</v>
      </c>
      <c r="B115">
        <v>19702</v>
      </c>
      <c r="C115">
        <f>DAY(A115)</f>
        <v>30</v>
      </c>
      <c r="D115">
        <f>gaz[[#This Row],[Odczyt licznika]]-B114</f>
        <v>98</v>
      </c>
      <c r="E115">
        <f>gaz[[#This Row],[Miesieczne uycie]]/gaz[[#This Row],[Ilosc dni]]</f>
        <v>3.2666666666666666</v>
      </c>
    </row>
    <row r="116" spans="1:5" hidden="1" x14ac:dyDescent="0.25">
      <c r="A116" s="1">
        <v>40755</v>
      </c>
      <c r="B116">
        <v>19718</v>
      </c>
      <c r="C116">
        <f>DAY(A116)</f>
        <v>31</v>
      </c>
      <c r="D116">
        <f>gaz[[#This Row],[Odczyt licznika]]-B115</f>
        <v>16</v>
      </c>
      <c r="E116">
        <f>gaz[[#This Row],[Miesieczne uycie]]/gaz[[#This Row],[Ilosc dni]]</f>
        <v>0.5161290322580645</v>
      </c>
    </row>
    <row r="117" spans="1:5" hidden="1" x14ac:dyDescent="0.25">
      <c r="A117" s="1">
        <v>40786</v>
      </c>
      <c r="B117">
        <v>19735</v>
      </c>
      <c r="C117">
        <f>DAY(A117)</f>
        <v>31</v>
      </c>
      <c r="D117">
        <f>gaz[[#This Row],[Odczyt licznika]]-B116</f>
        <v>17</v>
      </c>
      <c r="E117">
        <f>gaz[[#This Row],[Miesieczne uycie]]/gaz[[#This Row],[Ilosc dni]]</f>
        <v>0.54838709677419351</v>
      </c>
    </row>
    <row r="118" spans="1:5" hidden="1" x14ac:dyDescent="0.25">
      <c r="A118" s="1">
        <v>40816</v>
      </c>
      <c r="B118">
        <v>19815</v>
      </c>
      <c r="C118">
        <f>DAY(A118)</f>
        <v>30</v>
      </c>
      <c r="D118">
        <f>gaz[[#This Row],[Odczyt licznika]]-B117</f>
        <v>80</v>
      </c>
      <c r="E118">
        <f>gaz[[#This Row],[Miesieczne uycie]]/gaz[[#This Row],[Ilosc dni]]</f>
        <v>2.6666666666666665</v>
      </c>
    </row>
    <row r="119" spans="1:5" hidden="1" x14ac:dyDescent="0.25">
      <c r="A119" s="1">
        <v>40847</v>
      </c>
      <c r="B119">
        <v>19946</v>
      </c>
      <c r="C119">
        <f>DAY(A119)</f>
        <v>31</v>
      </c>
      <c r="D119">
        <f>gaz[[#This Row],[Odczyt licznika]]-B118</f>
        <v>131</v>
      </c>
      <c r="E119">
        <f>gaz[[#This Row],[Miesieczne uycie]]/gaz[[#This Row],[Ilosc dni]]</f>
        <v>4.225806451612903</v>
      </c>
    </row>
    <row r="120" spans="1:5" hidden="1" x14ac:dyDescent="0.25">
      <c r="A120" s="1">
        <v>40877</v>
      </c>
      <c r="B120">
        <v>20081</v>
      </c>
      <c r="C120">
        <f>DAY(A120)</f>
        <v>30</v>
      </c>
      <c r="D120">
        <f>gaz[[#This Row],[Odczyt licznika]]-B119</f>
        <v>135</v>
      </c>
      <c r="E120">
        <f>gaz[[#This Row],[Miesieczne uycie]]/gaz[[#This Row],[Ilosc dni]]</f>
        <v>4.5</v>
      </c>
    </row>
    <row r="121" spans="1:5" hidden="1" x14ac:dyDescent="0.25">
      <c r="A121" s="1">
        <v>40908</v>
      </c>
      <c r="B121">
        <v>20323</v>
      </c>
      <c r="C121">
        <f>DAY(A121)</f>
        <v>31</v>
      </c>
      <c r="D121">
        <f>gaz[[#This Row],[Odczyt licznika]]-B120</f>
        <v>242</v>
      </c>
      <c r="E121">
        <f>gaz[[#This Row],[Miesieczne uycie]]/gaz[[#This Row],[Ilosc dni]]</f>
        <v>7.806451612903226</v>
      </c>
    </row>
    <row r="122" spans="1:5" hidden="1" x14ac:dyDescent="0.25">
      <c r="A122" s="1">
        <v>40939</v>
      </c>
      <c r="B122">
        <v>20653</v>
      </c>
      <c r="C122">
        <f>DAY(A122)</f>
        <v>31</v>
      </c>
      <c r="D122">
        <f>gaz[[#This Row],[Odczyt licznika]]-B121</f>
        <v>330</v>
      </c>
      <c r="E122">
        <f>gaz[[#This Row],[Miesieczne uycie]]/gaz[[#This Row],[Ilosc dni]]</f>
        <v>10.64516129032258</v>
      </c>
    </row>
    <row r="123" spans="1:5" x14ac:dyDescent="0.25">
      <c r="A123" s="1">
        <v>40967</v>
      </c>
      <c r="B123">
        <v>21000</v>
      </c>
      <c r="C123">
        <f>DAY(A123)</f>
        <v>28</v>
      </c>
      <c r="D123">
        <f>gaz[[#This Row],[Odczyt licznika]]-B122</f>
        <v>347</v>
      </c>
      <c r="E123">
        <f>gaz[[#This Row],[Miesieczne uycie]]/gaz[[#This Row],[Ilosc dni]]</f>
        <v>12.392857142857142</v>
      </c>
    </row>
    <row r="124" spans="1:5" hidden="1" x14ac:dyDescent="0.25">
      <c r="A124" s="1">
        <v>40999</v>
      </c>
      <c r="B124">
        <v>21254</v>
      </c>
      <c r="C124">
        <f>DAY(A124)</f>
        <v>31</v>
      </c>
      <c r="D124">
        <f>gaz[[#This Row],[Odczyt licznika]]-B123</f>
        <v>254</v>
      </c>
      <c r="E124">
        <f>gaz[[#This Row],[Miesieczne uycie]]/gaz[[#This Row],[Ilosc dni]]</f>
        <v>8.193548387096774</v>
      </c>
    </row>
    <row r="125" spans="1:5" hidden="1" x14ac:dyDescent="0.25">
      <c r="A125" s="1">
        <v>41029</v>
      </c>
      <c r="B125">
        <v>21377</v>
      </c>
      <c r="C125">
        <f>DAY(A125)</f>
        <v>30</v>
      </c>
      <c r="D125">
        <f>gaz[[#This Row],[Odczyt licznika]]-B124</f>
        <v>123</v>
      </c>
      <c r="E125">
        <f>gaz[[#This Row],[Miesieczne uycie]]/gaz[[#This Row],[Ilosc dni]]</f>
        <v>4.0999999999999996</v>
      </c>
    </row>
    <row r="126" spans="1:5" hidden="1" x14ac:dyDescent="0.25">
      <c r="A126" s="1">
        <v>41060</v>
      </c>
      <c r="B126">
        <v>21487</v>
      </c>
      <c r="C126">
        <f>DAY(A126)</f>
        <v>31</v>
      </c>
      <c r="D126">
        <f>gaz[[#This Row],[Odczyt licznika]]-B125</f>
        <v>110</v>
      </c>
      <c r="E126">
        <f>gaz[[#This Row],[Miesieczne uycie]]/gaz[[#This Row],[Ilosc dni]]</f>
        <v>3.5483870967741935</v>
      </c>
    </row>
    <row r="127" spans="1:5" hidden="1" x14ac:dyDescent="0.25">
      <c r="A127" s="1">
        <v>41090</v>
      </c>
      <c r="B127">
        <v>21517</v>
      </c>
      <c r="C127">
        <f>DAY(A127)</f>
        <v>30</v>
      </c>
      <c r="D127">
        <f>gaz[[#This Row],[Odczyt licznika]]-B126</f>
        <v>30</v>
      </c>
      <c r="E127">
        <f>gaz[[#This Row],[Miesieczne uycie]]/gaz[[#This Row],[Ilosc dni]]</f>
        <v>1</v>
      </c>
    </row>
    <row r="128" spans="1:5" hidden="1" x14ac:dyDescent="0.25">
      <c r="A128" s="1">
        <v>41121</v>
      </c>
      <c r="B128">
        <v>21536</v>
      </c>
      <c r="C128">
        <f>DAY(A128)</f>
        <v>31</v>
      </c>
      <c r="D128">
        <f>gaz[[#This Row],[Odczyt licznika]]-B127</f>
        <v>19</v>
      </c>
      <c r="E128">
        <f>gaz[[#This Row],[Miesieczne uycie]]/gaz[[#This Row],[Ilosc dni]]</f>
        <v>0.61290322580645162</v>
      </c>
    </row>
    <row r="129" spans="1:5" hidden="1" x14ac:dyDescent="0.25">
      <c r="A129" s="1">
        <v>41152</v>
      </c>
      <c r="B129">
        <v>21550</v>
      </c>
      <c r="C129">
        <f>DAY(A129)</f>
        <v>31</v>
      </c>
      <c r="D129">
        <f>gaz[[#This Row],[Odczyt licznika]]-B128</f>
        <v>14</v>
      </c>
      <c r="E129">
        <f>gaz[[#This Row],[Miesieczne uycie]]/gaz[[#This Row],[Ilosc dni]]</f>
        <v>0.45161290322580644</v>
      </c>
    </row>
    <row r="130" spans="1:5" hidden="1" x14ac:dyDescent="0.25">
      <c r="A130" s="1">
        <v>41182</v>
      </c>
      <c r="B130">
        <v>21695</v>
      </c>
      <c r="C130">
        <f>DAY(A130)</f>
        <v>30</v>
      </c>
      <c r="D130">
        <f>gaz[[#This Row],[Odczyt licznika]]-B129</f>
        <v>145</v>
      </c>
      <c r="E130">
        <f>gaz[[#This Row],[Miesieczne uycie]]/gaz[[#This Row],[Ilosc dni]]</f>
        <v>4.833333333333333</v>
      </c>
    </row>
    <row r="131" spans="1:5" hidden="1" x14ac:dyDescent="0.25">
      <c r="A131" s="1">
        <v>41213</v>
      </c>
      <c r="B131">
        <v>21878</v>
      </c>
      <c r="C131">
        <f>DAY(A131)</f>
        <v>31</v>
      </c>
      <c r="D131">
        <f>gaz[[#This Row],[Odczyt licznika]]-B130</f>
        <v>183</v>
      </c>
      <c r="E131">
        <f>gaz[[#This Row],[Miesieczne uycie]]/gaz[[#This Row],[Ilosc dni]]</f>
        <v>5.903225806451613</v>
      </c>
    </row>
    <row r="132" spans="1:5" hidden="1" x14ac:dyDescent="0.25">
      <c r="A132" s="1">
        <v>41243</v>
      </c>
      <c r="B132">
        <v>22208</v>
      </c>
      <c r="C132">
        <f>DAY(A132)</f>
        <v>30</v>
      </c>
      <c r="D132">
        <f>gaz[[#This Row],[Odczyt licznika]]-B131</f>
        <v>330</v>
      </c>
      <c r="E132">
        <f>gaz[[#This Row],[Miesieczne uycie]]/gaz[[#This Row],[Ilosc dni]]</f>
        <v>11</v>
      </c>
    </row>
    <row r="133" spans="1:5" hidden="1" x14ac:dyDescent="0.25">
      <c r="A133" s="1">
        <v>41274</v>
      </c>
      <c r="B133">
        <v>22516</v>
      </c>
      <c r="C133">
        <f>DAY(A133)</f>
        <v>31</v>
      </c>
      <c r="D133">
        <f>gaz[[#This Row],[Odczyt licznika]]-B132</f>
        <v>308</v>
      </c>
      <c r="E133">
        <f>gaz[[#This Row],[Miesieczne uycie]]/gaz[[#This Row],[Ilosc dni]]</f>
        <v>9.935483870967742</v>
      </c>
    </row>
    <row r="134" spans="1:5" hidden="1" x14ac:dyDescent="0.25">
      <c r="A134" s="1">
        <v>41305</v>
      </c>
      <c r="B134">
        <v>22811</v>
      </c>
      <c r="C134">
        <f>DAY(A134)</f>
        <v>31</v>
      </c>
      <c r="D134">
        <f>gaz[[#This Row],[Odczyt licznika]]-B133</f>
        <v>295</v>
      </c>
      <c r="E134">
        <f>gaz[[#This Row],[Miesieczne uycie]]/gaz[[#This Row],[Ilosc dni]]</f>
        <v>9.5161290322580641</v>
      </c>
    </row>
    <row r="135" spans="1:5" x14ac:dyDescent="0.25">
      <c r="A135" s="1">
        <v>41333</v>
      </c>
      <c r="B135">
        <v>23173</v>
      </c>
      <c r="C135">
        <f>DAY(A135)</f>
        <v>28</v>
      </c>
      <c r="D135">
        <f>gaz[[#This Row],[Odczyt licznika]]-B134</f>
        <v>362</v>
      </c>
      <c r="E135">
        <f>gaz[[#This Row],[Miesieczne uycie]]/gaz[[#This Row],[Ilosc dni]]</f>
        <v>12.928571428571429</v>
      </c>
    </row>
    <row r="136" spans="1:5" hidden="1" x14ac:dyDescent="0.25">
      <c r="A136" s="1">
        <v>41364</v>
      </c>
      <c r="B136">
        <v>23392</v>
      </c>
      <c r="C136">
        <f>DAY(A136)</f>
        <v>31</v>
      </c>
      <c r="D136">
        <f>gaz[[#This Row],[Odczyt licznika]]-B135</f>
        <v>219</v>
      </c>
      <c r="E136">
        <f>gaz[[#This Row],[Miesieczne uycie]]/gaz[[#This Row],[Ilosc dni]]</f>
        <v>7.064516129032258</v>
      </c>
    </row>
    <row r="137" spans="1:5" hidden="1" x14ac:dyDescent="0.25">
      <c r="A137" s="1">
        <v>41394</v>
      </c>
      <c r="B137">
        <v>23533</v>
      </c>
      <c r="C137">
        <f>DAY(A137)</f>
        <v>30</v>
      </c>
      <c r="D137">
        <f>gaz[[#This Row],[Odczyt licznika]]-B136</f>
        <v>141</v>
      </c>
      <c r="E137">
        <f>gaz[[#This Row],[Miesieczne uycie]]/gaz[[#This Row],[Ilosc dni]]</f>
        <v>4.7</v>
      </c>
    </row>
    <row r="138" spans="1:5" hidden="1" x14ac:dyDescent="0.25">
      <c r="A138" s="1">
        <v>41425</v>
      </c>
      <c r="B138">
        <v>23699</v>
      </c>
      <c r="C138">
        <f>DAY(A138)</f>
        <v>31</v>
      </c>
      <c r="D138">
        <f>gaz[[#This Row],[Odczyt licznika]]-B137</f>
        <v>166</v>
      </c>
      <c r="E138">
        <f>gaz[[#This Row],[Miesieczne uycie]]/gaz[[#This Row],[Ilosc dni]]</f>
        <v>5.354838709677419</v>
      </c>
    </row>
    <row r="139" spans="1:5" hidden="1" x14ac:dyDescent="0.25">
      <c r="A139" s="1">
        <v>41455</v>
      </c>
      <c r="B139">
        <v>23793</v>
      </c>
      <c r="C139">
        <f>DAY(A139)</f>
        <v>30</v>
      </c>
      <c r="D139">
        <f>gaz[[#This Row],[Odczyt licznika]]-B138</f>
        <v>94</v>
      </c>
      <c r="E139">
        <f>gaz[[#This Row],[Miesieczne uycie]]/gaz[[#This Row],[Ilosc dni]]</f>
        <v>3.1333333333333333</v>
      </c>
    </row>
    <row r="140" spans="1:5" hidden="1" x14ac:dyDescent="0.25">
      <c r="A140" s="1">
        <v>41486</v>
      </c>
      <c r="B140">
        <v>23809</v>
      </c>
      <c r="C140">
        <f>DAY(A140)</f>
        <v>31</v>
      </c>
      <c r="D140">
        <f>gaz[[#This Row],[Odczyt licznika]]-B139</f>
        <v>16</v>
      </c>
      <c r="E140">
        <f>gaz[[#This Row],[Miesieczne uycie]]/gaz[[#This Row],[Ilosc dni]]</f>
        <v>0.5161290322580645</v>
      </c>
    </row>
    <row r="141" spans="1:5" hidden="1" x14ac:dyDescent="0.25">
      <c r="A141" s="1">
        <v>41517</v>
      </c>
      <c r="B141">
        <v>23825</v>
      </c>
      <c r="C141">
        <f>DAY(A141)</f>
        <v>31</v>
      </c>
      <c r="D141">
        <f>gaz[[#This Row],[Odczyt licznika]]-B140</f>
        <v>16</v>
      </c>
      <c r="E141">
        <f>gaz[[#This Row],[Miesieczne uycie]]/gaz[[#This Row],[Ilosc dni]]</f>
        <v>0.5161290322580645</v>
      </c>
    </row>
    <row r="142" spans="1:5" hidden="1" x14ac:dyDescent="0.25">
      <c r="A142" s="1">
        <v>41547</v>
      </c>
      <c r="B142">
        <v>23902</v>
      </c>
      <c r="C142">
        <f>DAY(A142)</f>
        <v>30</v>
      </c>
      <c r="D142">
        <f>gaz[[#This Row],[Odczyt licznika]]-B141</f>
        <v>77</v>
      </c>
      <c r="E142">
        <f>gaz[[#This Row],[Miesieczne uycie]]/gaz[[#This Row],[Ilosc dni]]</f>
        <v>2.5666666666666669</v>
      </c>
    </row>
    <row r="143" spans="1:5" hidden="1" x14ac:dyDescent="0.25">
      <c r="A143" s="1">
        <v>41578</v>
      </c>
      <c r="B143">
        <v>24028</v>
      </c>
      <c r="C143">
        <f>DAY(A143)</f>
        <v>31</v>
      </c>
      <c r="D143">
        <f>gaz[[#This Row],[Odczyt licznika]]-B142</f>
        <v>126</v>
      </c>
      <c r="E143">
        <f>gaz[[#This Row],[Miesieczne uycie]]/gaz[[#This Row],[Ilosc dni]]</f>
        <v>4.064516129032258</v>
      </c>
    </row>
    <row r="144" spans="1:5" hidden="1" x14ac:dyDescent="0.25">
      <c r="A144" s="1">
        <v>41608</v>
      </c>
      <c r="B144">
        <v>24158</v>
      </c>
      <c r="C144">
        <f>DAY(A144)</f>
        <v>30</v>
      </c>
      <c r="D144">
        <f>gaz[[#This Row],[Odczyt licznika]]-B143</f>
        <v>130</v>
      </c>
      <c r="E144">
        <f>gaz[[#This Row],[Miesieczne uycie]]/gaz[[#This Row],[Ilosc dni]]</f>
        <v>4.333333333333333</v>
      </c>
    </row>
    <row r="145" spans="1:5" hidden="1" x14ac:dyDescent="0.25">
      <c r="A145" s="1">
        <v>41639</v>
      </c>
      <c r="B145">
        <v>24390</v>
      </c>
      <c r="C145">
        <f>DAY(A145)</f>
        <v>31</v>
      </c>
      <c r="D145">
        <f>gaz[[#This Row],[Odczyt licznika]]-B144</f>
        <v>232</v>
      </c>
      <c r="E145">
        <f>gaz[[#This Row],[Miesieczne uycie]]/gaz[[#This Row],[Ilosc dni]]</f>
        <v>7.4838709677419351</v>
      </c>
    </row>
    <row r="146" spans="1:5" hidden="1" x14ac:dyDescent="0.25">
      <c r="A146" s="1">
        <v>41670</v>
      </c>
      <c r="B146">
        <v>24707</v>
      </c>
      <c r="C146">
        <f>DAY(A146)</f>
        <v>31</v>
      </c>
      <c r="D146">
        <f>gaz[[#This Row],[Odczyt licznika]]-B145</f>
        <v>317</v>
      </c>
      <c r="E146">
        <f>gaz[[#This Row],[Miesieczne uycie]]/gaz[[#This Row],[Ilosc dni]]</f>
        <v>10.225806451612904</v>
      </c>
    </row>
    <row r="147" spans="1:5" hidden="1" x14ac:dyDescent="0.25">
      <c r="A147" s="1">
        <v>41698</v>
      </c>
      <c r="B147">
        <v>25040</v>
      </c>
      <c r="C147">
        <f>DAY(A147)</f>
        <v>28</v>
      </c>
      <c r="D147">
        <f>gaz[[#This Row],[Odczyt licznika]]-B146</f>
        <v>333</v>
      </c>
      <c r="E147">
        <f>gaz[[#This Row],[Miesieczne uycie]]/gaz[[#This Row],[Ilosc dni]]</f>
        <v>11.892857142857142</v>
      </c>
    </row>
    <row r="148" spans="1:5" hidden="1" x14ac:dyDescent="0.25">
      <c r="A148" s="1">
        <v>41729</v>
      </c>
      <c r="B148">
        <v>25284</v>
      </c>
      <c r="C148">
        <f>DAY(A148)</f>
        <v>31</v>
      </c>
      <c r="D148">
        <f>gaz[[#This Row],[Odczyt licznika]]-B147</f>
        <v>244</v>
      </c>
      <c r="E148">
        <f>gaz[[#This Row],[Miesieczne uycie]]/gaz[[#This Row],[Ilosc dni]]</f>
        <v>7.870967741935484</v>
      </c>
    </row>
    <row r="149" spans="1:5" hidden="1" x14ac:dyDescent="0.25">
      <c r="A149" s="1">
        <v>41759</v>
      </c>
      <c r="B149">
        <v>25403</v>
      </c>
      <c r="C149">
        <f>DAY(A149)</f>
        <v>30</v>
      </c>
      <c r="D149">
        <f>gaz[[#This Row],[Odczyt licznika]]-B148</f>
        <v>119</v>
      </c>
      <c r="E149">
        <f>gaz[[#This Row],[Miesieczne uycie]]/gaz[[#This Row],[Ilosc dni]]</f>
        <v>3.9666666666666668</v>
      </c>
    </row>
    <row r="150" spans="1:5" hidden="1" x14ac:dyDescent="0.25">
      <c r="A150" s="1">
        <v>41790</v>
      </c>
      <c r="B150">
        <v>25508</v>
      </c>
      <c r="C150">
        <f>DAY(A150)</f>
        <v>31</v>
      </c>
      <c r="D150">
        <f>gaz[[#This Row],[Odczyt licznika]]-B149</f>
        <v>105</v>
      </c>
      <c r="E150">
        <f>gaz[[#This Row],[Miesieczne uycie]]/gaz[[#This Row],[Ilosc dni]]</f>
        <v>3.3870967741935485</v>
      </c>
    </row>
    <row r="151" spans="1:5" hidden="1" x14ac:dyDescent="0.25">
      <c r="A151" s="1">
        <v>41820</v>
      </c>
      <c r="B151">
        <v>25537</v>
      </c>
      <c r="C151">
        <f>DAY(A151)</f>
        <v>30</v>
      </c>
      <c r="D151">
        <f>gaz[[#This Row],[Odczyt licznika]]-B150</f>
        <v>29</v>
      </c>
      <c r="E151">
        <f>gaz[[#This Row],[Miesieczne uycie]]/gaz[[#This Row],[Ilosc dni]]</f>
        <v>0.96666666666666667</v>
      </c>
    </row>
    <row r="152" spans="1:5" hidden="1" x14ac:dyDescent="0.25">
      <c r="A152" s="1">
        <v>41851</v>
      </c>
      <c r="B152">
        <v>25556</v>
      </c>
      <c r="C152">
        <f>DAY(A152)</f>
        <v>31</v>
      </c>
      <c r="D152">
        <f>gaz[[#This Row],[Odczyt licznika]]-B151</f>
        <v>19</v>
      </c>
      <c r="E152">
        <f>gaz[[#This Row],[Miesieczne uycie]]/gaz[[#This Row],[Ilosc dni]]</f>
        <v>0.61290322580645162</v>
      </c>
    </row>
    <row r="153" spans="1:5" hidden="1" x14ac:dyDescent="0.25">
      <c r="A153" s="1">
        <v>41882</v>
      </c>
      <c r="B153">
        <v>25569</v>
      </c>
      <c r="C153">
        <f>DAY(A153)</f>
        <v>31</v>
      </c>
      <c r="D153">
        <f>gaz[[#This Row],[Odczyt licznika]]-B152</f>
        <v>13</v>
      </c>
      <c r="E153">
        <f>gaz[[#This Row],[Miesieczne uycie]]/gaz[[#This Row],[Ilosc dni]]</f>
        <v>0.41935483870967744</v>
      </c>
    </row>
    <row r="154" spans="1:5" hidden="1" x14ac:dyDescent="0.25">
      <c r="A154" s="1">
        <v>41912</v>
      </c>
      <c r="B154">
        <v>25708</v>
      </c>
      <c r="C154">
        <f>DAY(A154)</f>
        <v>30</v>
      </c>
      <c r="D154">
        <f>gaz[[#This Row],[Odczyt licznika]]-B153</f>
        <v>139</v>
      </c>
      <c r="E154">
        <f>gaz[[#This Row],[Miesieczne uycie]]/gaz[[#This Row],[Ilosc dni]]</f>
        <v>4.6333333333333337</v>
      </c>
    </row>
    <row r="155" spans="1:5" hidden="1" x14ac:dyDescent="0.25">
      <c r="A155" s="1">
        <v>41943</v>
      </c>
      <c r="B155">
        <v>25883</v>
      </c>
      <c r="C155">
        <f>DAY(A155)</f>
        <v>31</v>
      </c>
      <c r="D155">
        <f>gaz[[#This Row],[Odczyt licznika]]-B154</f>
        <v>175</v>
      </c>
      <c r="E155">
        <f>gaz[[#This Row],[Miesieczne uycie]]/gaz[[#This Row],[Ilosc dni]]</f>
        <v>5.645161290322581</v>
      </c>
    </row>
    <row r="156" spans="1:5" hidden="1" x14ac:dyDescent="0.25">
      <c r="A156" s="1">
        <v>41973</v>
      </c>
      <c r="B156">
        <v>26183</v>
      </c>
      <c r="C156">
        <f>DAY(A156)</f>
        <v>30</v>
      </c>
      <c r="D156">
        <f>gaz[[#This Row],[Odczyt licznika]]-B155</f>
        <v>300</v>
      </c>
      <c r="E156">
        <f>gaz[[#This Row],[Miesieczne uycie]]/gaz[[#This Row],[Ilosc dni]]</f>
        <v>10</v>
      </c>
    </row>
    <row r="157" spans="1:5" hidden="1" x14ac:dyDescent="0.25">
      <c r="A157" s="1">
        <v>42004</v>
      </c>
      <c r="B157">
        <v>26478</v>
      </c>
      <c r="C157">
        <f>DAY(A157)</f>
        <v>31</v>
      </c>
      <c r="D157">
        <f>gaz[[#This Row],[Odczyt licznika]]-B156</f>
        <v>295</v>
      </c>
      <c r="E157">
        <f>gaz[[#This Row],[Miesieczne uycie]]/gaz[[#This Row],[Ilosc dni]]</f>
        <v>9.5161290322580641</v>
      </c>
    </row>
    <row r="158" spans="1:5" hidden="1" x14ac:dyDescent="0.25">
      <c r="A158" s="1">
        <v>42035</v>
      </c>
      <c r="B158">
        <v>26808</v>
      </c>
      <c r="C158">
        <f>DAY(A158)</f>
        <v>31</v>
      </c>
      <c r="D158">
        <f>gaz[[#This Row],[Odczyt licznika]]-B157</f>
        <v>330</v>
      </c>
      <c r="E158">
        <f>gaz[[#This Row],[Miesieczne uycie]]/gaz[[#This Row],[Ilosc dni]]</f>
        <v>10.64516129032258</v>
      </c>
    </row>
    <row r="159" spans="1:5" x14ac:dyDescent="0.25">
      <c r="A159" s="1">
        <v>42063</v>
      </c>
      <c r="B159">
        <v>27156</v>
      </c>
      <c r="C159">
        <f>DAY(A159)</f>
        <v>28</v>
      </c>
      <c r="D159">
        <f>gaz[[#This Row],[Odczyt licznika]]-B158</f>
        <v>348</v>
      </c>
      <c r="E159">
        <f>gaz[[#This Row],[Miesieczne uycie]]/gaz[[#This Row],[Ilosc dni]]</f>
        <v>12.428571428571429</v>
      </c>
    </row>
    <row r="160" spans="1:5" hidden="1" x14ac:dyDescent="0.25">
      <c r="A160" s="1">
        <v>42094</v>
      </c>
      <c r="B160">
        <v>27366</v>
      </c>
      <c r="C160">
        <f>DAY(A160)</f>
        <v>31</v>
      </c>
      <c r="D160">
        <f>gaz[[#This Row],[Odczyt licznika]]-B159</f>
        <v>210</v>
      </c>
      <c r="E160">
        <f>gaz[[#This Row],[Miesieczne uycie]]/gaz[[#This Row],[Ilosc dni]]</f>
        <v>6.774193548387097</v>
      </c>
    </row>
    <row r="161" spans="1:5" hidden="1" x14ac:dyDescent="0.25">
      <c r="A161" s="1">
        <v>42124</v>
      </c>
      <c r="B161">
        <v>27501</v>
      </c>
      <c r="C161">
        <f>DAY(A161)</f>
        <v>30</v>
      </c>
      <c r="D161">
        <f>gaz[[#This Row],[Odczyt licznika]]-B160</f>
        <v>135</v>
      </c>
      <c r="E161">
        <f>gaz[[#This Row],[Miesieczne uycie]]/gaz[[#This Row],[Ilosc dni]]</f>
        <v>4.5</v>
      </c>
    </row>
    <row r="162" spans="1:5" hidden="1" x14ac:dyDescent="0.25">
      <c r="A162" s="1">
        <v>42155</v>
      </c>
      <c r="B162">
        <v>27661</v>
      </c>
      <c r="C162">
        <f>DAY(A162)</f>
        <v>31</v>
      </c>
      <c r="D162">
        <f>gaz[[#This Row],[Odczyt licznika]]-B161</f>
        <v>160</v>
      </c>
      <c r="E162">
        <f>gaz[[#This Row],[Miesieczne uycie]]/gaz[[#This Row],[Ilosc dni]]</f>
        <v>5.161290322580645</v>
      </c>
    </row>
    <row r="163" spans="1:5" hidden="1" x14ac:dyDescent="0.25">
      <c r="A163" s="1">
        <v>42185</v>
      </c>
      <c r="B163">
        <v>27752</v>
      </c>
      <c r="C163">
        <f>DAY(A163)</f>
        <v>30</v>
      </c>
      <c r="D163">
        <f>gaz[[#This Row],[Odczyt licznika]]-B162</f>
        <v>91</v>
      </c>
      <c r="E163">
        <f>gaz[[#This Row],[Miesieczne uycie]]/gaz[[#This Row],[Ilosc dni]]</f>
        <v>3.0333333333333332</v>
      </c>
    </row>
    <row r="164" spans="1:5" hidden="1" x14ac:dyDescent="0.25">
      <c r="A164" s="1">
        <v>42216</v>
      </c>
      <c r="B164">
        <v>27767</v>
      </c>
      <c r="C164">
        <f>DAY(A164)</f>
        <v>31</v>
      </c>
      <c r="D164">
        <f>gaz[[#This Row],[Odczyt licznika]]-B163</f>
        <v>15</v>
      </c>
      <c r="E164">
        <f>gaz[[#This Row],[Miesieczne uycie]]/gaz[[#This Row],[Ilosc dni]]</f>
        <v>0.4838709677419355</v>
      </c>
    </row>
    <row r="165" spans="1:5" hidden="1" x14ac:dyDescent="0.25">
      <c r="A165" s="1">
        <v>42247</v>
      </c>
      <c r="B165">
        <v>27783</v>
      </c>
      <c r="C165">
        <f>DAY(A165)</f>
        <v>31</v>
      </c>
      <c r="D165">
        <f>gaz[[#This Row],[Odczyt licznika]]-B164</f>
        <v>16</v>
      </c>
      <c r="E165">
        <f>gaz[[#This Row],[Miesieczne uycie]]/gaz[[#This Row],[Ilosc dni]]</f>
        <v>0.5161290322580645</v>
      </c>
    </row>
    <row r="166" spans="1:5" hidden="1" x14ac:dyDescent="0.25">
      <c r="A166" s="1">
        <v>42277</v>
      </c>
      <c r="B166">
        <v>27857</v>
      </c>
      <c r="C166">
        <f>DAY(A166)</f>
        <v>30</v>
      </c>
      <c r="D166">
        <f>gaz[[#This Row],[Odczyt licznika]]-B165</f>
        <v>74</v>
      </c>
      <c r="E166">
        <f>gaz[[#This Row],[Miesieczne uycie]]/gaz[[#This Row],[Ilosc dni]]</f>
        <v>2.4666666666666668</v>
      </c>
    </row>
    <row r="167" spans="1:5" hidden="1" x14ac:dyDescent="0.25">
      <c r="A167" s="1">
        <v>42308</v>
      </c>
      <c r="B167">
        <v>27978</v>
      </c>
      <c r="C167">
        <f>DAY(A167)</f>
        <v>31</v>
      </c>
      <c r="D167">
        <f>gaz[[#This Row],[Odczyt licznika]]-B166</f>
        <v>121</v>
      </c>
      <c r="E167">
        <f>gaz[[#This Row],[Miesieczne uycie]]/gaz[[#This Row],[Ilosc dni]]</f>
        <v>3.903225806451613</v>
      </c>
    </row>
    <row r="168" spans="1:5" hidden="1" x14ac:dyDescent="0.25">
      <c r="A168" s="1">
        <v>42338</v>
      </c>
      <c r="B168">
        <v>28103</v>
      </c>
      <c r="C168">
        <f>DAY(A168)</f>
        <v>30</v>
      </c>
      <c r="D168">
        <f>gaz[[#This Row],[Odczyt licznika]]-B167</f>
        <v>125</v>
      </c>
      <c r="E168">
        <f>gaz[[#This Row],[Miesieczne uycie]]/gaz[[#This Row],[Ilosc dni]]</f>
        <v>4.166666666666667</v>
      </c>
    </row>
    <row r="169" spans="1:5" hidden="1" x14ac:dyDescent="0.25">
      <c r="A169" s="1">
        <v>42369</v>
      </c>
      <c r="B169">
        <v>28326</v>
      </c>
      <c r="C169">
        <f>DAY(A169)</f>
        <v>31</v>
      </c>
      <c r="D169">
        <f>gaz[[#This Row],[Odczyt licznika]]-B168</f>
        <v>223</v>
      </c>
      <c r="E169">
        <f>gaz[[#This Row],[Miesieczne uycie]]/gaz[[#This Row],[Ilosc dni]]</f>
        <v>7.193548387096774</v>
      </c>
    </row>
    <row r="170" spans="1:5" hidden="1" x14ac:dyDescent="0.25">
      <c r="A170" s="1">
        <v>42400</v>
      </c>
      <c r="B170">
        <v>28631</v>
      </c>
      <c r="C170">
        <f>DAY(A170)</f>
        <v>31</v>
      </c>
      <c r="D170">
        <f>gaz[[#This Row],[Odczyt licznika]]-B169</f>
        <v>305</v>
      </c>
      <c r="E170">
        <f>gaz[[#This Row],[Miesieczne uycie]]/gaz[[#This Row],[Ilosc dni]]</f>
        <v>9.8387096774193541</v>
      </c>
    </row>
    <row r="171" spans="1:5" hidden="1" x14ac:dyDescent="0.25">
      <c r="A171" s="1">
        <v>42428</v>
      </c>
      <c r="B171">
        <v>28931</v>
      </c>
      <c r="C171">
        <f>DAY(A171)</f>
        <v>28</v>
      </c>
      <c r="D171">
        <f>gaz[[#This Row],[Odczyt licznika]]-B170</f>
        <v>300</v>
      </c>
      <c r="E171">
        <f>gaz[[#This Row],[Miesieczne uycie]]/gaz[[#This Row],[Ilosc dni]]</f>
        <v>10.714285714285714</v>
      </c>
    </row>
    <row r="172" spans="1:5" hidden="1" x14ac:dyDescent="0.25">
      <c r="A172" s="1">
        <v>42460</v>
      </c>
      <c r="B172">
        <v>29165</v>
      </c>
      <c r="C172">
        <f>DAY(A172)</f>
        <v>31</v>
      </c>
      <c r="D172">
        <f>gaz[[#This Row],[Odczyt licznika]]-B171</f>
        <v>234</v>
      </c>
      <c r="E172">
        <f>gaz[[#This Row],[Miesieczne uycie]]/gaz[[#This Row],[Ilosc dni]]</f>
        <v>7.5483870967741939</v>
      </c>
    </row>
    <row r="173" spans="1:5" hidden="1" x14ac:dyDescent="0.25">
      <c r="A173" s="1">
        <v>42490</v>
      </c>
      <c r="B173">
        <v>29279</v>
      </c>
      <c r="C173">
        <f>DAY(A173)</f>
        <v>30</v>
      </c>
      <c r="D173">
        <f>gaz[[#This Row],[Odczyt licznika]]-B172</f>
        <v>114</v>
      </c>
      <c r="E173">
        <f>gaz[[#This Row],[Miesieczne uycie]]/gaz[[#This Row],[Ilosc dni]]</f>
        <v>3.8</v>
      </c>
    </row>
    <row r="174" spans="1:5" hidden="1" x14ac:dyDescent="0.25">
      <c r="A174" s="1">
        <v>42521</v>
      </c>
      <c r="B174">
        <v>29381</v>
      </c>
      <c r="C174">
        <f>DAY(A174)</f>
        <v>31</v>
      </c>
      <c r="D174">
        <f>gaz[[#This Row],[Odczyt licznika]]-B173</f>
        <v>102</v>
      </c>
      <c r="E174">
        <f>gaz[[#This Row],[Miesieczne uycie]]/gaz[[#This Row],[Ilosc dni]]</f>
        <v>3.2903225806451615</v>
      </c>
    </row>
    <row r="175" spans="1:5" hidden="1" x14ac:dyDescent="0.25">
      <c r="A175" s="1">
        <v>42551</v>
      </c>
      <c r="B175">
        <v>29409</v>
      </c>
      <c r="C175">
        <f>DAY(A175)</f>
        <v>30</v>
      </c>
      <c r="D175">
        <f>gaz[[#This Row],[Odczyt licznika]]-B174</f>
        <v>28</v>
      </c>
      <c r="E175">
        <f>gaz[[#This Row],[Miesieczne uycie]]/gaz[[#This Row],[Ilosc dni]]</f>
        <v>0.93333333333333335</v>
      </c>
    </row>
    <row r="176" spans="1:5" hidden="1" x14ac:dyDescent="0.25">
      <c r="A176" s="1">
        <v>42582</v>
      </c>
      <c r="B176">
        <v>29427</v>
      </c>
      <c r="C176">
        <f>DAY(A176)</f>
        <v>31</v>
      </c>
      <c r="D176">
        <f>gaz[[#This Row],[Odczyt licznika]]-B175</f>
        <v>18</v>
      </c>
      <c r="E176">
        <f>gaz[[#This Row],[Miesieczne uycie]]/gaz[[#This Row],[Ilosc dni]]</f>
        <v>0.58064516129032262</v>
      </c>
    </row>
    <row r="177" spans="1:5" hidden="1" x14ac:dyDescent="0.25">
      <c r="A177" s="1">
        <v>42613</v>
      </c>
      <c r="B177">
        <v>29440</v>
      </c>
      <c r="C177">
        <f>DAY(A177)</f>
        <v>31</v>
      </c>
      <c r="D177">
        <f>gaz[[#This Row],[Odczyt licznika]]-B176</f>
        <v>13</v>
      </c>
      <c r="E177">
        <f>gaz[[#This Row],[Miesieczne uycie]]/gaz[[#This Row],[Ilosc dni]]</f>
        <v>0.41935483870967744</v>
      </c>
    </row>
    <row r="178" spans="1:5" hidden="1" x14ac:dyDescent="0.25">
      <c r="A178" s="1">
        <v>42643</v>
      </c>
      <c r="B178">
        <v>29574</v>
      </c>
      <c r="C178">
        <f>DAY(A178)</f>
        <v>30</v>
      </c>
      <c r="D178">
        <f>gaz[[#This Row],[Odczyt licznika]]-B177</f>
        <v>134</v>
      </c>
      <c r="E178">
        <f>gaz[[#This Row],[Miesieczne uycie]]/gaz[[#This Row],[Ilosc dni]]</f>
        <v>4.4666666666666668</v>
      </c>
    </row>
    <row r="179" spans="1:5" hidden="1" x14ac:dyDescent="0.25">
      <c r="A179" s="1">
        <v>42674</v>
      </c>
      <c r="B179">
        <v>29743</v>
      </c>
      <c r="C179">
        <f>DAY(A179)</f>
        <v>31</v>
      </c>
      <c r="D179">
        <f>gaz[[#This Row],[Odczyt licznika]]-B178</f>
        <v>169</v>
      </c>
      <c r="E179">
        <f>gaz[[#This Row],[Miesieczne uycie]]/gaz[[#This Row],[Ilosc dni]]</f>
        <v>5.4516129032258061</v>
      </c>
    </row>
    <row r="180" spans="1:5" hidden="1" x14ac:dyDescent="0.25">
      <c r="A180" s="1">
        <v>42704</v>
      </c>
      <c r="B180">
        <v>30031</v>
      </c>
      <c r="C180">
        <f>DAY(A180)</f>
        <v>30</v>
      </c>
      <c r="D180">
        <f>gaz[[#This Row],[Odczyt licznika]]-B179</f>
        <v>288</v>
      </c>
      <c r="E180">
        <f>gaz[[#This Row],[Miesieczne uycie]]/gaz[[#This Row],[Ilosc dni]]</f>
        <v>9.6</v>
      </c>
    </row>
    <row r="181" spans="1:5" hidden="1" x14ac:dyDescent="0.25">
      <c r="A181" s="1">
        <v>42735</v>
      </c>
      <c r="B181">
        <v>30314</v>
      </c>
      <c r="C181">
        <f>DAY(A181)</f>
        <v>31</v>
      </c>
      <c r="D181">
        <f>gaz[[#This Row],[Odczyt licznika]]-B180</f>
        <v>283</v>
      </c>
      <c r="E181">
        <f>gaz[[#This Row],[Miesieczne uycie]]/gaz[[#This Row],[Ilosc dni]]</f>
        <v>9.129032258064516</v>
      </c>
    </row>
    <row r="182" spans="1:5" hidden="1" x14ac:dyDescent="0.25">
      <c r="A182" s="1">
        <v>42766</v>
      </c>
      <c r="B182">
        <v>30630</v>
      </c>
      <c r="C182">
        <f>DAY(A182)</f>
        <v>31</v>
      </c>
      <c r="D182">
        <f>gaz[[#This Row],[Odczyt licznika]]-B181</f>
        <v>316</v>
      </c>
      <c r="E182">
        <f>gaz[[#This Row],[Miesieczne uycie]]/gaz[[#This Row],[Ilosc dni]]</f>
        <v>10.193548387096774</v>
      </c>
    </row>
    <row r="183" spans="1:5" hidden="1" x14ac:dyDescent="0.25">
      <c r="A183" s="1">
        <v>42794</v>
      </c>
      <c r="B183">
        <v>30964</v>
      </c>
      <c r="C183">
        <f>DAY(A183)</f>
        <v>28</v>
      </c>
      <c r="D183">
        <f>gaz[[#This Row],[Odczyt licznika]]-B182</f>
        <v>334</v>
      </c>
      <c r="E183">
        <f>gaz[[#This Row],[Miesieczne uycie]]/gaz[[#This Row],[Ilosc dni]]</f>
        <v>11.928571428571429</v>
      </c>
    </row>
    <row r="184" spans="1:5" hidden="1" x14ac:dyDescent="0.25">
      <c r="A184" s="1">
        <v>42825</v>
      </c>
      <c r="B184">
        <v>31166</v>
      </c>
      <c r="C184">
        <f>DAY(A184)</f>
        <v>31</v>
      </c>
      <c r="D184">
        <f>gaz[[#This Row],[Odczyt licznika]]-B183</f>
        <v>202</v>
      </c>
      <c r="E184">
        <f>gaz[[#This Row],[Miesieczne uycie]]/gaz[[#This Row],[Ilosc dni]]</f>
        <v>6.5161290322580649</v>
      </c>
    </row>
    <row r="185" spans="1:5" hidden="1" x14ac:dyDescent="0.25">
      <c r="A185" s="1">
        <v>42855</v>
      </c>
      <c r="B185">
        <v>31296</v>
      </c>
      <c r="C185">
        <f>DAY(A185)</f>
        <v>30</v>
      </c>
      <c r="D185">
        <f>gaz[[#This Row],[Odczyt licznika]]-B184</f>
        <v>130</v>
      </c>
      <c r="E185">
        <f>gaz[[#This Row],[Miesieczne uycie]]/gaz[[#This Row],[Ilosc dni]]</f>
        <v>4.333333333333333</v>
      </c>
    </row>
    <row r="186" spans="1:5" hidden="1" x14ac:dyDescent="0.25">
      <c r="A186" s="1">
        <v>42886</v>
      </c>
      <c r="B186">
        <v>31449</v>
      </c>
      <c r="C186">
        <f>DAY(A186)</f>
        <v>31</v>
      </c>
      <c r="D186">
        <f>gaz[[#This Row],[Odczyt licznika]]-B185</f>
        <v>153</v>
      </c>
      <c r="E186">
        <f>gaz[[#This Row],[Miesieczne uycie]]/gaz[[#This Row],[Ilosc dni]]</f>
        <v>4.935483870967742</v>
      </c>
    </row>
    <row r="187" spans="1:5" hidden="1" x14ac:dyDescent="0.25">
      <c r="A187" s="1">
        <v>42916</v>
      </c>
      <c r="B187">
        <v>31535</v>
      </c>
      <c r="C187">
        <f>DAY(A187)</f>
        <v>30</v>
      </c>
      <c r="D187">
        <f>gaz[[#This Row],[Odczyt licznika]]-B186</f>
        <v>86</v>
      </c>
      <c r="E187">
        <f>gaz[[#This Row],[Miesieczne uycie]]/gaz[[#This Row],[Ilosc dni]]</f>
        <v>2.8666666666666667</v>
      </c>
    </row>
    <row r="188" spans="1:5" hidden="1" x14ac:dyDescent="0.25">
      <c r="A188" s="1">
        <v>42947</v>
      </c>
      <c r="B188">
        <v>31550</v>
      </c>
      <c r="C188">
        <f>DAY(A188)</f>
        <v>31</v>
      </c>
      <c r="D188">
        <f>gaz[[#This Row],[Odczyt licznika]]-B187</f>
        <v>15</v>
      </c>
      <c r="E188">
        <f>gaz[[#This Row],[Miesieczne uycie]]/gaz[[#This Row],[Ilosc dni]]</f>
        <v>0.4838709677419355</v>
      </c>
    </row>
    <row r="189" spans="1:5" hidden="1" x14ac:dyDescent="0.25">
      <c r="A189" s="1">
        <v>42978</v>
      </c>
      <c r="B189">
        <v>31565</v>
      </c>
      <c r="C189">
        <f>DAY(A189)</f>
        <v>31</v>
      </c>
      <c r="D189">
        <f>gaz[[#This Row],[Odczyt licznika]]-B188</f>
        <v>15</v>
      </c>
      <c r="E189">
        <f>gaz[[#This Row],[Miesieczne uycie]]/gaz[[#This Row],[Ilosc dni]]</f>
        <v>0.4838709677419355</v>
      </c>
    </row>
    <row r="190" spans="1:5" hidden="1" x14ac:dyDescent="0.25">
      <c r="A190" s="1">
        <v>43008</v>
      </c>
      <c r="B190">
        <v>31635</v>
      </c>
      <c r="C190">
        <f>DAY(A190)</f>
        <v>30</v>
      </c>
      <c r="D190">
        <f>gaz[[#This Row],[Odczyt licznika]]-B189</f>
        <v>70</v>
      </c>
      <c r="E190">
        <f>gaz[[#This Row],[Miesieczne uycie]]/gaz[[#This Row],[Ilosc dni]]</f>
        <v>2.3333333333333335</v>
      </c>
    </row>
    <row r="191" spans="1:5" hidden="1" x14ac:dyDescent="0.25">
      <c r="A191" s="1">
        <v>43039</v>
      </c>
      <c r="B191">
        <v>31751</v>
      </c>
      <c r="C191">
        <f>DAY(A191)</f>
        <v>31</v>
      </c>
      <c r="D191">
        <f>gaz[[#This Row],[Odczyt licznika]]-B190</f>
        <v>116</v>
      </c>
      <c r="E191">
        <f>gaz[[#This Row],[Miesieczne uycie]]/gaz[[#This Row],[Ilosc dni]]</f>
        <v>3.7419354838709675</v>
      </c>
    </row>
    <row r="192" spans="1:5" hidden="1" x14ac:dyDescent="0.25">
      <c r="A192" s="1">
        <v>43069</v>
      </c>
      <c r="B192">
        <v>31871</v>
      </c>
      <c r="C192">
        <f>DAY(A192)</f>
        <v>30</v>
      </c>
      <c r="D192">
        <f>gaz[[#This Row],[Odczyt licznika]]-B191</f>
        <v>120</v>
      </c>
      <c r="E192">
        <f>gaz[[#This Row],[Miesieczne uycie]]/gaz[[#This Row],[Ilosc dni]]</f>
        <v>4</v>
      </c>
    </row>
    <row r="193" spans="1:5" hidden="1" x14ac:dyDescent="0.25">
      <c r="A193" s="1">
        <v>43100</v>
      </c>
      <c r="B193">
        <v>32085</v>
      </c>
      <c r="C193">
        <f>DAY(A193)</f>
        <v>31</v>
      </c>
      <c r="D193">
        <f>gaz[[#This Row],[Odczyt licznika]]-B192</f>
        <v>214</v>
      </c>
      <c r="E193">
        <f>gaz[[#This Row],[Miesieczne uycie]]/gaz[[#This Row],[Ilosc dni]]</f>
        <v>6.903225806451613</v>
      </c>
    </row>
    <row r="194" spans="1:5" hidden="1" x14ac:dyDescent="0.25">
      <c r="A194" s="1">
        <v>43131</v>
      </c>
      <c r="B194">
        <v>32376</v>
      </c>
      <c r="C194">
        <f>DAY(A194)</f>
        <v>31</v>
      </c>
      <c r="D194">
        <f>gaz[[#This Row],[Odczyt licznika]]-B193</f>
        <v>291</v>
      </c>
      <c r="E194">
        <f>gaz[[#This Row],[Miesieczne uycie]]/gaz[[#This Row],[Ilosc dni]]</f>
        <v>9.387096774193548</v>
      </c>
    </row>
    <row r="195" spans="1:5" hidden="1" x14ac:dyDescent="0.25">
      <c r="A195" s="1">
        <v>43159</v>
      </c>
      <c r="B195">
        <v>32621</v>
      </c>
      <c r="C195">
        <f>DAY(A195)</f>
        <v>28</v>
      </c>
      <c r="D195">
        <f>gaz[[#This Row],[Odczyt licznika]]-B194</f>
        <v>245</v>
      </c>
      <c r="E195">
        <f>gaz[[#This Row],[Miesieczne uycie]]/gaz[[#This Row],[Ilosc dni]]</f>
        <v>8.75</v>
      </c>
    </row>
    <row r="196" spans="1:5" hidden="1" x14ac:dyDescent="0.25">
      <c r="A196" s="1">
        <v>43190</v>
      </c>
      <c r="B196">
        <v>32846</v>
      </c>
      <c r="C196">
        <f>DAY(A196)</f>
        <v>31</v>
      </c>
      <c r="D196">
        <f>gaz[[#This Row],[Odczyt licznika]]-B195</f>
        <v>225</v>
      </c>
      <c r="E196">
        <f>gaz[[#This Row],[Miesieczne uycie]]/gaz[[#This Row],[Ilosc dni]]</f>
        <v>7.258064516129032</v>
      </c>
    </row>
    <row r="197" spans="1:5" hidden="1" x14ac:dyDescent="0.25">
      <c r="A197" s="1">
        <v>43220</v>
      </c>
      <c r="B197">
        <v>32955</v>
      </c>
      <c r="C197">
        <f>DAY(A197)</f>
        <v>30</v>
      </c>
      <c r="D197">
        <f>gaz[[#This Row],[Odczyt licznika]]-B196</f>
        <v>109</v>
      </c>
      <c r="E197">
        <f>gaz[[#This Row],[Miesieczne uycie]]/gaz[[#This Row],[Ilosc dni]]</f>
        <v>3.6333333333333333</v>
      </c>
    </row>
    <row r="198" spans="1:5" hidden="1" x14ac:dyDescent="0.25">
      <c r="A198" s="1">
        <v>43251</v>
      </c>
      <c r="B198">
        <v>33003</v>
      </c>
      <c r="C198">
        <f>DAY(A198)</f>
        <v>31</v>
      </c>
      <c r="D198">
        <f>gaz[[#This Row],[Odczyt licznika]]-B197</f>
        <v>48</v>
      </c>
      <c r="E198">
        <f>gaz[[#This Row],[Miesieczne uycie]]/gaz[[#This Row],[Ilosc dni]]</f>
        <v>1.5483870967741935</v>
      </c>
    </row>
    <row r="199" spans="1:5" hidden="1" x14ac:dyDescent="0.25">
      <c r="A199" s="1">
        <v>43281</v>
      </c>
      <c r="B199">
        <v>33030</v>
      </c>
      <c r="C199">
        <f>DAY(A199)</f>
        <v>30</v>
      </c>
      <c r="D199">
        <f>gaz[[#This Row],[Odczyt licznika]]-B198</f>
        <v>27</v>
      </c>
      <c r="E199">
        <f>gaz[[#This Row],[Miesieczne uycie]]/gaz[[#This Row],[Ilosc dni]]</f>
        <v>0.9</v>
      </c>
    </row>
    <row r="200" spans="1:5" hidden="1" x14ac:dyDescent="0.25">
      <c r="A200" s="1">
        <v>43312</v>
      </c>
      <c r="B200">
        <v>33046</v>
      </c>
      <c r="C200">
        <f>DAY(A200)</f>
        <v>31</v>
      </c>
      <c r="D200">
        <f>gaz[[#This Row],[Odczyt licznika]]-B199</f>
        <v>16</v>
      </c>
      <c r="E200">
        <f>gaz[[#This Row],[Miesieczne uycie]]/gaz[[#This Row],[Ilosc dni]]</f>
        <v>0.5161290322580645</v>
      </c>
    </row>
    <row r="201" spans="1:5" hidden="1" x14ac:dyDescent="0.25">
      <c r="A201" s="1">
        <v>43343</v>
      </c>
      <c r="B201">
        <v>33058</v>
      </c>
      <c r="C201">
        <f>DAY(A201)</f>
        <v>31</v>
      </c>
      <c r="D201">
        <f>gaz[[#This Row],[Odczyt licznika]]-B200</f>
        <v>12</v>
      </c>
      <c r="E201">
        <f>gaz[[#This Row],[Miesieczne uycie]]/gaz[[#This Row],[Ilosc dni]]</f>
        <v>0.38709677419354838</v>
      </c>
    </row>
    <row r="202" spans="1:5" hidden="1" x14ac:dyDescent="0.25">
      <c r="A202" s="1">
        <v>43373</v>
      </c>
      <c r="B202">
        <v>33186</v>
      </c>
      <c r="C202">
        <f>DAY(A202)</f>
        <v>30</v>
      </c>
      <c r="D202">
        <f>gaz[[#This Row],[Odczyt licznika]]-B201</f>
        <v>128</v>
      </c>
      <c r="E202">
        <f>gaz[[#This Row],[Miesieczne uycie]]/gaz[[#This Row],[Ilosc dni]]</f>
        <v>4.2666666666666666</v>
      </c>
    </row>
    <row r="203" spans="1:5" hidden="1" x14ac:dyDescent="0.25">
      <c r="A203" s="1">
        <v>43404</v>
      </c>
      <c r="B203">
        <v>33323</v>
      </c>
      <c r="C203">
        <f>DAY(A203)</f>
        <v>31</v>
      </c>
      <c r="D203">
        <f>gaz[[#This Row],[Odczyt licznika]]-B202</f>
        <v>137</v>
      </c>
      <c r="E203">
        <f>gaz[[#This Row],[Miesieczne uycie]]/gaz[[#This Row],[Ilosc dni]]</f>
        <v>4.419354838709677</v>
      </c>
    </row>
    <row r="204" spans="1:5" hidden="1" x14ac:dyDescent="0.25">
      <c r="A204" s="1">
        <v>43434</v>
      </c>
      <c r="B204">
        <v>33483</v>
      </c>
      <c r="C204">
        <f>DAY(A204)</f>
        <v>30</v>
      </c>
      <c r="D204">
        <f>gaz[[#This Row],[Odczyt licznika]]-B203</f>
        <v>160</v>
      </c>
      <c r="E204">
        <f>gaz[[#This Row],[Miesieczne uycie]]/gaz[[#This Row],[Ilosc dni]]</f>
        <v>5.333333333333333</v>
      </c>
    </row>
    <row r="205" spans="1:5" hidden="1" x14ac:dyDescent="0.25">
      <c r="A205" s="1">
        <v>43465</v>
      </c>
      <c r="B205">
        <v>33734</v>
      </c>
      <c r="C205">
        <f>DAY(A205)</f>
        <v>31</v>
      </c>
      <c r="D205">
        <f>gaz[[#This Row],[Odczyt licznika]]-B204</f>
        <v>251</v>
      </c>
      <c r="E205">
        <f>gaz[[#This Row],[Miesieczne uycie]]/gaz[[#This Row],[Ilosc dni]]</f>
        <v>8.0967741935483879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58C2-DB49-4063-8FAD-81611C91B5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6CF842-DDEE-4987-969D-D10EBCB56C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gaz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Miłosz Michalak</dc:creator>
  <cp:lastModifiedBy>Miłosz Michalak</cp:lastModifiedBy>
  <dcterms:created xsi:type="dcterms:W3CDTF">2026-01-19T07:10:06Z</dcterms:created>
  <dcterms:modified xsi:type="dcterms:W3CDTF">2026-01-19T07:30:12Z</dcterms:modified>
</cp:coreProperties>
</file>